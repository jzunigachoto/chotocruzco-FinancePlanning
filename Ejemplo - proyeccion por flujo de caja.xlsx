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charts/chart8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'Proyección'!AK27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'Proyección'!$C$28:$C$77</f>
            </numRef>
          </cat>
          <val>
            <numRef>
              <f>'Proyección'!$AK$28:$AK$77</f>
            </numRef>
          </val>
          <smooth val="0"/>
        </ser>
        <ser>
          <idx val="1"/>
          <order val="1"/>
          <tx>
            <strRef>
              <f>'Proyección'!AL27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'Proyección'!$C$28:$C$77</f>
            </numRef>
          </cat>
          <val>
            <numRef>
              <f>'Proyección'!$AL$28:$AL$77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A2543A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A2543A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A2543A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Perfil de riesgo: tolerancia y apetito · moderado conservador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Perfil financiero: capacidad financiera · perfil financiero moderado conservador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dLbls>
            <c:numFmt formatCode="0.0" sourceLinked="0"/>
            <c:spPr>
              <a:noFill xmlns:a="http://schemas.openxmlformats.org/drawingml/2006/main"/>
            </c:sp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'Datos'!$U$2:$U$8</c:f>
              <c:strCache>
                <c:ptCount val="7"/>
                <c:pt idx="0">
                  <c:v>Perfil de riesgo</c:v>
                </c:pt>
                <c:pt idx="1">
                  <c:v>Ingresos totales</c:v>
                </c:pt>
                <c:pt idx="2">
                  <c:v>Gastos totales</c:v>
                </c:pt>
                <c:pt idx="3">
                  <c:v>Inversiones</c:v>
                </c:pt>
                <c:pt idx="4">
                  <c:v>Desinversiones</c:v>
                </c:pt>
                <c:pt idx="5">
                  <c:v>Tamaño del portafolio</c:v>
                </c:pt>
                <c:pt idx="6">
                  <c:v>Horizonte</c:v>
                </c:pt>
              </c:strCache>
            </c:strRef>
          </c:cat>
          <c:val>
            <c:numRef>
              <c:f>'Datos'!$V$2:$V$8</c:f>
              <c:numCache>
                <c:formatCode>0.0</c:formatCode>
                <c:ptCount val="7"/>
                <c:pt idx="0">
                  <c:v>3.9</c:v>
                </c:pt>
                <c:pt idx="1">
                  <c:v>5</c:v>
                </c:pt>
                <c:pt idx="2">
                  <c:v>3.3</c:v>
                </c:pt>
                <c:pt idx="3">
                  <c:v>6.7</c:v>
                </c:pt>
                <c:pt idx="4">
                  <c:v>3.3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Capacidad financiera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'Datos'!$U$2:$U$8</c:f>
              <c:strCache>
                <c:ptCount val="7"/>
                <c:pt idx="0">
                  <c:v>Perfil de riesgo</c:v>
                </c:pt>
                <c:pt idx="1">
                  <c:v>Ingresos totales</c:v>
                </c:pt>
                <c:pt idx="2">
                  <c:v>Gastos totales</c:v>
                </c:pt>
                <c:pt idx="3">
                  <c:v>Inversiones</c:v>
                </c:pt>
                <c:pt idx="4">
                  <c:v>Desinversiones</c:v>
                </c:pt>
                <c:pt idx="5">
                  <c:v>Tamaño del portafolio</c:v>
                </c:pt>
                <c:pt idx="6">
                  <c:v>Horizonte</c:v>
                </c:pt>
              </c:strCache>
            </c:strRef>
          </c:cat>
          <c:val>
            <c:numRef>
              <c:f>'Datos'!$W$2:$W$8</c:f>
              <c:numCache>
                <c:formatCode>0.0</c:formatCode>
                <c:ptCount val="7"/>
                <c:pt idx="0">
                  <c:v>3.1</c:v>
                </c:pt>
                <c:pt idx="1">
                  <c:v>3.1</c:v>
                </c:pt>
                <c:pt idx="2">
                  <c:v>3.1</c:v>
                </c:pt>
                <c:pt idx="3">
                  <c:v>3.1</c:v>
                </c:pt>
                <c:pt idx="4">
                  <c:v>3.1</c:v>
                </c:pt>
                <c:pt idx="5">
                  <c:v>3.1</c:v>
                </c:pt>
                <c:pt idx="6">
                  <c:v>3.1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none"/>
        <c:minorTickMark val="none"/>
        <c:tickLblPos val="none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4</col>
      <colOff>0</colOff>
      <row>76</row>
      <rowOff>0</rowOff>
    </from>
    <ext cx="432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41</col>
      <colOff>0</colOff>
      <row>27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cols>
    <col width="34" customWidth="1" min="1" max="1"/>
    <col width="20" customWidth="1" min="2" max="2"/>
    <col width="46" customWidth="1" min="3" max="3"/>
  </cols>
  <sheetData>
    <row r="1">
      <c r="A1" s="3" t="inlineStr">
        <is>
          <t>Chotocruz &amp; Co. · Ficha de cliente</t>
        </is>
      </c>
    </row>
    <row r="3">
      <c r="A3" s="5" t="inlineStr">
        <is>
          <t>Concepto</t>
        </is>
      </c>
      <c r="B3" s="5" t="inlineStr">
        <is>
          <t>Dato numérico</t>
        </is>
      </c>
      <c r="C3" s="5" t="inlineStr">
        <is>
          <t>Dato cualitativo</t>
        </is>
      </c>
    </row>
    <row r="5">
      <c r="A5" s="6" t="inlineStr">
        <is>
          <t>Identificación</t>
        </is>
      </c>
    </row>
    <row r="6">
      <c r="A6" s="1" t="inlineStr">
        <is>
          <t>Nombre</t>
        </is>
      </c>
      <c r="C6" t="inlineStr">
        <is>
          <t>Cliente de ejemplo</t>
        </is>
      </c>
    </row>
    <row r="7">
      <c r="A7" s="1" t="inlineStr">
        <is>
          <t>Tipo de documento</t>
        </is>
      </c>
      <c r="C7" t="inlineStr">
        <is>
          <t>Cédula de identidad</t>
        </is>
      </c>
    </row>
    <row r="8">
      <c r="A8" s="1" t="inlineStr">
        <is>
          <t>Cédula</t>
        </is>
      </c>
      <c r="C8" t="inlineStr">
        <is>
          <t>1-1234-5678</t>
        </is>
      </c>
    </row>
    <row r="9">
      <c r="A9" s="1" t="inlineStr">
        <is>
          <t>Fecha de nacimiento</t>
        </is>
      </c>
      <c r="C9" t="inlineStr">
        <is>
          <t>1980-05-01</t>
        </is>
      </c>
    </row>
    <row r="10">
      <c r="A10" s="1" t="inlineStr">
        <is>
          <t>Ocupación</t>
        </is>
      </c>
      <c r="C10" t="inlineStr">
        <is>
          <t>Gerente general</t>
        </is>
      </c>
    </row>
    <row r="11">
      <c r="A11" s="1" t="inlineStr">
        <is>
          <t>Estado civil</t>
        </is>
      </c>
      <c r="C11" t="inlineStr">
        <is>
          <t>Casado(a)</t>
        </is>
      </c>
    </row>
    <row r="12">
      <c r="A12" s="1" t="inlineStr">
        <is>
          <t>Correo electrónico</t>
        </is>
      </c>
      <c r="C12" t="inlineStr">
        <is>
          <t>ejemplo@ejemplo.com</t>
        </is>
      </c>
    </row>
    <row r="13">
      <c r="A13" s="1" t="inlineStr">
        <is>
          <t>Teléfono</t>
        </is>
      </c>
      <c r="C13" t="inlineStr">
        <is>
          <t>+506 88887070</t>
        </is>
      </c>
    </row>
    <row r="14">
      <c r="A14" s="1" t="inlineStr">
        <is>
          <t>País de residencia</t>
        </is>
      </c>
      <c r="C14" t="inlineStr">
        <is>
          <t>Costa Rica</t>
        </is>
      </c>
    </row>
    <row r="15">
      <c r="A15" s="1" t="inlineStr">
        <is>
          <t>Provincia</t>
        </is>
      </c>
      <c r="C15" t="inlineStr">
        <is>
          <t>Alajuela</t>
        </is>
      </c>
    </row>
    <row r="16">
      <c r="A16" s="1" t="inlineStr">
        <is>
          <t>Cantón</t>
        </is>
      </c>
      <c r="C16" t="inlineStr">
        <is>
          <t>San Ramón</t>
        </is>
      </c>
    </row>
    <row r="17">
      <c r="A17" s="1" t="inlineStr">
        <is>
          <t>Distrito</t>
        </is>
      </c>
      <c r="C17" t="inlineStr">
        <is>
          <t>Santiago</t>
        </is>
      </c>
    </row>
    <row r="18">
      <c r="A18" s="1" t="inlineStr">
        <is>
          <t>Otras señas</t>
        </is>
      </c>
      <c r="C18" t="inlineStr">
        <is>
          <t>—</t>
        </is>
      </c>
    </row>
    <row r="19">
      <c r="A19" s="1" t="inlineStr">
        <is>
          <t>Edad actual</t>
        </is>
      </c>
      <c r="B19" s="9">
        <v>46</v>
      </c>
    </row>
    <row r="20">
      <c r="A20" s="1" t="inlineStr">
        <is>
          <t>Edad de independencia financiera</t>
        </is>
      </c>
      <c r="B20" s="9">
        <v>60</v>
      </c>
    </row>
    <row r="22">
      <c r="A22" s="6" t="inlineStr">
        <is>
          <t>Perfil de riesgo (cuestionario 1)</t>
        </is>
      </c>
    </row>
    <row r="23">
      <c r="A23" s="1" t="inlineStr">
        <is>
          <t>Tolerancia al riesgo (0 a 10)</t>
        </is>
      </c>
      <c r="B23" s="8">
        <v>3.0928571428571425</v>
      </c>
      <c r="C23" t="inlineStr">
        <is>
          <t>Preguntas 1, 2, 3, 7 y 9</t>
        </is>
      </c>
    </row>
    <row r="24">
      <c r="A24" s="1" t="inlineStr">
        <is>
          <t>Apetito de riesgo (0 a 10)</t>
        </is>
      </c>
      <c r="B24" s="8">
        <v>4.686249999999999</v>
      </c>
      <c r="C24" t="inlineStr">
        <is>
          <t>Preguntas 4, 5, 6, 8 y 10</t>
        </is>
      </c>
    </row>
    <row r="25">
      <c r="A25" s="1" t="inlineStr">
        <is>
          <t>Puntaje del perfil de riesgo (0 a 10)</t>
        </is>
      </c>
      <c r="B25" s="8">
        <v>3.9426666666666668</v>
      </c>
    </row>
    <row r="26">
      <c r="A26" s="1" t="inlineStr">
        <is>
          <t>Perfil de riesgo</t>
        </is>
      </c>
      <c r="C26" t="inlineStr">
        <is>
          <t>Moderado conservador</t>
        </is>
      </c>
    </row>
    <row r="28">
      <c r="A28" s="6" t="inlineStr">
        <is>
          <t>Perfil financiero (perfil de riesgo y planificación)</t>
        </is>
      </c>
    </row>
    <row r="29">
      <c r="A29" s="1" t="inlineStr">
        <is>
          <t>Capacidad: ingresos totales (0 a 10)</t>
        </is>
      </c>
      <c r="B29" s="8">
        <v>5</v>
      </c>
      <c r="C29" t="inlineStr">
        <is>
          <t>Cubren 95,0% de los gastos en 5 años · ingreso variable</t>
        </is>
      </c>
    </row>
    <row r="30">
      <c r="A30" s="1" t="inlineStr">
        <is>
          <t>Capacidad: gastos totales (0 a 10)</t>
        </is>
      </c>
      <c r="B30" s="8">
        <v>3.33</v>
      </c>
      <c r="C30" t="inlineStr">
        <is>
          <t>Gastos comprometidos: 20,5% de los ingresos</t>
        </is>
      </c>
    </row>
    <row r="31">
      <c r="A31" s="1" t="inlineStr">
        <is>
          <t>Capacidad: inversiones (0 a 10)</t>
        </is>
      </c>
      <c r="B31" s="8">
        <v>6.67</v>
      </c>
      <c r="C31" t="inlineStr">
        <is>
          <t>Entran 14,2% del portafolio en 5 años</t>
        </is>
      </c>
    </row>
    <row r="32">
      <c r="A32" s="1" t="inlineStr">
        <is>
          <t>Capacidad: desinversiones (0 a 10)</t>
        </is>
      </c>
      <c r="B32" s="8">
        <v>3.33</v>
      </c>
      <c r="C32" t="inlineStr">
        <is>
          <t>Retiros de 25,2% del portafolio en 5 años</t>
        </is>
      </c>
    </row>
    <row r="33">
      <c r="A33" s="1" t="inlineStr">
        <is>
          <t>Capacidad: tamaño del portafolio (0 a 10)</t>
        </is>
      </c>
      <c r="B33" s="8">
        <v>0</v>
      </c>
      <c r="C33" t="inlineStr">
        <is>
          <t>0,33 veces el mínimo requerido con la cartera conservadora ($762 535)</t>
        </is>
      </c>
    </row>
    <row r="34">
      <c r="A34" s="1" t="inlineStr">
        <is>
          <t>Capacidad: horizonte (0 a 10)</t>
        </is>
      </c>
      <c r="B34" s="8">
        <v>0</v>
      </c>
      <c r="C34" t="inlineStr">
        <is>
          <t>0 años hasta el primer retiro del portafolio</t>
        </is>
      </c>
    </row>
    <row r="35">
      <c r="A35" s="1" t="inlineStr">
        <is>
          <t>Capacidad financiera (0 a 10)</t>
        </is>
      </c>
      <c r="B35" s="8">
        <v>3.0549999999999997</v>
      </c>
    </row>
    <row r="36">
      <c r="A36" s="1" t="inlineStr">
        <is>
          <t>Puntaje financiero (0 a 10)</t>
        </is>
      </c>
      <c r="B36" s="8">
        <v>3.0549999999999997</v>
      </c>
    </row>
    <row r="37">
      <c r="A37" s="1" t="inlineStr">
        <is>
          <t>Perfil financiero</t>
        </is>
      </c>
      <c r="C37" t="inlineStr">
        <is>
          <t>Moderado conservador</t>
        </is>
      </c>
    </row>
    <row r="38">
      <c r="A38" s="1" t="inlineStr">
        <is>
          <t>Factor limitante del perfil</t>
        </is>
      </c>
      <c r="C38" t="inlineStr">
        <is>
          <t>Ninguno: el perfil financiero es el perfil de riesgo del cliente</t>
        </is>
      </c>
    </row>
    <row r="39">
      <c r="A39" s="1" t="inlineStr">
        <is>
          <t>Retorno esperado anual</t>
        </is>
      </c>
      <c r="B39" s="4">
        <v>0.06</v>
      </c>
    </row>
    <row r="40">
      <c r="A40" s="1" t="inlineStr">
        <is>
          <t>Rendimiento de equilibrio</t>
        </is>
      </c>
      <c r="B40" s="4">
        <v>0.07577027512570567</v>
      </c>
    </row>
    <row r="41">
      <c r="A41" s="1" t="inlineStr">
        <is>
          <t>Perfil que exige el objetivo</t>
        </is>
      </c>
      <c r="C41" t="inlineStr">
        <is>
          <t>Agresivo</t>
        </is>
      </c>
    </row>
    <row r="42">
      <c r="A42" s="1" t="inlineStr">
        <is>
          <t>Holgura frente a la cartera asignada</t>
        </is>
      </c>
      <c r="B42" s="4">
        <v>-0.01577027512570567</v>
      </c>
    </row>
    <row r="43">
      <c r="A43" s="1" t="inlineStr">
        <is>
          <t>Preferencia de moneda</t>
        </is>
      </c>
    </row>
    <row r="45">
      <c r="A45" s="6" t="inlineStr">
        <is>
          <t>Perfil de permanencia y aportes</t>
        </is>
      </c>
    </row>
    <row r="46">
      <c r="A46" s="1" t="inlineStr">
        <is>
          <t>Años hasta el primer retiro</t>
        </is>
      </c>
      <c r="B46" s="9">
        <v>5</v>
      </c>
    </row>
    <row r="47">
      <c r="A47" s="1" t="inlineStr">
        <is>
          <t>Monto del primer retiro (US$ de hoy)</t>
        </is>
      </c>
      <c r="B47" s="10">
        <v>50000</v>
      </c>
    </row>
    <row r="48">
      <c r="A48" s="1" t="inlineStr">
        <is>
          <t>Destino del patrimonio</t>
        </is>
      </c>
      <c r="C48" t="inlineStr">
        <is>
          <t>Utilizarlo durante su vida</t>
        </is>
      </c>
    </row>
    <row r="49">
      <c r="A49" s="1" t="inlineStr">
        <is>
          <t>Herencia deseada (US$ de hoy)</t>
        </is>
      </c>
    </row>
    <row r="51">
      <c r="A51" s="6" t="inlineStr">
        <is>
          <t>Retiro, pensión, fondos y flujos previstos</t>
        </is>
      </c>
    </row>
    <row r="52">
      <c r="A52" s="1" t="inlineStr">
        <is>
          <t>Gasto en el retiro (% del gasto actual)</t>
        </is>
      </c>
      <c r="B52" s="7">
        <v>1</v>
      </c>
    </row>
    <row r="53">
      <c r="A53" s="1" t="inlineStr">
        <is>
          <t>Régimen de pensión</t>
        </is>
      </c>
      <c r="C53" t="inlineStr">
        <is>
          <t>Magisterio Nacional</t>
        </is>
      </c>
    </row>
    <row r="54">
      <c r="A54" s="1" t="inlineStr">
        <is>
          <t>Pensión mensual estimada (valor de hoy)</t>
        </is>
      </c>
      <c r="B54" s="10">
        <v>800000</v>
      </c>
      <c r="C54" t="inlineStr">
        <is>
          <t>CRC</t>
        </is>
      </c>
    </row>
    <row r="55">
      <c r="A55" s="1" t="inlineStr">
        <is>
          <t>Edad de inicio de la pensión</t>
        </is>
      </c>
      <c r="B55" s="9">
        <v>65</v>
      </c>
    </row>
    <row r="56">
      <c r="A56" s="1" t="inlineStr">
        <is>
          <t>Otros ingresos recurrentes mensuales (valor de hoy)</t>
        </is>
      </c>
      <c r="B56" s="10">
        <v>500000</v>
      </c>
      <c r="C56" t="inlineStr">
        <is>
          <t>CRC · desde 2030</t>
        </is>
      </c>
    </row>
    <row r="57">
      <c r="A57" s="1" t="inlineStr">
        <is>
          <t>ROP: saldo actual</t>
        </is>
      </c>
      <c r="B57" s="10">
        <v>12000000</v>
      </c>
      <c r="C57" t="inlineStr">
        <is>
          <t>CRC · pensión: retiro programado</t>
        </is>
      </c>
    </row>
    <row r="58">
      <c r="A58" s="1" t="inlineStr">
        <is>
          <t>ROP: aporte mensual</t>
        </is>
      </c>
      <c r="C58" t="inlineStr">
        <is>
          <t>No lo indicó: se estima con el salario</t>
        </is>
      </c>
    </row>
    <row r="59">
      <c r="A59" s="1" t="inlineStr">
        <is>
          <t>FCL: saldo actual</t>
        </is>
      </c>
      <c r="B59" s="10">
        <v>12000000</v>
      </c>
      <c r="C59" t="inlineStr">
        <is>
          <t>CRC · traslado al momento del retiro</t>
        </is>
      </c>
    </row>
    <row r="60">
      <c r="A60" s="1" t="inlineStr">
        <is>
          <t>FCL: aporte mensual</t>
        </is>
      </c>
      <c r="C60" t="inlineStr">
        <is>
          <t>No lo indicó: se estima con el salario</t>
        </is>
      </c>
    </row>
    <row r="61">
      <c r="A61" s="1" t="inlineStr">
        <is>
          <t>Pensión voluntaria: saldo actual</t>
        </is>
      </c>
      <c r="B61" s="10">
        <v>12000000</v>
      </c>
      <c r="C61" t="inlineStr">
        <is>
          <t>CRC · traslado en 2031</t>
        </is>
      </c>
    </row>
    <row r="62">
      <c r="A62" s="1" t="inlineStr">
        <is>
          <t>Pensión voluntaria: aporte mensual</t>
        </is>
      </c>
      <c r="B62" s="10">
        <v>150000</v>
      </c>
      <c r="C62" t="inlineStr">
        <is>
          <t>CRC</t>
        </is>
      </c>
    </row>
    <row r="63">
      <c r="A63" s="1" t="inlineStr">
        <is>
          <t>Ingreso extraordinario 1: Bono por antigüedad (US$ de hoy)</t>
        </is>
      </c>
      <c r="B63" s="10">
        <v>40000</v>
      </c>
      <c r="C63" t="inlineStr">
        <is>
          <t>Año 2028</t>
        </is>
      </c>
    </row>
    <row r="64">
      <c r="A64" s="1" t="inlineStr">
        <is>
          <t>Ingreso extraordinario 2: Herencia esperada (US$ de hoy)</t>
        </is>
      </c>
      <c r="B64" s="10">
        <v>120000</v>
      </c>
      <c r="C64" t="inlineStr">
        <is>
          <t>Año 2032</t>
        </is>
      </c>
    </row>
    <row r="65">
      <c r="A65" s="1" t="inlineStr">
        <is>
          <t>Desinversión: Venta del inmueble 1</t>
        </is>
      </c>
      <c r="B65" s="10">
        <v>180000</v>
      </c>
      <c r="C65" t="inlineStr">
        <is>
          <t>USD · año 2031 · monto que entra al portafolio</t>
        </is>
      </c>
    </row>
    <row r="66">
      <c r="A66" s="1" t="inlineStr">
        <is>
          <t>Desinversión: Venta de un lote</t>
        </is>
      </c>
      <c r="B66" s="10">
        <v>150000</v>
      </c>
      <c r="C66" t="inlineStr">
        <is>
          <t>USD · año 2033 · monto que entra al portafolio</t>
        </is>
      </c>
    </row>
    <row r="67">
      <c r="A67" s="1" t="inlineStr">
        <is>
          <t>Gasto de dependiente 1 (US$ de hoy, por año)</t>
        </is>
      </c>
      <c r="B67" s="10">
        <v>12000</v>
      </c>
      <c r="C67" t="inlineStr">
        <is>
          <t>Cónyuge o pareja · salud · desde 2030 por 5 años</t>
        </is>
      </c>
    </row>
    <row r="68">
      <c r="A68" s="1" t="inlineStr">
        <is>
          <t>Meta 1 (US$ de hoy)</t>
        </is>
      </c>
      <c r="B68" s="10">
        <v>40000</v>
      </c>
      <c r="C68" t="inlineStr">
        <is>
          <t>Vivienda o propiedad · año 2031 · deseable · salida del portafolio</t>
        </is>
      </c>
    </row>
    <row r="70">
      <c r="A70" s="6" t="inlineStr">
        <is>
          <t>Patrimonio total (US$, sin la vivienda principal)</t>
        </is>
      </c>
    </row>
    <row r="71">
      <c r="A71" s="1" t="inlineStr">
        <is>
          <t>Inversiones líquidas (este portafolio)</t>
        </is>
      </c>
      <c r="B71" s="10">
        <v>250000</v>
      </c>
    </row>
    <row r="72">
      <c r="A72" s="1" t="inlineStr">
        <is>
          <t>Fondos de pensión (ROP, FCL y voluntaria)</t>
        </is>
      </c>
      <c r="B72" s="10">
        <v>80000</v>
      </c>
    </row>
    <row r="73">
      <c r="A73" s="1" t="inlineStr">
        <is>
          <t>Inversiones inmobiliarias</t>
        </is>
      </c>
      <c r="B73" s="10">
        <v>180000</v>
      </c>
    </row>
    <row r="74">
      <c r="A74" s="1" t="inlineStr">
        <is>
          <t>Empresa (según su participación)</t>
        </is>
      </c>
      <c r="B74" s="10">
        <v>900000</v>
      </c>
    </row>
    <row r="75">
      <c r="A75" s="1" t="inlineStr">
        <is>
          <t>Capital privado</t>
        </is>
      </c>
      <c r="B75" s="10">
        <v>120000</v>
      </c>
    </row>
    <row r="76">
      <c r="A76" s="1" t="inlineStr">
        <is>
          <t>Total de activos</t>
        </is>
      </c>
      <c r="B76" s="10">
        <v>1530000</v>
      </c>
    </row>
    <row r="77">
      <c r="A77" s="1" t="inlineStr">
        <is>
          <t>Deudas</t>
        </is>
      </c>
      <c r="B77" s="10">
        <v>-135000</v>
      </c>
    </row>
    <row r="78">
      <c r="A78" s="1" t="inlineStr">
        <is>
          <t>Patrimonio neto</t>
        </is>
      </c>
      <c r="B78" s="10">
        <v>1395000</v>
      </c>
    </row>
    <row r="79">
      <c r="A79" s="1" t="inlineStr">
        <is>
          <t>Peso del portafolio declarado por el cliente</t>
        </is>
      </c>
      <c r="C79" t="inlineStr">
        <is>
          <t>40% del patrimonio total</t>
        </is>
      </c>
    </row>
    <row r="80">
      <c r="A80" s="1" t="inlineStr">
        <is>
          <t>Peso del portafolio calculado (control)</t>
        </is>
      </c>
      <c r="C80" t="inlineStr">
        <is>
          <t>16% de los activos declarados · no interviene en la proyección</t>
        </is>
      </c>
    </row>
    <row r="82">
      <c r="A82" s="6" t="inlineStr">
        <is>
          <t>Hogar, patrimonio y protección</t>
        </is>
      </c>
    </row>
    <row r="83">
      <c r="A83" s="1" t="inlineStr">
        <is>
          <t>Hijos</t>
        </is>
      </c>
      <c r="C83" t="inlineStr">
        <is>
          <t>No tiene</t>
        </is>
      </c>
    </row>
    <row r="84">
      <c r="A84" s="1" t="inlineStr">
        <is>
          <t>Otros dependientes</t>
        </is>
      </c>
      <c r="B84" s="9">
        <v>1</v>
      </c>
      <c r="C84" t="inlineStr">
        <is>
          <t>otros 1</t>
        </is>
      </c>
    </row>
    <row r="85">
      <c r="A85" s="1" t="inlineStr">
        <is>
          <t>Fuentes del ingreso</t>
        </is>
      </c>
      <c r="C85" t="inlineStr">
        <is>
          <t>Salario · Empresa propia</t>
        </is>
      </c>
    </row>
    <row r="86">
      <c r="A86" s="1" t="inlineStr">
        <is>
          <t>Vivienda principal</t>
        </is>
      </c>
      <c r="C86" t="inlineStr">
        <is>
          <t>Propia, con hipoteca</t>
        </is>
      </c>
    </row>
    <row r="87">
      <c r="A87" s="1" t="inlineStr">
        <is>
          <t>Saldo de la hipoteca</t>
        </is>
      </c>
      <c r="B87" s="10">
        <v>120000</v>
      </c>
      <c r="C87" t="inlineStr">
        <is>
          <t>USD</t>
        </is>
      </c>
    </row>
    <row r="88">
      <c r="A88" s="1" t="inlineStr">
        <is>
          <t>Cuota mensual de la hipoteca</t>
        </is>
      </c>
      <c r="B88" s="10">
        <v>1200</v>
      </c>
      <c r="C88" t="inlineStr">
        <is>
          <t>USD</t>
        </is>
      </c>
    </row>
    <row r="89">
      <c r="A89" s="1" t="inlineStr">
        <is>
          <t>Tasa de interés anual de la hipoteca</t>
        </is>
      </c>
      <c r="B89" s="4">
        <v>0.085</v>
      </c>
    </row>
    <row r="90">
      <c r="A90" s="1" t="inlineStr">
        <is>
          <t>Plazo restante de la hipoteca (años)</t>
        </is>
      </c>
      <c r="B90" s="9">
        <v>15</v>
      </c>
    </row>
    <row r="91">
      <c r="A91" s="1" t="inlineStr">
        <is>
          <t>Apartamento en Santa Ana (valor)</t>
        </is>
      </c>
      <c r="B91" s="10">
        <v>180000</v>
      </c>
      <c r="C91" t="inlineStr">
        <is>
          <t>Renta neta 1 100 · deuda 0 · USD · estima venderlo en 2031 · invertiría todo aquí</t>
        </is>
      </c>
    </row>
    <row r="92">
      <c r="A92" s="1" t="inlineStr">
        <is>
          <t>Empresa propia</t>
        </is>
      </c>
      <c r="C92" t="inlineStr">
        <is>
          <t>Estima traspasarla en 10 años · participación 100%</t>
        </is>
      </c>
    </row>
    <row r="93">
      <c r="A93" s="1" t="inlineStr">
        <is>
          <t>Capital privado: valor estimado (100%)</t>
        </is>
      </c>
      <c r="B93" s="10">
        <v>800000</v>
      </c>
      <c r="C93" t="inlineStr">
        <is>
          <t>USD · participación 15%</t>
        </is>
      </c>
    </row>
    <row r="94">
      <c r="A94" s="1" t="inlineStr">
        <is>
          <t>Estructuras jurídicas</t>
        </is>
      </c>
      <c r="C94" t="inlineStr">
        <is>
          <t>No indicó</t>
        </is>
      </c>
    </row>
    <row r="95">
      <c r="A95" s="1" t="inlineStr">
        <is>
          <t>Valor estimado de la empresa</t>
        </is>
      </c>
      <c r="B95" s="10">
        <v>900000</v>
      </c>
      <c r="C95" t="inlineStr">
        <is>
          <t>USD</t>
        </is>
      </c>
    </row>
    <row r="96">
      <c r="A96" s="1" t="inlineStr">
        <is>
          <t>Deuda 1: Préstamo personal</t>
        </is>
      </c>
      <c r="B96" s="10">
        <v>12000</v>
      </c>
      <c r="C96" t="inlineStr">
        <is>
          <t>USD · cuota 350 al mes · tasa 11% · hasta 2029</t>
        </is>
      </c>
    </row>
    <row r="97">
      <c r="A97" s="1" t="inlineStr">
        <is>
          <t>Deuda 2: Tarjeta de crédito</t>
        </is>
      </c>
      <c r="B97" s="10">
        <v>3000</v>
      </c>
      <c r="C97" t="inlineStr">
        <is>
          <t>USD · cuota 150 al mes · tasa 32% · hasta 2027</t>
        </is>
      </c>
    </row>
    <row r="98">
      <c r="A98" s="1" t="inlineStr">
        <is>
          <t>Donaciones al año (US$ de hoy)</t>
        </is>
      </c>
      <c r="B98" s="10">
        <v>3000</v>
      </c>
    </row>
    <row r="99">
      <c r="A99" s="1" t="inlineStr">
        <is>
          <t>Gasto extraordinario 1: Seguro y marchamo de vehículos</t>
        </is>
      </c>
      <c r="B99" s="10">
        <v>6000</v>
      </c>
      <c r="C99" t="inlineStr">
        <is>
          <t>USD de hoy · cada año desde 2027</t>
        </is>
      </c>
    </row>
    <row r="100">
      <c r="A100" s="1" t="inlineStr">
        <is>
          <t>Gasto extraordinario 2: Remodelación de la casa</t>
        </is>
      </c>
      <c r="B100" s="10">
        <v>35000</v>
      </c>
      <c r="C100" t="inlineStr">
        <is>
          <t>USD de hoy · en 2030</t>
        </is>
      </c>
    </row>
    <row r="101">
      <c r="A101" s="1" t="inlineStr">
        <is>
          <t>Seguros vigentes</t>
        </is>
      </c>
      <c r="C101" t="inlineStr">
        <is>
          <t>Ninguno</t>
        </is>
      </c>
    </row>
    <row r="103">
      <c r="A103" s="6" t="inlineStr">
        <is>
          <t>Datos financieros declarados</t>
        </is>
      </c>
    </row>
    <row r="104">
      <c r="A104" s="1" t="inlineStr">
        <is>
          <t>Ingreso total mensual</t>
        </is>
      </c>
      <c r="B104" s="10">
        <v>2700000</v>
      </c>
      <c r="C104" t="inlineStr">
        <is>
          <t>CRC</t>
        </is>
      </c>
    </row>
    <row r="105">
      <c r="A105" s="1" t="inlineStr">
        <is>
          <t>Gasto familiar mensual</t>
        </is>
      </c>
      <c r="B105" s="10">
        <v>5500</v>
      </c>
      <c r="C105" t="inlineStr">
        <is>
          <t>USD</t>
        </is>
      </c>
    </row>
    <row r="106">
      <c r="A106" s="1" t="inlineStr">
        <is>
          <t>Capital inicial invertido</t>
        </is>
      </c>
      <c r="B106" s="10">
        <v>250000</v>
      </c>
      <c r="C106" t="inlineStr">
        <is>
          <t>USD</t>
        </is>
      </c>
    </row>
    <row r="107">
      <c r="A107" s="1" t="inlineStr">
        <is>
          <t>Gastos extraordinarios anuales (US$ de hoy)</t>
        </is>
      </c>
      <c r="B107" s="10">
        <v>0</v>
      </c>
      <c r="C107" t="inlineStr">
        <is>
          <t>USD</t>
        </is>
      </c>
    </row>
    <row r="108">
      <c r="A108" s="1" t="inlineStr">
        <is>
          <t>Gasto familiar pagado en dólares</t>
        </is>
      </c>
      <c r="C108" t="inlineStr">
        <is>
          <t>30% (el resto en colones)</t>
        </is>
      </c>
    </row>
    <row r="109">
      <c r="A109" s="1" t="inlineStr">
        <is>
          <t>Comentarios del cliente</t>
        </is>
      </c>
    </row>
    <row r="111">
      <c r="A111" s="6" t="inlineStr">
        <is>
          <t>Cartera asignada y cartera de equilibrio</t>
        </is>
      </c>
    </row>
    <row r="112">
      <c r="A112" s="5" t="inlineStr">
        <is>
          <t>Clase de activo</t>
        </is>
      </c>
      <c r="B112" s="5" t="inlineStr">
        <is>
          <t>Cartera asignada</t>
        </is>
      </c>
      <c r="C112" s="5" t="inlineStr">
        <is>
          <t>Cartera de equilibrio</t>
        </is>
      </c>
    </row>
    <row r="113">
      <c r="A113" s="1" t="inlineStr">
        <is>
          <t>Renta variable</t>
        </is>
      </c>
      <c r="B113" s="4">
        <v>0.4</v>
      </c>
      <c r="C113" s="4">
        <v>0.802</v>
      </c>
    </row>
    <row r="114">
      <c r="A114" s="1" t="inlineStr">
        <is>
          <t>Renta fija</t>
        </is>
      </c>
      <c r="B114" s="4">
        <v>0.425</v>
      </c>
      <c r="C114" s="4">
        <v>0.14800000000000002</v>
      </c>
    </row>
    <row r="115">
      <c r="A115" s="1" t="inlineStr">
        <is>
          <t>Efectivo</t>
        </is>
      </c>
      <c r="B115" s="4">
        <v>0.175</v>
      </c>
      <c r="C115" s="4">
        <v>0.05</v>
      </c>
    </row>
    <row r="116">
      <c r="A116" s="1" t="inlineStr">
        <is>
          <t>Rendimiento de la cartera de equilibrio</t>
        </is>
      </c>
      <c r="B116" s="4">
        <v>0.07577027512570567</v>
      </c>
    </row>
    <row r="117">
      <c r="A117" s="1" t="inlineStr">
        <is>
          <t>Volatilidad anual de la cartera de equilibrio</t>
        </is>
      </c>
      <c r="B117" s="4">
        <v>0.15627062233935454</v>
      </c>
    </row>
    <row r="119">
      <c r="A119" s="6" t="inlineStr">
        <is>
          <t>Supuestos aplicados</t>
        </is>
      </c>
    </row>
    <row r="120">
      <c r="A120" s="1" t="inlineStr">
        <is>
          <t>Tipo de cambio ₡/US$</t>
        </is>
      </c>
      <c r="B120" s="2">
        <v>450</v>
      </c>
    </row>
    <row r="121">
      <c r="A121" s="1" t="inlineStr">
        <is>
          <t>Inflación general</t>
        </is>
      </c>
      <c r="B121" s="4">
        <v>0.039</v>
      </c>
    </row>
    <row r="122">
      <c r="A122" s="1" t="inlineStr">
        <is>
          <t>Inflación de ingresos</t>
        </is>
      </c>
      <c r="B122" s="4">
        <v>0.01</v>
      </c>
    </row>
    <row r="123">
      <c r="A123" s="1" t="inlineStr">
        <is>
          <t>Inflación de pensión</t>
        </is>
      </c>
      <c r="B123" s="4">
        <v>0.01</v>
      </c>
    </row>
    <row r="124">
      <c r="A124" s="1" t="inlineStr">
        <is>
          <t>Inflación de salud</t>
        </is>
      </c>
      <c r="B124" s="4">
        <v>0.08</v>
      </c>
    </row>
    <row r="125">
      <c r="A125" s="1" t="inlineStr">
        <is>
          <t>Ajuste anual de alquileres</t>
        </is>
      </c>
      <c r="B125" s="4">
        <v>0</v>
      </c>
    </row>
    <row r="126">
      <c r="A126" s="1" t="inlineStr">
        <is>
          <t>Año de inicio</t>
        </is>
      </c>
      <c r="B126" s="9">
        <v>2026</v>
      </c>
    </row>
    <row r="127">
      <c r="A127" s="1" t="inlineStr">
        <is>
          <t>Edad final de la proyección</t>
        </is>
      </c>
      <c r="B127" s="9">
        <v>95</v>
      </c>
    </row>
    <row r="128">
      <c r="A128" s="1" t="inlineStr">
        <is>
          <t>Gasto en el retiro si lo prevé menor</t>
        </is>
      </c>
      <c r="B128" s="7">
        <v>0.8</v>
      </c>
    </row>
    <row r="129">
      <c r="A129" s="1" t="inlineStr">
        <is>
          <t>Gasto en el retiro si lo prevé mayor</t>
        </is>
      </c>
      <c r="B129" s="7">
        <v>1.1</v>
      </c>
    </row>
    <row r="131">
      <c r="A131" s="6" t="inlineStr">
        <is>
          <t>Resultados de la proyección</t>
        </is>
      </c>
    </row>
    <row r="132">
      <c r="A132" s="1" t="inlineStr">
        <is>
          <t>Portafolio máximo proyectado</t>
        </is>
      </c>
      <c r="B132" s="10">
        <v>1326366</v>
      </c>
    </row>
    <row r="133">
      <c r="A133" s="1" t="inlineStr">
        <is>
          <t>Portafolio final nominal</t>
        </is>
      </c>
      <c r="B133" s="10">
        <v>0</v>
      </c>
    </row>
    <row r="134">
      <c r="A134" s="1" t="inlineStr">
        <is>
          <t>Portafolio final en términos reales</t>
        </is>
      </c>
      <c r="B134" s="10">
        <v>0</v>
      </c>
    </row>
    <row r="135">
      <c r="A135" s="1" t="inlineStr">
        <is>
          <t>Tasa de retiro inicial</t>
        </is>
      </c>
      <c r="B135" s="4">
        <v>0.009230391754371303</v>
      </c>
    </row>
    <row r="136">
      <c r="A136" s="1" t="inlineStr">
        <is>
          <t>Años de acumulación</t>
        </is>
      </c>
      <c r="B136" s="9">
        <v>14</v>
      </c>
    </row>
    <row r="137">
      <c r="A137" s="1" t="inlineStr">
        <is>
          <t>Años de retiro</t>
        </is>
      </c>
      <c r="B137" s="9">
        <v>36</v>
      </c>
    </row>
    <row r="138">
      <c r="A138" s="1" t="inlineStr">
        <is>
          <t>Edad a la que se agota el portafolio</t>
        </is>
      </c>
      <c r="B138" s="9">
        <v>82</v>
      </c>
    </row>
  </sheetData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5" ySplit="27" topLeftCell="F28" activePane="bottomRight" state="frozen"/>
    </sheetView>
  </sheetViews>
  <cols>
    <col width="2" customWidth="1" min="1" max="1"/>
    <col width="8" customWidth="1" min="2" max="2"/>
    <col width="34" customWidth="1" min="3" max="3"/>
    <col width="9" customWidth="1" min="4" max="4"/>
    <col width="13" customWidth="1" min="5" max="5"/>
    <col width="30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30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4" customWidth="1" min="39" max="39"/>
  </cols>
  <sheetData>
    <row r="1">
      <c r="C1" s="1" t="inlineStr">
        <is>
          <t>Tipo de cambio</t>
        </is>
      </c>
      <c r="D1" s="2">
        <v>450</v>
      </c>
      <c r="F1" s="1" t="inlineStr">
        <is>
          <t>Ingreso total mensual</t>
        </is>
      </c>
      <c r="G1" s="10">
        <f>2700000/$D$1</f>
        <v>6000</v>
      </c>
      <c r="I1" s="1" t="inlineStr">
        <is>
          <t>Gasto familiar mensual</t>
        </is>
      </c>
      <c r="J1" s="10">
        <v>5500</v>
      </c>
      <c r="L1" s="1" t="inlineStr">
        <is>
          <t>Ingreso extraordinario (n.º y nombre)</t>
        </is>
      </c>
      <c r="M1" t="inlineStr">
        <is>
          <t>1. Bono por antigüedad</t>
        </is>
      </c>
      <c r="N1" t="inlineStr">
        <is>
          <t>2. Herencia esperada</t>
        </is>
      </c>
    </row>
    <row r="2">
      <c r="C2" s="1" t="inlineStr">
        <is>
          <t>Inflación de ingresos (referencial)</t>
        </is>
      </c>
      <c r="D2" s="4">
        <v>0.01</v>
      </c>
      <c r="F2" s="1" t="inlineStr">
        <is>
          <t>Otros ingresos recurrentes al mes</t>
        </is>
      </c>
      <c r="G2" s="10">
        <f>500000/$D$1</f>
        <v>1111.111111111111</v>
      </c>
      <c r="I2" s="1" t="inlineStr">
        <is>
          <t>Gasto en el retiro (% del actual)</t>
        </is>
      </c>
      <c r="J2" s="4">
        <v>1</v>
      </c>
      <c r="L2" s="1" t="inlineStr">
        <is>
          <t>Año del ingreso extraordinario</t>
        </is>
      </c>
      <c r="M2" s="9">
        <v>2028</v>
      </c>
      <c r="N2" s="9">
        <v>2032</v>
      </c>
    </row>
    <row r="3">
      <c r="C3" s="1" t="inlineStr">
        <is>
          <t>Inflación</t>
        </is>
      </c>
      <c r="D3" s="4">
        <v>0.039</v>
      </c>
      <c r="F3" s="1" t="inlineStr">
        <is>
          <t>Período de inicio de otros ingresos</t>
        </is>
      </c>
      <c r="G3" s="9">
        <v>5</v>
      </c>
      <c r="I3" s="1" t="inlineStr">
        <is>
          <t>Donaciones al año</t>
        </is>
      </c>
      <c r="J3" s="10">
        <v>3000</v>
      </c>
      <c r="L3" s="1" t="inlineStr">
        <is>
          <t>Monto del ingreso extraordinario</t>
        </is>
      </c>
      <c r="M3" s="10">
        <v>40000</v>
      </c>
      <c r="N3" s="10">
        <v>120000</v>
      </c>
    </row>
    <row r="4">
      <c r="C4" s="1" t="inlineStr">
        <is>
          <t>Inflación de la pensión</t>
        </is>
      </c>
      <c r="D4" s="4">
        <v>0.01</v>
      </c>
      <c r="F4" s="1" t="inlineStr">
        <is>
          <t>Pensión mensual</t>
        </is>
      </c>
      <c r="G4" s="10">
        <f>800000/$D$1</f>
        <v>1777.7777777777778</v>
      </c>
      <c r="I4" s="1" t="inlineStr">
        <is>
          <t>Cuota mensual de la hipoteca</t>
        </is>
      </c>
      <c r="J4" s="10">
        <v>1200</v>
      </c>
      <c r="L4" s="1" t="inlineStr">
        <is>
          <t>Año de la desinversión</t>
        </is>
      </c>
      <c r="M4" s="9">
        <v>2031</v>
      </c>
      <c r="N4" s="9">
        <v>2033</v>
      </c>
    </row>
    <row r="5">
      <c r="C5" s="1" t="inlineStr">
        <is>
          <t>Inflación de salud (referencial)</t>
        </is>
      </c>
      <c r="D5" s="4">
        <v>0.08</v>
      </c>
      <c r="F5" s="1" t="inlineStr">
        <is>
          <t>Edad de inicio de la pensión</t>
        </is>
      </c>
      <c r="G5" s="9">
        <v>65</v>
      </c>
      <c r="I5" s="1" t="inlineStr">
        <is>
          <t>Años restantes de la hipoteca</t>
        </is>
      </c>
      <c r="J5" s="9">
        <v>15</v>
      </c>
      <c r="L5" s="1" t="inlineStr">
        <is>
          <t>Desinversión (venta de activos)</t>
        </is>
      </c>
      <c r="M5" s="10">
        <v>180000</v>
      </c>
      <c r="N5" s="10">
        <v>150000</v>
      </c>
    </row>
    <row r="6">
      <c r="C6" s="1" t="inlineStr">
        <is>
          <t>Ajuste de alquileres (referencial)</t>
        </is>
      </c>
      <c r="D6" s="4">
        <v>0</v>
      </c>
      <c r="F6" s="1" t="inlineStr">
        <is>
          <t>Período del primer pago de pensión</t>
        </is>
      </c>
      <c r="G6" s="9">
        <f>MAX(15,G5-C28+1)</f>
        <v>20</v>
      </c>
      <c r="I6" s="1" t="inlineStr">
        <is>
          <t>Cuota de otras deudas (versión anterior)</t>
        </is>
      </c>
      <c r="J6" s="10">
        <v>0</v>
      </c>
      <c r="L6" s="1" t="inlineStr">
        <is>
          <t>Tipo de desinversión (1 inmueble · 2 empresa · 3 otro)</t>
        </is>
      </c>
      <c r="M6" s="9">
        <v>1</v>
      </c>
      <c r="N6" s="9">
        <v>3</v>
      </c>
    </row>
    <row r="7">
      <c r="C7" s="1" t="inlineStr">
        <is>
          <t>Rendimiento esperado del portafolio</t>
        </is>
      </c>
      <c r="D7" s="4">
        <v>0.06</v>
      </c>
      <c r="F7" s="1" t="inlineStr">
        <is>
          <t>Años hasta la independencia</t>
        </is>
      </c>
      <c r="G7" s="9">
        <v>14</v>
      </c>
      <c r="I7" s="1" t="inlineStr">
        <is>
          <t>Años de otras deudas (versión anterior)</t>
        </is>
      </c>
      <c r="J7" s="9">
        <v>0</v>
      </c>
      <c r="L7" s="1" t="inlineStr">
        <is>
          <t>Inicio del gasto de dependiente</t>
        </is>
      </c>
      <c r="M7" s="9">
        <v>2030</v>
      </c>
    </row>
    <row r="8">
      <c r="F8" s="1" t="inlineStr">
        <is>
          <t>Años con ingreso total</t>
        </is>
      </c>
      <c r="G8" s="9">
        <v>14</v>
      </c>
      <c r="I8" s="1" t="inlineStr">
        <is>
          <t>Gastos extraordinarios al año (versión anterior)</t>
        </is>
      </c>
      <c r="J8" s="10">
        <v>0</v>
      </c>
      <c r="L8" s="1" t="inlineStr">
        <is>
          <t>Años que dura</t>
        </is>
      </c>
      <c r="M8" s="9">
        <v>5</v>
      </c>
    </row>
    <row r="9">
      <c r="L9" s="1" t="inlineStr">
        <is>
          <t>Gasto anual del dependiente</t>
        </is>
      </c>
      <c r="M9" s="10">
        <v>12000</v>
      </c>
    </row>
    <row r="10">
      <c r="L10" s="1" t="inlineStr">
        <is>
          <t>Alquiler mensual del inmueble</t>
        </is>
      </c>
      <c r="M10" s="10">
        <v>1100</v>
      </c>
    </row>
    <row r="11">
      <c r="L11" s="1" t="inlineStr">
        <is>
          <t>Último año con alquiler</t>
        </is>
      </c>
      <c r="M11" s="9">
        <v>2030</v>
      </c>
    </row>
    <row r="12">
      <c r="L12" s="1" t="inlineStr">
        <is>
          <t>Año de la meta pagada con el portafolio</t>
        </is>
      </c>
      <c r="M12" s="9">
        <v>2031</v>
      </c>
    </row>
    <row r="13">
      <c r="C13" t="inlineStr">
        <is>
          <t>Montos en dólares de hoy; los colones se convierten con el tipo de cambio (D1).</t>
        </is>
      </c>
      <c r="L13" s="1" t="inlineStr">
        <is>
          <t>Monto de la meta</t>
        </is>
      </c>
      <c r="M13" s="10">
        <v>40000</v>
      </c>
    </row>
    <row r="14">
      <c r="L14" s="1" t="inlineStr">
        <is>
          <t>Año del primer retiro</t>
        </is>
      </c>
      <c r="M14" s="9">
        <v>2031</v>
      </c>
    </row>
    <row r="15">
      <c r="L15" s="1" t="inlineStr">
        <is>
          <t>Monto del primer retiro</t>
        </is>
      </c>
      <c r="M15" s="10">
        <v>50000</v>
      </c>
    </row>
    <row r="16">
      <c r="L16" s="1" t="inlineStr">
        <is>
          <t>Gasto extraordinario (n.º y nombre)</t>
        </is>
      </c>
      <c r="M16" t="inlineStr">
        <is>
          <t>1. Seguro y marchamo de vehículos</t>
        </is>
      </c>
      <c r="N16" t="inlineStr">
        <is>
          <t>2. Remodelación de la casa</t>
        </is>
      </c>
    </row>
    <row r="17">
      <c r="L17" s="1" t="inlineStr">
        <is>
          <t>Año del gasto extraordinario</t>
        </is>
      </c>
      <c r="M17" s="9">
        <v>2027</v>
      </c>
      <c r="N17" s="9">
        <v>2030</v>
      </c>
    </row>
    <row r="18">
      <c r="L18" s="1" t="inlineStr">
        <is>
          <t>Monto del gasto extraordinario</t>
        </is>
      </c>
      <c r="M18" s="10">
        <v>6000</v>
      </c>
      <c r="N18" s="10">
        <v>35000</v>
      </c>
    </row>
    <row r="19">
      <c r="L19" s="1" t="inlineStr">
        <is>
          <t>Frecuencia (1 solo ese año · 2 cada año)</t>
        </is>
      </c>
      <c r="M19" s="9">
        <v>2</v>
      </c>
      <c r="N19" s="9">
        <v>1</v>
      </c>
    </row>
    <row r="20">
      <c r="L20" s="1" t="inlineStr">
        <is>
          <t>Deuda (n.º y nombre)</t>
        </is>
      </c>
      <c r="M20" t="inlineStr">
        <is>
          <t>1. Préstamo personal</t>
        </is>
      </c>
      <c r="N20" t="inlineStr">
        <is>
          <t>2. Tarjeta de crédito</t>
        </is>
      </c>
    </row>
    <row r="21">
      <c r="L21" s="1" t="inlineStr">
        <is>
          <t>Cuota mensual de la deuda</t>
        </is>
      </c>
      <c r="M21" s="10">
        <v>350</v>
      </c>
      <c r="N21" s="10">
        <v>150</v>
      </c>
    </row>
    <row r="22">
      <c r="L22" s="1" t="inlineStr">
        <is>
          <t>Último año de pago</t>
        </is>
      </c>
      <c r="M22" s="9">
        <v>2029</v>
      </c>
      <c r="N22" s="9">
        <v>2027</v>
      </c>
    </row>
    <row r="23">
      <c r="L23" s="1" t="inlineStr">
        <is>
          <t>Saldo de la deuda (informativo)</t>
        </is>
      </c>
      <c r="M23" s="10">
        <v>12000</v>
      </c>
      <c r="N23" s="10">
        <v>3000</v>
      </c>
    </row>
    <row r="24">
      <c r="L24" s="1" t="inlineStr">
        <is>
          <t>Tasa anual (informativo)</t>
        </is>
      </c>
      <c r="M24" s="4">
        <v>0.11</v>
      </c>
      <c r="N24" s="4">
        <v>0.32</v>
      </c>
    </row>
    <row r="26">
      <c r="F26" s="6" t="inlineStr">
        <is>
          <t>Ingresos ordinarios</t>
        </is>
      </c>
      <c r="L26" s="6" t="inlineStr">
        <is>
          <t>Ingresos extraordinarios</t>
        </is>
      </c>
      <c r="O26" s="6" t="inlineStr">
        <is>
          <t>Ingresos totales</t>
        </is>
      </c>
      <c r="P26" s="6" t="inlineStr">
        <is>
          <t>Gastos ordinarios</t>
        </is>
      </c>
      <c r="U26" s="6" t="inlineStr">
        <is>
          <t>Gastos extraordinarios</t>
        </is>
      </c>
      <c r="V26" s="6" t="inlineStr">
        <is>
          <t>Gastos totales</t>
        </is>
      </c>
      <c r="W26" s="6" t="inlineStr">
        <is>
          <t>Flujo neto</t>
        </is>
      </c>
      <c r="X26" s="6" t="inlineStr">
        <is>
          <t>Inversiones</t>
        </is>
      </c>
      <c r="Z26" s="6" t="inlineStr">
        <is>
          <t>Desinversiones</t>
        </is>
      </c>
      <c r="AD26" s="6" t="inlineStr">
        <is>
          <t>Retiros del portafolio</t>
        </is>
      </c>
      <c r="AH26" s="6" t="inlineStr">
        <is>
          <t>Portafolio</t>
        </is>
      </c>
    </row>
    <row r="27" ht="46" customHeight="1">
      <c r="B27" s="5" t="inlineStr">
        <is>
          <t>Año</t>
        </is>
      </c>
      <c r="C27" s="5" t="inlineStr">
        <is>
          <t>Edad</t>
        </is>
      </c>
      <c r="D27" s="5" t="inlineStr">
        <is>
          <t>Período</t>
        </is>
      </c>
      <c r="E27" s="5" t="inlineStr">
        <is>
          <t>Fase</t>
        </is>
      </c>
      <c r="F27" s="5" t="inlineStr">
        <is>
          <t>Ingreso total (actividad)</t>
        </is>
      </c>
      <c r="G27" s="5" t="inlineStr">
        <is>
          <t>Otros ingresos recurrentes</t>
        </is>
      </c>
      <c r="H27" s="5" t="inlineStr">
        <is>
          <t>Alquileres de inmuebles</t>
        </is>
      </c>
      <c r="I27" s="5" t="inlineStr">
        <is>
          <t>Pensión</t>
        </is>
      </c>
      <c r="J27" s="5" t="inlineStr">
        <is>
          <t>Pensión del ROP</t>
        </is>
      </c>
      <c r="K27" s="5" t="inlineStr">
        <is>
          <t>Total ingresos ordinarios</t>
        </is>
      </c>
      <c r="L27" s="5" t="inlineStr">
        <is>
          <t>Ingresos extraordinarios</t>
        </is>
      </c>
      <c r="M27" s="5" t="inlineStr">
        <is>
          <t>Traslado de FCL y pensión voluntaria</t>
        </is>
      </c>
      <c r="N27" s="5" t="inlineStr">
        <is>
          <t>Total ingresos extraordinarios</t>
        </is>
      </c>
      <c r="O27" s="5" t="inlineStr">
        <is>
          <t>Total ingresos</t>
        </is>
      </c>
      <c r="P27" s="5" t="inlineStr">
        <is>
          <t>Gasto familiar</t>
        </is>
      </c>
      <c r="Q27" s="5" t="inlineStr">
        <is>
          <t>Gastos de dependientes</t>
        </is>
      </c>
      <c r="R27" s="5" t="inlineStr">
        <is>
          <t>Donaciones</t>
        </is>
      </c>
      <c r="S27" s="5" t="inlineStr">
        <is>
          <t>Cuotas de hipoteca y deudas</t>
        </is>
      </c>
      <c r="T27" s="5" t="inlineStr">
        <is>
          <t>Total gastos ordinarios</t>
        </is>
      </c>
      <c r="U27" s="5" t="inlineStr">
        <is>
          <t>Total gastos extraordinarios</t>
        </is>
      </c>
      <c r="V27" s="5" t="inlineStr">
        <is>
          <t>Total gastos</t>
        </is>
      </c>
      <c r="W27" s="5" t="inlineStr">
        <is>
          <t>Flujo neto (ingresos − gastos)</t>
        </is>
      </c>
      <c r="X27" s="5" t="inlineStr">
        <is>
          <t>Superávit invertido en el portafolio</t>
        </is>
      </c>
      <c r="Y27" s="5" t="inlineStr">
        <is>
          <t>Total inversiones</t>
        </is>
      </c>
      <c r="Z27" s="5" t="inlineStr">
        <is>
          <t>Venta de inmuebles</t>
        </is>
      </c>
      <c r="AA27" s="5" t="inlineStr">
        <is>
          <t>Venta de la empresa</t>
        </is>
      </c>
      <c r="AB27" s="5" t="inlineStr">
        <is>
          <t>Venta de otros activos</t>
        </is>
      </c>
      <c r="AC27" s="5" t="inlineStr">
        <is>
          <t>Total desinversiones</t>
        </is>
      </c>
      <c r="AD27" s="5" t="inlineStr">
        <is>
          <t>Retiro para cubrir el déficit</t>
        </is>
      </c>
      <c r="AE27" s="5" t="inlineStr">
        <is>
          <t>Metas pagadas con el portafolio</t>
        </is>
      </c>
      <c r="AF27" s="5" t="inlineStr">
        <is>
          <t>Primer retiro</t>
        </is>
      </c>
      <c r="AG27" s="5" t="inlineStr">
        <is>
          <t>Total retiros del portafolio</t>
        </is>
      </c>
      <c r="AH27" s="5" t="inlineStr">
        <is>
          <t>Portafolio inicial</t>
        </is>
      </c>
      <c r="AI27" s="5" t="inlineStr">
        <is>
          <t>Rendimiento</t>
        </is>
      </c>
      <c r="AJ27" s="5" t="inlineStr">
        <is>
          <t>Gasto no cubierto</t>
        </is>
      </c>
      <c r="AK27" s="5" t="inlineStr">
        <is>
          <t>Portafolio final nominal</t>
        </is>
      </c>
      <c r="AL27" s="5" t="inlineStr">
        <is>
          <t>Portafolio en términos reales</t>
        </is>
      </c>
      <c r="AM27" s="5" t="inlineStr">
        <is>
          <t>Tasa de retiro (% del portafolio)</t>
        </is>
      </c>
    </row>
    <row r="28">
      <c r="B28" s="9">
        <v>2026</v>
      </c>
      <c r="C28" s="9">
        <v>46</v>
      </c>
      <c r="D28" s="9">
        <v>1</v>
      </c>
      <c r="E28" t="str">
        <f>IF(D28&lt;=$G$7,"Acumulación","Retiro")</f>
        <v>Acumulación</v>
      </c>
      <c r="F28" s="10">
        <f>IF(D28&lt;=$G$8,$G$1*12*(1+$D$3)^(D28-1),0)</f>
        <v>72000</v>
      </c>
      <c r="G28" s="10">
        <f>IF(AND($G$2&gt;0,D28&gt;=$G$3),$G$2*12*(1+$D$3)^(D28-1),0)</f>
        <v>0</v>
      </c>
      <c r="H28" s="10">
        <f>SUMPRODUCT(($M$11:$V$11&gt;=B28)*$M$10:$V$10)*12*(1+$D$3)^(D28-1)</f>
        <v>13200</v>
      </c>
      <c r="I28" s="10">
        <f>IF(AND($G$4&gt;0,D28&gt;=$G$6),$G$4*12*(1+$D$3)^($G$6-1)*(1+$D$4)^(D28-$G$6),0)</f>
        <v>0</v>
      </c>
      <c r="J28" s="10">
        <f>'Fondos de pensión'!T19</f>
        <v>0</v>
      </c>
      <c r="K28" s="10">
        <f>SUM(F28:J28)</f>
        <v>85200</v>
      </c>
      <c r="L28" s="10">
        <f>SUMIF($M$2:$V$2,B28,$M$3:$V$3)*(1+$D$3)^(D28-1)</f>
        <v>0</v>
      </c>
      <c r="M28" s="10">
        <f>'Fondos de pensión'!S19</f>
        <v>0</v>
      </c>
      <c r="N28" s="10">
        <f>SUM(L28:M28)</f>
        <v>0</v>
      </c>
      <c r="O28" s="10">
        <f>K28+N28</f>
        <v>85200</v>
      </c>
      <c r="P28" s="10">
        <f>$J$1*12*(1+$D$3)^(D28-1)*IF(D28&gt;$G$7,$J$2,1)</f>
        <v>66000</v>
      </c>
      <c r="Q28" s="10">
        <f>SUMPRODUCT(($M$7:$V$7&lt;=B28)*($M$7:$V$7+$M$8:$V$8&gt;B28)*$M$9:$V$9)*(1+$D$3)^(D28-1)</f>
        <v>0</v>
      </c>
      <c r="R28" s="10">
        <f>$J$3*(1+$D$3)^(D28-1)</f>
        <v>3000</v>
      </c>
      <c r="S28" s="10">
        <f>IF(D28&lt;=$J$5,$J$4*12,0)+IF(D28&lt;=$J$7,$J$6*12,0)+SUMPRODUCT(($M$22:$V$22&gt;=B28)*$M$21:$V$21)*12</f>
        <v>20400</v>
      </c>
      <c r="T28" s="10">
        <f>SUM(P28:S28)</f>
        <v>89400</v>
      </c>
      <c r="U28" s="10">
        <f>($J$8+SUMPRODUCT(($M$19:$V$19=1)*($M$17:$V$17=B28)*$M$18:$V$18)+SUMPRODUCT(($M$19:$V$19=2)*($M$17:$V$17&lt;=B28)*$M$18:$V$18))*(1+$D$3)^(D28-1)</f>
        <v>0</v>
      </c>
      <c r="V28" s="10">
        <f>T28+U28</f>
        <v>89400</v>
      </c>
      <c r="W28" s="10">
        <f>O28-V28</f>
        <v>-4200</v>
      </c>
      <c r="X28" s="10">
        <f>MAX(0,W28)</f>
        <v>0</v>
      </c>
      <c r="Y28" s="10">
        <f>X28</f>
        <v>0</v>
      </c>
      <c r="Z28" s="10">
        <f>SUMPRODUCT(($M$4:$V$4=B28)*($M$6:$V$6=1)*$M$5:$V$5)*(1+$D$3)^(D28-1)</f>
        <v>0</v>
      </c>
      <c r="AA28" s="10">
        <f>SUMPRODUCT(($M$4:$V$4=B28)*($M$6:$V$6=2)*$M$5:$V$5)*(1+$D$3)^(D28-1)</f>
        <v>0</v>
      </c>
      <c r="AB28" s="10">
        <f>SUMPRODUCT(($M$4:$V$4=B28)*($M$6:$V$6=3)*$M$5:$V$5)*(1+$D$3)^(D28-1)</f>
        <v>0</v>
      </c>
      <c r="AC28" s="10">
        <f>SUM(Z28:AB28)</f>
        <v>0</v>
      </c>
      <c r="AD28" s="10">
        <f>MIN(0,W28)</f>
        <v>-4200</v>
      </c>
      <c r="AE28" s="10">
        <f>-SUMIF($M$12:$V$12,B28,$M$13:$V$13)*(1+$D$3)^(D28-1)</f>
        <v>0</v>
      </c>
      <c r="AF28" s="10">
        <f>IF(B28=$M$14,-$M$15*(1+$D$3)^(D28-1),0)</f>
        <v>0</v>
      </c>
      <c r="AG28" s="10">
        <f>SUM(AD28:AF28)</f>
        <v>-4200</v>
      </c>
      <c r="AH28" s="10">
        <v>250000</v>
      </c>
      <c r="AI28" s="10">
        <f>AH28*$D$7</f>
        <v>15000</v>
      </c>
      <c r="AJ28" s="10">
        <f>MAX(0,-(AH28+AI28+Y28+AC28+AG28))</f>
        <v>0</v>
      </c>
      <c r="AK28" s="10">
        <f>AH28+AI28+Y28+AC28+AG28+AJ28</f>
        <v>260800</v>
      </c>
      <c r="AL28" s="10">
        <f>AK28/(1+$D$3)^D28</f>
        <v>251011</v>
      </c>
      <c r="AM28" s="4">
        <f>IF(AH28&lt;=0,0,-AG28/AH28)</f>
        <v>0.0168</v>
      </c>
    </row>
    <row r="29">
      <c r="B29" s="9">
        <f>B28+1</f>
        <v>2027</v>
      </c>
      <c r="C29" s="9">
        <f>C28+1</f>
        <v>47</v>
      </c>
      <c r="D29" s="9">
        <f>D28+1</f>
        <v>2</v>
      </c>
      <c r="E29" t="str">
        <f>IF(D29&lt;=$G$7,"Acumulación","Retiro")</f>
        <v>Acumulación</v>
      </c>
      <c r="F29" s="10">
        <f>IF(D29&lt;=$G$8,$G$1*12*(1+$D$3)^(D29-1),0)</f>
        <v>74808</v>
      </c>
      <c r="G29" s="10">
        <f>IF(AND($G$2&gt;0,D29&gt;=$G$3),$G$2*12*(1+$D$3)^(D29-1),0)</f>
        <v>0</v>
      </c>
      <c r="H29" s="10">
        <f>SUMPRODUCT(($M$11:$V$11&gt;=B29)*$M$10:$V$10)*12*(1+$D$3)^(D29-1)</f>
        <v>13715</v>
      </c>
      <c r="I29" s="10">
        <f>IF(AND($G$4&gt;0,D29&gt;=$G$6),$G$4*12*(1+$D$3)^($G$6-1)*(1+$D$4)^(D29-$G$6),0)</f>
        <v>0</v>
      </c>
      <c r="J29" s="10">
        <f>'Fondos de pensión'!T20</f>
        <v>0</v>
      </c>
      <c r="K29" s="10">
        <f>SUM(F29:J29)</f>
        <v>88523</v>
      </c>
      <c r="L29" s="10">
        <f>SUMIF($M$2:$V$2,B29,$M$3:$V$3)*(1+$D$3)^(D29-1)</f>
        <v>0</v>
      </c>
      <c r="M29" s="10">
        <f>'Fondos de pensión'!S20</f>
        <v>0</v>
      </c>
      <c r="N29" s="10">
        <f>SUM(L29:M29)</f>
        <v>0</v>
      </c>
      <c r="O29" s="10">
        <f>K29+N29</f>
        <v>88523</v>
      </c>
      <c r="P29" s="10">
        <f>$J$1*12*(1+$D$3)^(D29-1)*IF(D29&gt;$G$7,$J$2,1)</f>
        <v>68574</v>
      </c>
      <c r="Q29" s="10">
        <f>SUMPRODUCT(($M$7:$V$7&lt;=B29)*($M$7:$V$7+$M$8:$V$8&gt;B29)*$M$9:$V$9)*(1+$D$3)^(D29-1)</f>
        <v>0</v>
      </c>
      <c r="R29" s="10">
        <f>$J$3*(1+$D$3)^(D29-1)</f>
        <v>3117</v>
      </c>
      <c r="S29" s="10">
        <f>IF(D29&lt;=$J$5,$J$4*12,0)+IF(D29&lt;=$J$7,$J$6*12,0)+SUMPRODUCT(($M$22:$V$22&gt;=B29)*$M$21:$V$21)*12</f>
        <v>20400</v>
      </c>
      <c r="T29" s="10">
        <f>SUM(P29:S29)</f>
        <v>92091</v>
      </c>
      <c r="U29" s="10">
        <f>($J$8+SUMPRODUCT(($M$19:$V$19=1)*($M$17:$V$17=B29)*$M$18:$V$18)+SUMPRODUCT(($M$19:$V$19=2)*($M$17:$V$17&lt;=B29)*$M$18:$V$18))*(1+$D$3)^(D29-1)</f>
        <v>6234</v>
      </c>
      <c r="V29" s="10">
        <f>T29+U29</f>
        <v>98325</v>
      </c>
      <c r="W29" s="10">
        <f>O29-V29</f>
        <v>-9802</v>
      </c>
      <c r="X29" s="10">
        <f>MAX(0,W29)</f>
        <v>0</v>
      </c>
      <c r="Y29" s="10">
        <f>X29</f>
        <v>0</v>
      </c>
      <c r="Z29" s="10">
        <f>SUMPRODUCT(($M$4:$V$4=B29)*($M$6:$V$6=1)*$M$5:$V$5)*(1+$D$3)^(D29-1)</f>
        <v>0</v>
      </c>
      <c r="AA29" s="10">
        <f>SUMPRODUCT(($M$4:$V$4=B29)*($M$6:$V$6=2)*$M$5:$V$5)*(1+$D$3)^(D29-1)</f>
        <v>0</v>
      </c>
      <c r="AB29" s="10">
        <f>SUMPRODUCT(($M$4:$V$4=B29)*($M$6:$V$6=3)*$M$5:$V$5)*(1+$D$3)^(D29-1)</f>
        <v>0</v>
      </c>
      <c r="AC29" s="10">
        <f>SUM(Z29:AB29)</f>
        <v>0</v>
      </c>
      <c r="AD29" s="10">
        <f>MIN(0,W29)</f>
        <v>-9802</v>
      </c>
      <c r="AE29" s="10">
        <f>-SUMIF($M$12:$V$12,B29,$M$13:$V$13)*(1+$D$3)^(D29-1)</f>
        <v>0</v>
      </c>
      <c r="AF29" s="10">
        <f>IF(B29=$M$14,-$M$15*(1+$D$3)^(D29-1),0)</f>
        <v>0</v>
      </c>
      <c r="AG29" s="10">
        <f>SUM(AD29:AF29)</f>
        <v>-9802</v>
      </c>
      <c r="AH29" s="10">
        <f>AK28</f>
        <v>260800</v>
      </c>
      <c r="AI29" s="10">
        <f>AH29*$D$7</f>
        <v>15648</v>
      </c>
      <c r="AJ29" s="10">
        <f>MAX(0,-(AH29+AI29+Y29+AC29+AG29))</f>
        <v>0</v>
      </c>
      <c r="AK29" s="10">
        <f>AH29+AI29+Y29+AC29+AG29+AJ29</f>
        <v>266646</v>
      </c>
      <c r="AL29" s="10">
        <f>AK29/(1+$D$3)^D29</f>
        <v>247004</v>
      </c>
      <c r="AM29" s="4">
        <f>IF(AH29&lt;=0,0,-AG29/AH29)</f>
        <v>0.03758512269938649</v>
      </c>
    </row>
    <row r="30">
      <c r="B30" s="9">
        <f>B29+1</f>
        <v>2028</v>
      </c>
      <c r="C30" s="9">
        <f>C29+1</f>
        <v>48</v>
      </c>
      <c r="D30" s="9">
        <f>D29+1</f>
        <v>3</v>
      </c>
      <c r="E30" t="str">
        <f>IF(D30&lt;=$G$7,"Acumulación","Retiro")</f>
        <v>Acumulación</v>
      </c>
      <c r="F30" s="10">
        <f>IF(D30&lt;=$G$8,$G$1*12*(1+$D$3)^(D30-1),0)</f>
        <v>77726</v>
      </c>
      <c r="G30" s="10">
        <f>IF(AND($G$2&gt;0,D30&gt;=$G$3),$G$2*12*(1+$D$3)^(D30-1),0)</f>
        <v>0</v>
      </c>
      <c r="H30" s="10">
        <f>SUMPRODUCT(($M$11:$V$11&gt;=B30)*$M$10:$V$10)*12*(1+$D$3)^(D30-1)</f>
        <v>14250</v>
      </c>
      <c r="I30" s="10">
        <f>IF(AND($G$4&gt;0,D30&gt;=$G$6),$G$4*12*(1+$D$3)^($G$6-1)*(1+$D$4)^(D30-$G$6),0)</f>
        <v>0</v>
      </c>
      <c r="J30" s="10">
        <f>'Fondos de pensión'!T21</f>
        <v>0</v>
      </c>
      <c r="K30" s="10">
        <f>SUM(F30:J30)</f>
        <v>91975</v>
      </c>
      <c r="L30" s="10">
        <f>SUMIF($M$2:$V$2,B30,$M$3:$V$3)*(1+$D$3)^(D30-1)</f>
        <v>43181</v>
      </c>
      <c r="M30" s="10">
        <f>'Fondos de pensión'!S21</f>
        <v>0</v>
      </c>
      <c r="N30" s="10">
        <f>SUM(L30:M30)</f>
        <v>43181</v>
      </c>
      <c r="O30" s="10">
        <f>K30+N30</f>
        <v>135156</v>
      </c>
      <c r="P30" s="10">
        <f>$J$1*12*(1+$D$3)^(D30-1)*IF(D30&gt;$G$7,$J$2,1)</f>
        <v>71248</v>
      </c>
      <c r="Q30" s="10">
        <f>SUMPRODUCT(($M$7:$V$7&lt;=B30)*($M$7:$V$7+$M$8:$V$8&gt;B30)*$M$9:$V$9)*(1+$D$3)^(D30-1)</f>
        <v>0</v>
      </c>
      <c r="R30" s="10">
        <f>$J$3*(1+$D$3)^(D30-1)</f>
        <v>3239</v>
      </c>
      <c r="S30" s="10">
        <f>IF(D30&lt;=$J$5,$J$4*12,0)+IF(D30&lt;=$J$7,$J$6*12,0)+SUMPRODUCT(($M$22:$V$22&gt;=B30)*$M$21:$V$21)*12</f>
        <v>18600</v>
      </c>
      <c r="T30" s="10">
        <f>SUM(P30:S30)</f>
        <v>93087</v>
      </c>
      <c r="U30" s="10">
        <f>($J$8+SUMPRODUCT(($M$19:$V$19=1)*($M$17:$V$17=B30)*$M$18:$V$18)+SUMPRODUCT(($M$19:$V$19=2)*($M$17:$V$17&lt;=B30)*$M$18:$V$18))*(1+$D$3)^(D30-1)</f>
        <v>6477</v>
      </c>
      <c r="V30" s="10">
        <f>T30+U30</f>
        <v>99564</v>
      </c>
      <c r="W30" s="10">
        <f>O30-V30</f>
        <v>35592</v>
      </c>
      <c r="X30" s="10">
        <f>MAX(0,W30)</f>
        <v>35592</v>
      </c>
      <c r="Y30" s="10">
        <f>X30</f>
        <v>35592</v>
      </c>
      <c r="Z30" s="10">
        <f>SUMPRODUCT(($M$4:$V$4=B30)*($M$6:$V$6=1)*$M$5:$V$5)*(1+$D$3)^(D30-1)</f>
        <v>0</v>
      </c>
      <c r="AA30" s="10">
        <f>SUMPRODUCT(($M$4:$V$4=B30)*($M$6:$V$6=2)*$M$5:$V$5)*(1+$D$3)^(D30-1)</f>
        <v>0</v>
      </c>
      <c r="AB30" s="10">
        <f>SUMPRODUCT(($M$4:$V$4=B30)*($M$6:$V$6=3)*$M$5:$V$5)*(1+$D$3)^(D30-1)</f>
        <v>0</v>
      </c>
      <c r="AC30" s="10">
        <f>SUM(Z30:AB30)</f>
        <v>0</v>
      </c>
      <c r="AD30" s="10">
        <f>MIN(0,W30)</f>
        <v>0</v>
      </c>
      <c r="AE30" s="10">
        <f>-SUMIF($M$12:$V$12,B30,$M$13:$V$13)*(1+$D$3)^(D30-1)</f>
        <v>0</v>
      </c>
      <c r="AF30" s="10">
        <f>IF(B30=$M$14,-$M$15*(1+$D$3)^(D30-1),0)</f>
        <v>0</v>
      </c>
      <c r="AG30" s="10">
        <f>SUM(AD30:AF30)</f>
        <v>0</v>
      </c>
      <c r="AH30" s="10">
        <f>AK29</f>
        <v>266646</v>
      </c>
      <c r="AI30" s="10">
        <f>AH30*$D$7</f>
        <v>15999</v>
      </c>
      <c r="AJ30" s="10">
        <f>MAX(0,-(AH30+AI30+Y30+AC30+AG30))</f>
        <v>0</v>
      </c>
      <c r="AK30" s="10">
        <f>AH30+AI30+Y30+AC30+AG30+AJ30</f>
        <v>318237</v>
      </c>
      <c r="AL30" s="10">
        <f>AK30/(1+$D$3)^D30</f>
        <v>283729</v>
      </c>
      <c r="AM30" s="4">
        <f>IF(AH30&lt;=0,0,-AG30/AH30)</f>
        <v>0</v>
      </c>
    </row>
    <row r="31">
      <c r="B31" s="9">
        <f>B30+1</f>
        <v>2029</v>
      </c>
      <c r="C31" s="9">
        <f>C30+1</f>
        <v>49</v>
      </c>
      <c r="D31" s="9">
        <f>D30+1</f>
        <v>4</v>
      </c>
      <c r="E31" t="str">
        <f>IF(D31&lt;=$G$7,"Acumulación","Retiro")</f>
        <v>Acumulación</v>
      </c>
      <c r="F31" s="10">
        <f>IF(D31&lt;=$G$8,$G$1*12*(1+$D$3)^(D31-1),0)</f>
        <v>80757</v>
      </c>
      <c r="G31" s="10">
        <f>IF(AND($G$2&gt;0,D31&gt;=$G$3),$G$2*12*(1+$D$3)^(D31-1),0)</f>
        <v>0</v>
      </c>
      <c r="H31" s="10">
        <f>SUMPRODUCT(($M$11:$V$11&gt;=B31)*$M$10:$V$10)*12*(1+$D$3)^(D31-1)</f>
        <v>14805</v>
      </c>
      <c r="I31" s="10">
        <f>IF(AND($G$4&gt;0,D31&gt;=$G$6),$G$4*12*(1+$D$3)^($G$6-1)*(1+$D$4)^(D31-$G$6),0)</f>
        <v>0</v>
      </c>
      <c r="J31" s="10">
        <f>'Fondos de pensión'!T22</f>
        <v>0</v>
      </c>
      <c r="K31" s="10">
        <f>SUM(F31:J31)</f>
        <v>95562</v>
      </c>
      <c r="L31" s="10">
        <f>SUMIF($M$2:$V$2,B31,$M$3:$V$3)*(1+$D$3)^(D31-1)</f>
        <v>0</v>
      </c>
      <c r="M31" s="10">
        <f>'Fondos de pensión'!S22</f>
        <v>0</v>
      </c>
      <c r="N31" s="10">
        <f>SUM(L31:M31)</f>
        <v>0</v>
      </c>
      <c r="O31" s="10">
        <f>K31+N31</f>
        <v>95562</v>
      </c>
      <c r="P31" s="10">
        <f>$J$1*12*(1+$D$3)^(D31-1)*IF(D31&gt;$G$7,$J$2,1)</f>
        <v>74027</v>
      </c>
      <c r="Q31" s="10">
        <f>SUMPRODUCT(($M$7:$V$7&lt;=B31)*($M$7:$V$7+$M$8:$V$8&gt;B31)*$M$9:$V$9)*(1+$D$3)^(D31-1)</f>
        <v>0</v>
      </c>
      <c r="R31" s="10">
        <f>$J$3*(1+$D$3)^(D31-1)</f>
        <v>3365</v>
      </c>
      <c r="S31" s="10">
        <f>IF(D31&lt;=$J$5,$J$4*12,0)+IF(D31&lt;=$J$7,$J$6*12,0)+SUMPRODUCT(($M$22:$V$22&gt;=B31)*$M$21:$V$21)*12</f>
        <v>18600</v>
      </c>
      <c r="T31" s="10">
        <f>SUM(P31:S31)</f>
        <v>95992</v>
      </c>
      <c r="U31" s="10">
        <f>($J$8+SUMPRODUCT(($M$19:$V$19=1)*($M$17:$V$17=B31)*$M$18:$V$18)+SUMPRODUCT(($M$19:$V$19=2)*($M$17:$V$17&lt;=B31)*$M$18:$V$18))*(1+$D$3)^(D31-1)</f>
        <v>6730</v>
      </c>
      <c r="V31" s="10">
        <f>T31+U31</f>
        <v>102722</v>
      </c>
      <c r="W31" s="10">
        <f>O31-V31</f>
        <v>-7159</v>
      </c>
      <c r="X31" s="10">
        <f>MAX(0,W31)</f>
        <v>0</v>
      </c>
      <c r="Y31" s="10">
        <f>X31</f>
        <v>0</v>
      </c>
      <c r="Z31" s="10">
        <f>SUMPRODUCT(($M$4:$V$4=B31)*($M$6:$V$6=1)*$M$5:$V$5)*(1+$D$3)^(D31-1)</f>
        <v>0</v>
      </c>
      <c r="AA31" s="10">
        <f>SUMPRODUCT(($M$4:$V$4=B31)*($M$6:$V$6=2)*$M$5:$V$5)*(1+$D$3)^(D31-1)</f>
        <v>0</v>
      </c>
      <c r="AB31" s="10">
        <f>SUMPRODUCT(($M$4:$V$4=B31)*($M$6:$V$6=3)*$M$5:$V$5)*(1+$D$3)^(D31-1)</f>
        <v>0</v>
      </c>
      <c r="AC31" s="10">
        <f>SUM(Z31:AB31)</f>
        <v>0</v>
      </c>
      <c r="AD31" s="10">
        <f>MIN(0,W31)</f>
        <v>-7159</v>
      </c>
      <c r="AE31" s="10">
        <f>-SUMIF($M$12:$V$12,B31,$M$13:$V$13)*(1+$D$3)^(D31-1)</f>
        <v>0</v>
      </c>
      <c r="AF31" s="10">
        <f>IF(B31=$M$14,-$M$15*(1+$D$3)^(D31-1),0)</f>
        <v>0</v>
      </c>
      <c r="AG31" s="10">
        <f>SUM(AD31:AF31)</f>
        <v>-7159</v>
      </c>
      <c r="AH31" s="10">
        <f>AK30</f>
        <v>318237</v>
      </c>
      <c r="AI31" s="10">
        <f>AH31*$D$7</f>
        <v>19094</v>
      </c>
      <c r="AJ31" s="10">
        <f>MAX(0,-(AH31+AI31+Y31+AC31+AG31))</f>
        <v>0</v>
      </c>
      <c r="AK31" s="10">
        <f>AH31+AI31+Y31+AC31+AG31+AJ31</f>
        <v>330171</v>
      </c>
      <c r="AL31" s="10">
        <f>AK31/(1+$D$3)^D31</f>
        <v>283320</v>
      </c>
      <c r="AM31" s="4">
        <f>IF(AH31&lt;=0,0,-AG31/AH31)</f>
        <v>0.022497269473193724</v>
      </c>
    </row>
    <row r="32">
      <c r="B32" s="9">
        <f>B31+1</f>
        <v>2030</v>
      </c>
      <c r="C32" s="9">
        <f>C31+1</f>
        <v>50</v>
      </c>
      <c r="D32" s="9">
        <f>D31+1</f>
        <v>5</v>
      </c>
      <c r="E32" t="str">
        <f>IF(D32&lt;=$G$7,"Acumulación","Retiro")</f>
        <v>Acumulación</v>
      </c>
      <c r="F32" s="10">
        <f>IF(D32&lt;=$G$8,$G$1*12*(1+$D$3)^(D32-1),0)</f>
        <v>83906</v>
      </c>
      <c r="G32" s="10">
        <f>IF(AND($G$2&gt;0,D32&gt;=$G$3),$G$2*12*(1+$D$3)^(D32-1),0)</f>
        <v>15538</v>
      </c>
      <c r="H32" s="10">
        <f>SUMPRODUCT(($M$11:$V$11&gt;=B32)*$M$10:$V$10)*12*(1+$D$3)^(D32-1)</f>
        <v>15383</v>
      </c>
      <c r="I32" s="10">
        <f>IF(AND($G$4&gt;0,D32&gt;=$G$6),$G$4*12*(1+$D$3)^($G$6-1)*(1+$D$4)^(D32-$G$6),0)</f>
        <v>0</v>
      </c>
      <c r="J32" s="10">
        <f>'Fondos de pensión'!T23</f>
        <v>0</v>
      </c>
      <c r="K32" s="10">
        <f>SUM(F32:J32)</f>
        <v>114827</v>
      </c>
      <c r="L32" s="10">
        <f>SUMIF($M$2:$V$2,B32,$M$3:$V$3)*(1+$D$3)^(D32-1)</f>
        <v>0</v>
      </c>
      <c r="M32" s="10">
        <f>'Fondos de pensión'!S23</f>
        <v>0</v>
      </c>
      <c r="N32" s="10">
        <f>SUM(L32:M32)</f>
        <v>0</v>
      </c>
      <c r="O32" s="10">
        <f>K32+N32</f>
        <v>114827</v>
      </c>
      <c r="P32" s="10">
        <f>$J$1*12*(1+$D$3)^(D32-1)*IF(D32&gt;$G$7,$J$2,1)</f>
        <v>76914</v>
      </c>
      <c r="Q32" s="10">
        <f>SUMPRODUCT(($M$7:$V$7&lt;=B32)*($M$7:$V$7+$M$8:$V$8&gt;B32)*$M$9:$V$9)*(1+$D$3)^(D32-1)</f>
        <v>13984</v>
      </c>
      <c r="R32" s="10">
        <f>$J$3*(1+$D$3)^(D32-1)</f>
        <v>3496</v>
      </c>
      <c r="S32" s="10">
        <f>IF(D32&lt;=$J$5,$J$4*12,0)+IF(D32&lt;=$J$7,$J$6*12,0)+SUMPRODUCT(($M$22:$V$22&gt;=B32)*$M$21:$V$21)*12</f>
        <v>14400</v>
      </c>
      <c r="T32" s="10">
        <f>SUM(P32:S32)</f>
        <v>108795</v>
      </c>
      <c r="U32" s="10">
        <f>($J$8+SUMPRODUCT(($M$19:$V$19=1)*($M$17:$V$17=B32)*$M$18:$V$18)+SUMPRODUCT(($M$19:$V$19=2)*($M$17:$V$17&lt;=B32)*$M$18:$V$18))*(1+$D$3)^(D32-1)</f>
        <v>47780</v>
      </c>
      <c r="V32" s="10">
        <f>T32+U32</f>
        <v>156575</v>
      </c>
      <c r="W32" s="10">
        <f>O32-V32</f>
        <v>-41747</v>
      </c>
      <c r="X32" s="10">
        <f>MAX(0,W32)</f>
        <v>0</v>
      </c>
      <c r="Y32" s="10">
        <f>X32</f>
        <v>0</v>
      </c>
      <c r="Z32" s="10">
        <f>SUMPRODUCT(($M$4:$V$4=B32)*($M$6:$V$6=1)*$M$5:$V$5)*(1+$D$3)^(D32-1)</f>
        <v>0</v>
      </c>
      <c r="AA32" s="10">
        <f>SUMPRODUCT(($M$4:$V$4=B32)*($M$6:$V$6=2)*$M$5:$V$5)*(1+$D$3)^(D32-1)</f>
        <v>0</v>
      </c>
      <c r="AB32" s="10">
        <f>SUMPRODUCT(($M$4:$V$4=B32)*($M$6:$V$6=3)*$M$5:$V$5)*(1+$D$3)^(D32-1)</f>
        <v>0</v>
      </c>
      <c r="AC32" s="10">
        <f>SUM(Z32:AB32)</f>
        <v>0</v>
      </c>
      <c r="AD32" s="10">
        <f>MIN(0,W32)</f>
        <v>-41747</v>
      </c>
      <c r="AE32" s="10">
        <f>-SUMIF($M$12:$V$12,B32,$M$13:$V$13)*(1+$D$3)^(D32-1)</f>
        <v>0</v>
      </c>
      <c r="AF32" s="10">
        <f>IF(B32=$M$14,-$M$15*(1+$D$3)^(D32-1),0)</f>
        <v>0</v>
      </c>
      <c r="AG32" s="10">
        <f>SUM(AD32:AF32)</f>
        <v>-41747</v>
      </c>
      <c r="AH32" s="10">
        <f>AK31</f>
        <v>330171</v>
      </c>
      <c r="AI32" s="10">
        <f>AH32*$D$7</f>
        <v>19810</v>
      </c>
      <c r="AJ32" s="10">
        <f>MAX(0,-(AH32+AI32+Y32+AC32+AG32))</f>
        <v>0</v>
      </c>
      <c r="AK32" s="10">
        <f>AH32+AI32+Y32+AC32+AG32+AJ32</f>
        <v>308234</v>
      </c>
      <c r="AL32" s="10">
        <f>AK32/(1+$D$3)^D32</f>
        <v>254568</v>
      </c>
      <c r="AM32" s="4">
        <f>IF(AH32&lt;=0,0,-AG32/AH32)</f>
        <v>0.1264411940725392</v>
      </c>
    </row>
    <row r="33">
      <c r="B33" s="9">
        <f>B32+1</f>
        <v>2031</v>
      </c>
      <c r="C33" s="9">
        <f>C32+1</f>
        <v>51</v>
      </c>
      <c r="D33" s="9">
        <f>D32+1</f>
        <v>6</v>
      </c>
      <c r="E33" t="str">
        <f>IF(D33&lt;=$G$7,"Acumulación","Retiro")</f>
        <v>Acumulación</v>
      </c>
      <c r="F33" s="10">
        <f>IF(D33&lt;=$G$8,$G$1*12*(1+$D$3)^(D33-1),0)</f>
        <v>87179</v>
      </c>
      <c r="G33" s="10">
        <f>IF(AND($G$2&gt;0,D33&gt;=$G$3),$G$2*12*(1+$D$3)^(D33-1),0)</f>
        <v>16144</v>
      </c>
      <c r="H33" s="10">
        <f>SUMPRODUCT(($M$11:$V$11&gt;=B33)*$M$10:$V$10)*12*(1+$D$3)^(D33-1)</f>
        <v>0</v>
      </c>
      <c r="I33" s="10">
        <f>IF(AND($G$4&gt;0,D33&gt;=$G$6),$G$4*12*(1+$D$3)^($G$6-1)*(1+$D$4)^(D33-$G$6),0)</f>
        <v>0</v>
      </c>
      <c r="J33" s="10">
        <f>'Fondos de pensión'!T24</f>
        <v>0</v>
      </c>
      <c r="K33" s="10">
        <f>SUM(F33:J33)</f>
        <v>103323</v>
      </c>
      <c r="L33" s="10">
        <f>SUMIF($M$2:$V$2,B33,$M$3:$V$3)*(1+$D$3)^(D33-1)</f>
        <v>0</v>
      </c>
      <c r="M33" s="10">
        <f>'Fondos de pensión'!S24</f>
        <v>0</v>
      </c>
      <c r="N33" s="10">
        <f>SUM(L33:M33)</f>
        <v>0</v>
      </c>
      <c r="O33" s="10">
        <f>K33+N33</f>
        <v>103323</v>
      </c>
      <c r="P33" s="10">
        <f>$J$1*12*(1+$D$3)^(D33-1)*IF(D33&gt;$G$7,$J$2,1)</f>
        <v>79914</v>
      </c>
      <c r="Q33" s="10">
        <f>SUMPRODUCT(($M$7:$V$7&lt;=B33)*($M$7:$V$7+$M$8:$V$8&gt;B33)*$M$9:$V$9)*(1+$D$3)^(D33-1)</f>
        <v>14530</v>
      </c>
      <c r="R33" s="10">
        <f>$J$3*(1+$D$3)^(D33-1)</f>
        <v>3632</v>
      </c>
      <c r="S33" s="10">
        <f>IF(D33&lt;=$J$5,$J$4*12,0)+IF(D33&lt;=$J$7,$J$6*12,0)+SUMPRODUCT(($M$22:$V$22&gt;=B33)*$M$21:$V$21)*12</f>
        <v>14400</v>
      </c>
      <c r="T33" s="10">
        <f>SUM(P33:S33)</f>
        <v>112476</v>
      </c>
      <c r="U33" s="10">
        <f>($J$8+SUMPRODUCT(($M$19:$V$19=1)*($M$17:$V$17=B33)*$M$18:$V$18)+SUMPRODUCT(($M$19:$V$19=2)*($M$17:$V$17&lt;=B33)*$M$18:$V$18))*(1+$D$3)^(D33-1)</f>
        <v>7265</v>
      </c>
      <c r="V33" s="10">
        <f>T33+U33</f>
        <v>119741</v>
      </c>
      <c r="W33" s="10">
        <f>O33-V33</f>
        <v>-16418</v>
      </c>
      <c r="X33" s="10">
        <f>MAX(0,W33)</f>
        <v>0</v>
      </c>
      <c r="Y33" s="10">
        <f>X33</f>
        <v>0</v>
      </c>
      <c r="Z33" s="10">
        <f>SUMPRODUCT(($M$4:$V$4=B33)*($M$6:$V$6=1)*$M$5:$V$5)*(1+$D$3)^(D33-1)</f>
        <v>217947</v>
      </c>
      <c r="AA33" s="10">
        <f>SUMPRODUCT(($M$4:$V$4=B33)*($M$6:$V$6=2)*$M$5:$V$5)*(1+$D$3)^(D33-1)</f>
        <v>0</v>
      </c>
      <c r="AB33" s="10">
        <f>SUMPRODUCT(($M$4:$V$4=B33)*($M$6:$V$6=3)*$M$5:$V$5)*(1+$D$3)^(D33-1)</f>
        <v>0</v>
      </c>
      <c r="AC33" s="10">
        <f>SUM(Z33:AB33)</f>
        <v>217947</v>
      </c>
      <c r="AD33" s="10">
        <f>MIN(0,W33)</f>
        <v>-16418</v>
      </c>
      <c r="AE33" s="10">
        <f>-SUMIF($M$12:$V$12,B33,$M$13:$V$13)*(1+$D$3)^(D33-1)</f>
        <v>-48433</v>
      </c>
      <c r="AF33" s="10">
        <f>IF(B33=$M$14,-$M$15*(1+$D$3)^(D33-1),0)</f>
        <v>-60541</v>
      </c>
      <c r="AG33" s="10">
        <f>SUM(AD33:AF33)</f>
        <v>-125391</v>
      </c>
      <c r="AH33" s="10">
        <f>AK32</f>
        <v>308234</v>
      </c>
      <c r="AI33" s="10">
        <f>AH33*$D$7</f>
        <v>18494</v>
      </c>
      <c r="AJ33" s="10">
        <f>MAX(0,-(AH33+AI33+Y33+AC33+AG33))</f>
        <v>0</v>
      </c>
      <c r="AK33" s="10">
        <f>AH33+AI33+Y33+AC33+AG33+AJ33</f>
        <v>419284</v>
      </c>
      <c r="AL33" s="10">
        <f>AK33/(1+$D$3)^D33</f>
        <v>333284</v>
      </c>
      <c r="AM33" s="4">
        <f>IF(AH33&lt;=0,0,-AG33/AH33)</f>
        <v>0.40680538735390914</v>
      </c>
    </row>
    <row r="34">
      <c r="B34" s="9">
        <f>B33+1</f>
        <v>2032</v>
      </c>
      <c r="C34" s="9">
        <f>C33+1</f>
        <v>52</v>
      </c>
      <c r="D34" s="9">
        <f>D33+1</f>
        <v>7</v>
      </c>
      <c r="E34" t="str">
        <f>IF(D34&lt;=$G$7,"Acumulación","Retiro")</f>
        <v>Acumulación</v>
      </c>
      <c r="F34" s="10">
        <f>IF(D34&lt;=$G$8,$G$1*12*(1+$D$3)^(D34-1),0)</f>
        <v>90579</v>
      </c>
      <c r="G34" s="10">
        <f>IF(AND($G$2&gt;0,D34&gt;=$G$3),$G$2*12*(1+$D$3)^(D34-1),0)</f>
        <v>16774</v>
      </c>
      <c r="H34" s="10">
        <f>SUMPRODUCT(($M$11:$V$11&gt;=B34)*$M$10:$V$10)*12*(1+$D$3)^(D34-1)</f>
        <v>0</v>
      </c>
      <c r="I34" s="10">
        <f>IF(AND($G$4&gt;0,D34&gt;=$G$6),$G$4*12*(1+$D$3)^($G$6-1)*(1+$D$4)^(D34-$G$6),0)</f>
        <v>0</v>
      </c>
      <c r="J34" s="10">
        <f>'Fondos de pensión'!T25</f>
        <v>0</v>
      </c>
      <c r="K34" s="10">
        <f>SUM(F34:J34)</f>
        <v>107352</v>
      </c>
      <c r="L34" s="10">
        <f>SUMIF($M$2:$V$2,B34,$M$3:$V$3)*(1+$D$3)^(D34-1)</f>
        <v>150964</v>
      </c>
      <c r="M34" s="10">
        <f>'Fondos de pensión'!S25</f>
        <v>0</v>
      </c>
      <c r="N34" s="10">
        <f>SUM(L34:M34)</f>
        <v>150964</v>
      </c>
      <c r="O34" s="10">
        <f>K34+N34</f>
        <v>258317</v>
      </c>
      <c r="P34" s="10">
        <f>$J$1*12*(1+$D$3)^(D34-1)*IF(D34&gt;$G$7,$J$2,1)</f>
        <v>83030</v>
      </c>
      <c r="Q34" s="10">
        <f>SUMPRODUCT(($M$7:$V$7&lt;=B34)*($M$7:$V$7+$M$8:$V$8&gt;B34)*$M$9:$V$9)*(1+$D$3)^(D34-1)</f>
        <v>15096</v>
      </c>
      <c r="R34" s="10">
        <f>$J$3*(1+$D$3)^(D34-1)</f>
        <v>3774</v>
      </c>
      <c r="S34" s="10">
        <f>IF(D34&lt;=$J$5,$J$4*12,0)+IF(D34&lt;=$J$7,$J$6*12,0)+SUMPRODUCT(($M$22:$V$22&gt;=B34)*$M$21:$V$21)*12</f>
        <v>14400</v>
      </c>
      <c r="T34" s="10">
        <f>SUM(P34:S34)</f>
        <v>116301</v>
      </c>
      <c r="U34" s="10">
        <f>($J$8+SUMPRODUCT(($M$19:$V$19=1)*($M$17:$V$17=B34)*$M$18:$V$18)+SUMPRODUCT(($M$19:$V$19=2)*($M$17:$V$17&lt;=B34)*$M$18:$V$18))*(1+$D$3)^(D34-1)</f>
        <v>7548</v>
      </c>
      <c r="V34" s="10">
        <f>T34+U34</f>
        <v>123849</v>
      </c>
      <c r="W34" s="10">
        <f>O34-V34</f>
        <v>134468</v>
      </c>
      <c r="X34" s="10">
        <f>MAX(0,W34)</f>
        <v>134468</v>
      </c>
      <c r="Y34" s="10">
        <f>X34</f>
        <v>134468</v>
      </c>
      <c r="Z34" s="10">
        <f>SUMPRODUCT(($M$4:$V$4=B34)*($M$6:$V$6=1)*$M$5:$V$5)*(1+$D$3)^(D34-1)</f>
        <v>0</v>
      </c>
      <c r="AA34" s="10">
        <f>SUMPRODUCT(($M$4:$V$4=B34)*($M$6:$V$6=2)*$M$5:$V$5)*(1+$D$3)^(D34-1)</f>
        <v>0</v>
      </c>
      <c r="AB34" s="10">
        <f>SUMPRODUCT(($M$4:$V$4=B34)*($M$6:$V$6=3)*$M$5:$V$5)*(1+$D$3)^(D34-1)</f>
        <v>0</v>
      </c>
      <c r="AC34" s="10">
        <f>SUM(Z34:AB34)</f>
        <v>0</v>
      </c>
      <c r="AD34" s="10">
        <f>MIN(0,W34)</f>
        <v>0</v>
      </c>
      <c r="AE34" s="10">
        <f>-SUMIF($M$12:$V$12,B34,$M$13:$V$13)*(1+$D$3)^(D34-1)</f>
        <v>0</v>
      </c>
      <c r="AF34" s="10">
        <f>IF(B34=$M$14,-$M$15*(1+$D$3)^(D34-1),0)</f>
        <v>0</v>
      </c>
      <c r="AG34" s="10">
        <f>SUM(AD34:AF34)</f>
        <v>0</v>
      </c>
      <c r="AH34" s="10">
        <f>AK33</f>
        <v>419284</v>
      </c>
      <c r="AI34" s="10">
        <f>AH34*$D$7</f>
        <v>25157</v>
      </c>
      <c r="AJ34" s="10">
        <f>MAX(0,-(AH34+AI34+Y34+AC34+AG34))</f>
        <v>0</v>
      </c>
      <c r="AK34" s="10">
        <f>AH34+AI34+Y34+AC34+AG34+AJ34</f>
        <v>578908</v>
      </c>
      <c r="AL34" s="10">
        <f>AK34/(1+$D$3)^D34</f>
        <v>442895</v>
      </c>
      <c r="AM34" s="4">
        <f>IF(AH34&lt;=0,0,-AG34/AH34)</f>
        <v>0</v>
      </c>
    </row>
    <row r="35">
      <c r="B35" s="9">
        <f>B34+1</f>
        <v>2033</v>
      </c>
      <c r="C35" s="9">
        <f>C34+1</f>
        <v>53</v>
      </c>
      <c r="D35" s="9">
        <f>D34+1</f>
        <v>8</v>
      </c>
      <c r="E35" t="str">
        <f>IF(D35&lt;=$G$7,"Acumulación","Retiro")</f>
        <v>Acumulación</v>
      </c>
      <c r="F35" s="10">
        <f>IF(D35&lt;=$G$8,$G$1*12*(1+$D$3)^(D35-1),0)</f>
        <v>94111</v>
      </c>
      <c r="G35" s="10">
        <f>IF(AND($G$2&gt;0,D35&gt;=$G$3),$G$2*12*(1+$D$3)^(D35-1),0)</f>
        <v>17428</v>
      </c>
      <c r="H35" s="10">
        <f>SUMPRODUCT(($M$11:$V$11&gt;=B35)*$M$10:$V$10)*12*(1+$D$3)^(D35-1)</f>
        <v>0</v>
      </c>
      <c r="I35" s="10">
        <f>IF(AND($G$4&gt;0,D35&gt;=$G$6),$G$4*12*(1+$D$3)^($G$6-1)*(1+$D$4)^(D35-$G$6),0)</f>
        <v>0</v>
      </c>
      <c r="J35" s="10">
        <f>'Fondos de pensión'!T26</f>
        <v>0</v>
      </c>
      <c r="K35" s="10">
        <f>SUM(F35:J35)</f>
        <v>111539</v>
      </c>
      <c r="L35" s="10">
        <f>SUMIF($M$2:$V$2,B35,$M$3:$V$3)*(1+$D$3)^(D35-1)</f>
        <v>0</v>
      </c>
      <c r="M35" s="10">
        <f>'Fondos de pensión'!S26</f>
        <v>0</v>
      </c>
      <c r="N35" s="10">
        <f>SUM(L35:M35)</f>
        <v>0</v>
      </c>
      <c r="O35" s="10">
        <f>K35+N35</f>
        <v>111539</v>
      </c>
      <c r="P35" s="10">
        <f>$J$1*12*(1+$D$3)^(D35-1)*IF(D35&gt;$G$7,$J$2,1)</f>
        <v>86269</v>
      </c>
      <c r="Q35" s="10">
        <f>SUMPRODUCT(($M$7:$V$7&lt;=B35)*($M$7:$V$7+$M$8:$V$8&gt;B35)*$M$9:$V$9)*(1+$D$3)^(D35-1)</f>
        <v>15685</v>
      </c>
      <c r="R35" s="10">
        <f>$J$3*(1+$D$3)^(D35-1)</f>
        <v>3921</v>
      </c>
      <c r="S35" s="10">
        <f>IF(D35&lt;=$J$5,$J$4*12,0)+IF(D35&lt;=$J$7,$J$6*12,0)+SUMPRODUCT(($M$22:$V$22&gt;=B35)*$M$21:$V$21)*12</f>
        <v>14400</v>
      </c>
      <c r="T35" s="10">
        <f>SUM(P35:S35)</f>
        <v>120275</v>
      </c>
      <c r="U35" s="10">
        <f>($J$8+SUMPRODUCT(($M$19:$V$19=1)*($M$17:$V$17=B35)*$M$18:$V$18)+SUMPRODUCT(($M$19:$V$19=2)*($M$17:$V$17&lt;=B35)*$M$18:$V$18))*(1+$D$3)^(D35-1)</f>
        <v>7843</v>
      </c>
      <c r="V35" s="10">
        <f>T35+U35</f>
        <v>128118</v>
      </c>
      <c r="W35" s="10">
        <f>O35-V35</f>
        <v>-16579</v>
      </c>
      <c r="X35" s="10">
        <f>MAX(0,W35)</f>
        <v>0</v>
      </c>
      <c r="Y35" s="10">
        <f>X35</f>
        <v>0</v>
      </c>
      <c r="Z35" s="10">
        <f>SUMPRODUCT(($M$4:$V$4=B35)*($M$6:$V$6=1)*$M$5:$V$5)*(1+$D$3)^(D35-1)</f>
        <v>0</v>
      </c>
      <c r="AA35" s="10">
        <f>SUMPRODUCT(($M$4:$V$4=B35)*($M$6:$V$6=2)*$M$5:$V$5)*(1+$D$3)^(D35-1)</f>
        <v>0</v>
      </c>
      <c r="AB35" s="10">
        <f>SUMPRODUCT(($M$4:$V$4=B35)*($M$6:$V$6=3)*$M$5:$V$5)*(1+$D$3)^(D35-1)</f>
        <v>196065</v>
      </c>
      <c r="AC35" s="10">
        <f>SUM(Z35:AB35)</f>
        <v>196065</v>
      </c>
      <c r="AD35" s="10">
        <f>MIN(0,W35)</f>
        <v>-16579</v>
      </c>
      <c r="AE35" s="10">
        <f>-SUMIF($M$12:$V$12,B35,$M$13:$V$13)*(1+$D$3)^(D35-1)</f>
        <v>0</v>
      </c>
      <c r="AF35" s="10">
        <f>IF(B35=$M$14,-$M$15*(1+$D$3)^(D35-1),0)</f>
        <v>0</v>
      </c>
      <c r="AG35" s="10">
        <f>SUM(AD35:AF35)</f>
        <v>-16579</v>
      </c>
      <c r="AH35" s="10">
        <f>AK34</f>
        <v>578908</v>
      </c>
      <c r="AI35" s="10">
        <f>AH35*$D$7</f>
        <v>34734</v>
      </c>
      <c r="AJ35" s="10">
        <f>MAX(0,-(AH35+AI35+Y35+AC35+AG35))</f>
        <v>0</v>
      </c>
      <c r="AK35" s="10">
        <f>AH35+AI35+Y35+AC35+AG35+AJ35</f>
        <v>793129</v>
      </c>
      <c r="AL35" s="10">
        <f>AK35/(1+$D$3)^D35</f>
        <v>584009</v>
      </c>
      <c r="AM35" s="4">
        <f>IF(AH35&lt;=0,0,-AG35/AH35)</f>
        <v>0.028637522499597154</v>
      </c>
    </row>
    <row r="36">
      <c r="B36" s="9">
        <f>B35+1</f>
        <v>2034</v>
      </c>
      <c r="C36" s="9">
        <f>C35+1</f>
        <v>54</v>
      </c>
      <c r="D36" s="9">
        <f>D35+1</f>
        <v>9</v>
      </c>
      <c r="E36" t="str">
        <f>IF(D36&lt;=$G$7,"Acumulación","Retiro")</f>
        <v>Acumulación</v>
      </c>
      <c r="F36" s="10">
        <f>IF(D36&lt;=$G$8,$G$1*12*(1+$D$3)^(D36-1),0)</f>
        <v>97782</v>
      </c>
      <c r="G36" s="10">
        <f>IF(AND($G$2&gt;0,D36&gt;=$G$3),$G$2*12*(1+$D$3)^(D36-1),0)</f>
        <v>18108</v>
      </c>
      <c r="H36" s="10">
        <f>SUMPRODUCT(($M$11:$V$11&gt;=B36)*$M$10:$V$10)*12*(1+$D$3)^(D36-1)</f>
        <v>0</v>
      </c>
      <c r="I36" s="10">
        <f>IF(AND($G$4&gt;0,D36&gt;=$G$6),$G$4*12*(1+$D$3)^($G$6-1)*(1+$D$4)^(D36-$G$6),0)</f>
        <v>0</v>
      </c>
      <c r="J36" s="10">
        <f>'Fondos de pensión'!T27</f>
        <v>0</v>
      </c>
      <c r="K36" s="10">
        <f>SUM(F36:J36)</f>
        <v>115889</v>
      </c>
      <c r="L36" s="10">
        <f>SUMIF($M$2:$V$2,B36,$M$3:$V$3)*(1+$D$3)^(D36-1)</f>
        <v>0</v>
      </c>
      <c r="M36" s="10">
        <f>'Fondos de pensión'!S27</f>
        <v>0</v>
      </c>
      <c r="N36" s="10">
        <f>SUM(L36:M36)</f>
        <v>0</v>
      </c>
      <c r="O36" s="10">
        <f>K36+N36</f>
        <v>115889</v>
      </c>
      <c r="P36" s="10">
        <f>$J$1*12*(1+$D$3)^(D36-1)*IF(D36&gt;$G$7,$J$2,1)</f>
        <v>89633</v>
      </c>
      <c r="Q36" s="10">
        <f>SUMPRODUCT(($M$7:$V$7&lt;=B36)*($M$7:$V$7+$M$8:$V$8&gt;B36)*$M$9:$V$9)*(1+$D$3)^(D36-1)</f>
        <v>16297</v>
      </c>
      <c r="R36" s="10">
        <f>$J$3*(1+$D$3)^(D36-1)</f>
        <v>4074</v>
      </c>
      <c r="S36" s="10">
        <f>IF(D36&lt;=$J$5,$J$4*12,0)+IF(D36&lt;=$J$7,$J$6*12,0)+SUMPRODUCT(($M$22:$V$22&gt;=B36)*$M$21:$V$21)*12</f>
        <v>14400</v>
      </c>
      <c r="T36" s="10">
        <f>SUM(P36:S36)</f>
        <v>124404</v>
      </c>
      <c r="U36" s="10">
        <f>($J$8+SUMPRODUCT(($M$19:$V$19=1)*($M$17:$V$17=B36)*$M$18:$V$18)+SUMPRODUCT(($M$19:$V$19=2)*($M$17:$V$17&lt;=B36)*$M$18:$V$18))*(1+$D$3)^(D36-1)</f>
        <v>8148</v>
      </c>
      <c r="V36" s="10">
        <f>T36+U36</f>
        <v>132553</v>
      </c>
      <c r="W36" s="10">
        <f>O36-V36</f>
        <v>-16663</v>
      </c>
      <c r="X36" s="10">
        <f>MAX(0,W36)</f>
        <v>0</v>
      </c>
      <c r="Y36" s="10">
        <f>X36</f>
        <v>0</v>
      </c>
      <c r="Z36" s="10">
        <f>SUMPRODUCT(($M$4:$V$4=B36)*($M$6:$V$6=1)*$M$5:$V$5)*(1+$D$3)^(D36-1)</f>
        <v>0</v>
      </c>
      <c r="AA36" s="10">
        <f>SUMPRODUCT(($M$4:$V$4=B36)*($M$6:$V$6=2)*$M$5:$V$5)*(1+$D$3)^(D36-1)</f>
        <v>0</v>
      </c>
      <c r="AB36" s="10">
        <f>SUMPRODUCT(($M$4:$V$4=B36)*($M$6:$V$6=3)*$M$5:$V$5)*(1+$D$3)^(D36-1)</f>
        <v>0</v>
      </c>
      <c r="AC36" s="10">
        <f>SUM(Z36:AB36)</f>
        <v>0</v>
      </c>
      <c r="AD36" s="10">
        <f>MIN(0,W36)</f>
        <v>-16663</v>
      </c>
      <c r="AE36" s="10">
        <f>-SUMIF($M$12:$V$12,B36,$M$13:$V$13)*(1+$D$3)^(D36-1)</f>
        <v>0</v>
      </c>
      <c r="AF36" s="10">
        <f>IF(B36=$M$14,-$M$15*(1+$D$3)^(D36-1),0)</f>
        <v>0</v>
      </c>
      <c r="AG36" s="10">
        <f>SUM(AD36:AF36)</f>
        <v>-16663</v>
      </c>
      <c r="AH36" s="10">
        <f>AK35</f>
        <v>793129</v>
      </c>
      <c r="AI36" s="10">
        <f>AH36*$D$7</f>
        <v>47588</v>
      </c>
      <c r="AJ36" s="10">
        <f>MAX(0,-(AH36+AI36+Y36+AC36+AG36))</f>
        <v>0</v>
      </c>
      <c r="AK36" s="10">
        <f>AH36+AI36+Y36+AC36+AG36+AJ36</f>
        <v>824054</v>
      </c>
      <c r="AL36" s="10">
        <f>AK36/(1+$D$3)^D36</f>
        <v>584004</v>
      </c>
      <c r="AM36" s="4">
        <f>IF(AH36&lt;=0,0,-AG36/AH36)</f>
        <v>0.021009765973704596</v>
      </c>
    </row>
    <row r="37">
      <c r="B37" s="9">
        <f>B36+1</f>
        <v>2035</v>
      </c>
      <c r="C37" s="9">
        <f>C36+1</f>
        <v>55</v>
      </c>
      <c r="D37" s="9">
        <f>D36+1</f>
        <v>10</v>
      </c>
      <c r="E37" t="str">
        <f>IF(D37&lt;=$G$7,"Acumulación","Retiro")</f>
        <v>Acumulación</v>
      </c>
      <c r="F37" s="10">
        <f>IF(D37&lt;=$G$8,$G$1*12*(1+$D$3)^(D37-1),0)</f>
        <v>101595</v>
      </c>
      <c r="G37" s="10">
        <f>IF(AND($G$2&gt;0,D37&gt;=$G$3),$G$2*12*(1+$D$3)^(D37-1),0)</f>
        <v>18814</v>
      </c>
      <c r="H37" s="10">
        <f>SUMPRODUCT(($M$11:$V$11&gt;=B37)*$M$10:$V$10)*12*(1+$D$3)^(D37-1)</f>
        <v>0</v>
      </c>
      <c r="I37" s="10">
        <f>IF(AND($G$4&gt;0,D37&gt;=$G$6),$G$4*12*(1+$D$3)^($G$6-1)*(1+$D$4)^(D37-$G$6),0)</f>
        <v>0</v>
      </c>
      <c r="J37" s="10">
        <f>'Fondos de pensión'!T28</f>
        <v>0</v>
      </c>
      <c r="K37" s="10">
        <f>SUM(F37:J37)</f>
        <v>120409</v>
      </c>
      <c r="L37" s="10">
        <f>SUMIF($M$2:$V$2,B37,$M$3:$V$3)*(1+$D$3)^(D37-1)</f>
        <v>0</v>
      </c>
      <c r="M37" s="10">
        <f>'Fondos de pensión'!S28</f>
        <v>0</v>
      </c>
      <c r="N37" s="10">
        <f>SUM(L37:M37)</f>
        <v>0</v>
      </c>
      <c r="O37" s="10">
        <f>K37+N37</f>
        <v>120409</v>
      </c>
      <c r="P37" s="10">
        <f>$J$1*12*(1+$D$3)^(D37-1)*IF(D37&gt;$G$7,$J$2,1)</f>
        <v>93129</v>
      </c>
      <c r="Q37" s="10">
        <f>SUMPRODUCT(($M$7:$V$7&lt;=B37)*($M$7:$V$7+$M$8:$V$8&gt;B37)*$M$9:$V$9)*(1+$D$3)^(D37-1)</f>
        <v>0</v>
      </c>
      <c r="R37" s="10">
        <f>$J$3*(1+$D$3)^(D37-1)</f>
        <v>4233</v>
      </c>
      <c r="S37" s="10">
        <f>IF(D37&lt;=$J$5,$J$4*12,0)+IF(D37&lt;=$J$7,$J$6*12,0)+SUMPRODUCT(($M$22:$V$22&gt;=B37)*$M$21:$V$21)*12</f>
        <v>14400</v>
      </c>
      <c r="T37" s="10">
        <f>SUM(P37:S37)</f>
        <v>111762</v>
      </c>
      <c r="U37" s="10">
        <f>($J$8+SUMPRODUCT(($M$19:$V$19=1)*($M$17:$V$17=B37)*$M$18:$V$18)+SUMPRODUCT(($M$19:$V$19=2)*($M$17:$V$17&lt;=B37)*$M$18:$V$18))*(1+$D$3)^(D37-1)</f>
        <v>8466</v>
      </c>
      <c r="V37" s="10">
        <f>T37+U37</f>
        <v>120228</v>
      </c>
      <c r="W37" s="10">
        <f>O37-V37</f>
        <v>181</v>
      </c>
      <c r="X37" s="10">
        <f>MAX(0,W37)</f>
        <v>181</v>
      </c>
      <c r="Y37" s="10">
        <f>X37</f>
        <v>181</v>
      </c>
      <c r="Z37" s="10">
        <f>SUMPRODUCT(($M$4:$V$4=B37)*($M$6:$V$6=1)*$M$5:$V$5)*(1+$D$3)^(D37-1)</f>
        <v>0</v>
      </c>
      <c r="AA37" s="10">
        <f>SUMPRODUCT(($M$4:$V$4=B37)*($M$6:$V$6=2)*$M$5:$V$5)*(1+$D$3)^(D37-1)</f>
        <v>0</v>
      </c>
      <c r="AB37" s="10">
        <f>SUMPRODUCT(($M$4:$V$4=B37)*($M$6:$V$6=3)*$M$5:$V$5)*(1+$D$3)^(D37-1)</f>
        <v>0</v>
      </c>
      <c r="AC37" s="10">
        <f>SUM(Z37:AB37)</f>
        <v>0</v>
      </c>
      <c r="AD37" s="10">
        <f>MIN(0,W37)</f>
        <v>0</v>
      </c>
      <c r="AE37" s="10">
        <f>-SUMIF($M$12:$V$12,B37,$M$13:$V$13)*(1+$D$3)^(D37-1)</f>
        <v>0</v>
      </c>
      <c r="AF37" s="10">
        <f>IF(B37=$M$14,-$M$15*(1+$D$3)^(D37-1),0)</f>
        <v>0</v>
      </c>
      <c r="AG37" s="10">
        <f>SUM(AD37:AF37)</f>
        <v>0</v>
      </c>
      <c r="AH37" s="10">
        <f>AK36</f>
        <v>824054</v>
      </c>
      <c r="AI37" s="10">
        <f>AH37*$D$7</f>
        <v>49443</v>
      </c>
      <c r="AJ37" s="10">
        <f>MAX(0,-(AH37+AI37+Y37+AC37+AG37))</f>
        <v>0</v>
      </c>
      <c r="AK37" s="10">
        <f>AH37+AI37+Y37+AC37+AG37+AJ37</f>
        <v>873678</v>
      </c>
      <c r="AL37" s="10">
        <f>AK37/(1+$D$3)^D37</f>
        <v>595931</v>
      </c>
      <c r="AM37" s="4">
        <f>IF(AH37&lt;=0,0,-AG37/AH37)</f>
        <v>0</v>
      </c>
    </row>
    <row r="38">
      <c r="B38" s="9">
        <f>B37+1</f>
        <v>2036</v>
      </c>
      <c r="C38" s="9">
        <f>C37+1</f>
        <v>56</v>
      </c>
      <c r="D38" s="9">
        <f>D37+1</f>
        <v>11</v>
      </c>
      <c r="E38" t="str">
        <f>IF(D38&lt;=$G$7,"Acumulación","Retiro")</f>
        <v>Acumulación</v>
      </c>
      <c r="F38" s="10">
        <f>IF(D38&lt;=$G$8,$G$1*12*(1+$D$3)^(D38-1),0)</f>
        <v>105557</v>
      </c>
      <c r="G38" s="10">
        <f>IF(AND($G$2&gt;0,D38&gt;=$G$3),$G$2*12*(1+$D$3)^(D38-1),0)</f>
        <v>19548</v>
      </c>
      <c r="H38" s="10">
        <f>SUMPRODUCT(($M$11:$V$11&gt;=B38)*$M$10:$V$10)*12*(1+$D$3)^(D38-1)</f>
        <v>0</v>
      </c>
      <c r="I38" s="10">
        <f>IF(AND($G$4&gt;0,D38&gt;=$G$6),$G$4*12*(1+$D$3)^($G$6-1)*(1+$D$4)^(D38-$G$6),0)</f>
        <v>0</v>
      </c>
      <c r="J38" s="10">
        <f>'Fondos de pensión'!T29</f>
        <v>0</v>
      </c>
      <c r="K38" s="10">
        <f>SUM(F38:J38)</f>
        <v>125105</v>
      </c>
      <c r="L38" s="10">
        <f>SUMIF($M$2:$V$2,B38,$M$3:$V$3)*(1+$D$3)^(D38-1)</f>
        <v>0</v>
      </c>
      <c r="M38" s="10">
        <f>'Fondos de pensión'!S29</f>
        <v>0</v>
      </c>
      <c r="N38" s="10">
        <f>SUM(L38:M38)</f>
        <v>0</v>
      </c>
      <c r="O38" s="10">
        <f>K38+N38</f>
        <v>125105</v>
      </c>
      <c r="P38" s="10">
        <f>$J$1*12*(1+$D$3)^(D38-1)*IF(D38&gt;$G$7,$J$2,1)</f>
        <v>96761</v>
      </c>
      <c r="Q38" s="10">
        <f>SUMPRODUCT(($M$7:$V$7&lt;=B38)*($M$7:$V$7+$M$8:$V$8&gt;B38)*$M$9:$V$9)*(1+$D$3)^(D38-1)</f>
        <v>0</v>
      </c>
      <c r="R38" s="10">
        <f>$J$3*(1+$D$3)^(D38-1)</f>
        <v>4398</v>
      </c>
      <c r="S38" s="10">
        <f>IF(D38&lt;=$J$5,$J$4*12,0)+IF(D38&lt;=$J$7,$J$6*12,0)+SUMPRODUCT(($M$22:$V$22&gt;=B38)*$M$21:$V$21)*12</f>
        <v>14400</v>
      </c>
      <c r="T38" s="10">
        <f>SUM(P38:S38)</f>
        <v>115559</v>
      </c>
      <c r="U38" s="10">
        <f>($J$8+SUMPRODUCT(($M$19:$V$19=1)*($M$17:$V$17=B38)*$M$18:$V$18)+SUMPRODUCT(($M$19:$V$19=2)*($M$17:$V$17&lt;=B38)*$M$18:$V$18))*(1+$D$3)^(D38-1)</f>
        <v>8796</v>
      </c>
      <c r="V38" s="10">
        <f>T38+U38</f>
        <v>124355</v>
      </c>
      <c r="W38" s="10">
        <f>O38-V38</f>
        <v>749</v>
      </c>
      <c r="X38" s="10">
        <f>MAX(0,W38)</f>
        <v>749</v>
      </c>
      <c r="Y38" s="10">
        <f>X38</f>
        <v>749</v>
      </c>
      <c r="Z38" s="10">
        <f>SUMPRODUCT(($M$4:$V$4=B38)*($M$6:$V$6=1)*$M$5:$V$5)*(1+$D$3)^(D38-1)</f>
        <v>0</v>
      </c>
      <c r="AA38" s="10">
        <f>SUMPRODUCT(($M$4:$V$4=B38)*($M$6:$V$6=2)*$M$5:$V$5)*(1+$D$3)^(D38-1)</f>
        <v>0</v>
      </c>
      <c r="AB38" s="10">
        <f>SUMPRODUCT(($M$4:$V$4=B38)*($M$6:$V$6=3)*$M$5:$V$5)*(1+$D$3)^(D38-1)</f>
        <v>0</v>
      </c>
      <c r="AC38" s="10">
        <f>SUM(Z38:AB38)</f>
        <v>0</v>
      </c>
      <c r="AD38" s="10">
        <f>MIN(0,W38)</f>
        <v>0</v>
      </c>
      <c r="AE38" s="10">
        <f>-SUMIF($M$12:$V$12,B38,$M$13:$V$13)*(1+$D$3)^(D38-1)</f>
        <v>0</v>
      </c>
      <c r="AF38" s="10">
        <f>IF(B38=$M$14,-$M$15*(1+$D$3)^(D38-1),0)</f>
        <v>0</v>
      </c>
      <c r="AG38" s="10">
        <f>SUM(AD38:AF38)</f>
        <v>0</v>
      </c>
      <c r="AH38" s="10">
        <f>AK37</f>
        <v>873678</v>
      </c>
      <c r="AI38" s="10">
        <f>AH38*$D$7</f>
        <v>52421</v>
      </c>
      <c r="AJ38" s="10">
        <f>MAX(0,-(AH38+AI38+Y38+AC38+AG38))</f>
        <v>0</v>
      </c>
      <c r="AK38" s="10">
        <f>AH38+AI38+Y38+AC38+AG38+AJ38</f>
        <v>926848</v>
      </c>
      <c r="AL38" s="10">
        <f>AK38/(1+$D$3)^D38</f>
        <v>608467</v>
      </c>
      <c r="AM38" s="4">
        <f>IF(AH38&lt;=0,0,-AG38/AH38)</f>
        <v>0</v>
      </c>
    </row>
    <row r="39">
      <c r="B39" s="9">
        <f>B38+1</f>
        <v>2037</v>
      </c>
      <c r="C39" s="9">
        <f>C38+1</f>
        <v>57</v>
      </c>
      <c r="D39" s="9">
        <f>D38+1</f>
        <v>12</v>
      </c>
      <c r="E39" t="str">
        <f>IF(D39&lt;=$G$7,"Acumulación","Retiro")</f>
        <v>Acumulación</v>
      </c>
      <c r="F39" s="10">
        <f>IF(D39&lt;=$G$8,$G$1*12*(1+$D$3)^(D39-1),0)</f>
        <v>109674</v>
      </c>
      <c r="G39" s="10">
        <f>IF(AND($G$2&gt;0,D39&gt;=$G$3),$G$2*12*(1+$D$3)^(D39-1),0)</f>
        <v>20310</v>
      </c>
      <c r="H39" s="10">
        <f>SUMPRODUCT(($M$11:$V$11&gt;=B39)*$M$10:$V$10)*12*(1+$D$3)^(D39-1)</f>
        <v>0</v>
      </c>
      <c r="I39" s="10">
        <f>IF(AND($G$4&gt;0,D39&gt;=$G$6),$G$4*12*(1+$D$3)^($G$6-1)*(1+$D$4)^(D39-$G$6),0)</f>
        <v>0</v>
      </c>
      <c r="J39" s="10">
        <f>'Fondos de pensión'!T30</f>
        <v>0</v>
      </c>
      <c r="K39" s="10">
        <f>SUM(F39:J39)</f>
        <v>129984</v>
      </c>
      <c r="L39" s="10">
        <f>SUMIF($M$2:$V$2,B39,$M$3:$V$3)*(1+$D$3)^(D39-1)</f>
        <v>0</v>
      </c>
      <c r="M39" s="10">
        <f>'Fondos de pensión'!S30</f>
        <v>135476</v>
      </c>
      <c r="N39" s="10">
        <f>SUM(L39:M39)</f>
        <v>135476</v>
      </c>
      <c r="O39" s="10">
        <f>K39+N39</f>
        <v>265460</v>
      </c>
      <c r="P39" s="10">
        <f>$J$1*12*(1+$D$3)^(D39-1)*IF(D39&gt;$G$7,$J$2,1)</f>
        <v>100534</v>
      </c>
      <c r="Q39" s="10">
        <f>SUMPRODUCT(($M$7:$V$7&lt;=B39)*($M$7:$V$7+$M$8:$V$8&gt;B39)*$M$9:$V$9)*(1+$D$3)^(D39-1)</f>
        <v>0</v>
      </c>
      <c r="R39" s="10">
        <f>$J$3*(1+$D$3)^(D39-1)</f>
        <v>4570</v>
      </c>
      <c r="S39" s="10">
        <f>IF(D39&lt;=$J$5,$J$4*12,0)+IF(D39&lt;=$J$7,$J$6*12,0)+SUMPRODUCT(($M$22:$V$22&gt;=B39)*$M$21:$V$21)*12</f>
        <v>14400</v>
      </c>
      <c r="T39" s="10">
        <f>SUM(P39:S39)</f>
        <v>119504</v>
      </c>
      <c r="U39" s="10">
        <f>($J$8+SUMPRODUCT(($M$19:$V$19=1)*($M$17:$V$17=B39)*$M$18:$V$18)+SUMPRODUCT(($M$19:$V$19=2)*($M$17:$V$17&lt;=B39)*$M$18:$V$18))*(1+$D$3)^(D39-1)</f>
        <v>9139</v>
      </c>
      <c r="V39" s="10">
        <f>T39+U39</f>
        <v>128644</v>
      </c>
      <c r="W39" s="10">
        <f>O39-V39</f>
        <v>136816</v>
      </c>
      <c r="X39" s="10">
        <f>MAX(0,W39)</f>
        <v>136816</v>
      </c>
      <c r="Y39" s="10">
        <f>X39</f>
        <v>136816</v>
      </c>
      <c r="Z39" s="10">
        <f>SUMPRODUCT(($M$4:$V$4=B39)*($M$6:$V$6=1)*$M$5:$V$5)*(1+$D$3)^(D39-1)</f>
        <v>0</v>
      </c>
      <c r="AA39" s="10">
        <f>SUMPRODUCT(($M$4:$V$4=B39)*($M$6:$V$6=2)*$M$5:$V$5)*(1+$D$3)^(D39-1)</f>
        <v>0</v>
      </c>
      <c r="AB39" s="10">
        <f>SUMPRODUCT(($M$4:$V$4=B39)*($M$6:$V$6=3)*$M$5:$V$5)*(1+$D$3)^(D39-1)</f>
        <v>0</v>
      </c>
      <c r="AC39" s="10">
        <f>SUM(Z39:AB39)</f>
        <v>0</v>
      </c>
      <c r="AD39" s="10">
        <f>MIN(0,W39)</f>
        <v>0</v>
      </c>
      <c r="AE39" s="10">
        <f>-SUMIF($M$12:$V$12,B39,$M$13:$V$13)*(1+$D$3)^(D39-1)</f>
        <v>0</v>
      </c>
      <c r="AF39" s="10">
        <f>IF(B39=$M$14,-$M$15*(1+$D$3)^(D39-1),0)</f>
        <v>0</v>
      </c>
      <c r="AG39" s="10">
        <f>SUM(AD39:AF39)</f>
        <v>0</v>
      </c>
      <c r="AH39" s="10">
        <f>AK38</f>
        <v>926848</v>
      </c>
      <c r="AI39" s="10">
        <f>AH39*$D$7</f>
        <v>55611</v>
      </c>
      <c r="AJ39" s="10">
        <f>MAX(0,-(AH39+AI39+Y39+AC39+AG39))</f>
        <v>0</v>
      </c>
      <c r="AK39" s="10">
        <f>AH39+AI39+Y39+AC39+AG39+AJ39</f>
        <v>1119275</v>
      </c>
      <c r="AL39" s="10">
        <f>AK39/(1+$D$3)^D39</f>
        <v>707213</v>
      </c>
      <c r="AM39" s="4">
        <f>IF(AH39&lt;=0,0,-AG39/AH39)</f>
        <v>0</v>
      </c>
    </row>
    <row r="40">
      <c r="B40" s="9">
        <f>B39+1</f>
        <v>2038</v>
      </c>
      <c r="C40" s="9">
        <f>C39+1</f>
        <v>58</v>
      </c>
      <c r="D40" s="9">
        <f>D39+1</f>
        <v>13</v>
      </c>
      <c r="E40" t="str">
        <f>IF(D40&lt;=$G$7,"Acumulación","Retiro")</f>
        <v>Acumulación</v>
      </c>
      <c r="F40" s="10">
        <f>IF(D40&lt;=$G$8,$G$1*12*(1+$D$3)^(D40-1),0)</f>
        <v>113951</v>
      </c>
      <c r="G40" s="10">
        <f>IF(AND($G$2&gt;0,D40&gt;=$G$3),$G$2*12*(1+$D$3)^(D40-1),0)</f>
        <v>21102</v>
      </c>
      <c r="H40" s="10">
        <f>SUMPRODUCT(($M$11:$V$11&gt;=B40)*$M$10:$V$10)*12*(1+$D$3)^(D40-1)</f>
        <v>0</v>
      </c>
      <c r="I40" s="10">
        <f>IF(AND($G$4&gt;0,D40&gt;=$G$6),$G$4*12*(1+$D$3)^($G$6-1)*(1+$D$4)^(D40-$G$6),0)</f>
        <v>0</v>
      </c>
      <c r="J40" s="10">
        <f>'Fondos de pensión'!T31</f>
        <v>0</v>
      </c>
      <c r="K40" s="10">
        <f>SUM(F40:J40)</f>
        <v>135053</v>
      </c>
      <c r="L40" s="10">
        <f>SUMIF($M$2:$V$2,B40,$M$3:$V$3)*(1+$D$3)^(D40-1)</f>
        <v>0</v>
      </c>
      <c r="M40" s="10">
        <f>'Fondos de pensión'!S31</f>
        <v>0</v>
      </c>
      <c r="N40" s="10">
        <f>SUM(L40:M40)</f>
        <v>0</v>
      </c>
      <c r="O40" s="10">
        <f>K40+N40</f>
        <v>135053</v>
      </c>
      <c r="P40" s="10">
        <f>$J$1*12*(1+$D$3)^(D40-1)*IF(D40&gt;$G$7,$J$2,1)</f>
        <v>104455</v>
      </c>
      <c r="Q40" s="10">
        <f>SUMPRODUCT(($M$7:$V$7&lt;=B40)*($M$7:$V$7+$M$8:$V$8&gt;B40)*$M$9:$V$9)*(1+$D$3)^(D40-1)</f>
        <v>0</v>
      </c>
      <c r="R40" s="10">
        <f>$J$3*(1+$D$3)^(D40-1)</f>
        <v>4748</v>
      </c>
      <c r="S40" s="10">
        <f>IF(D40&lt;=$J$5,$J$4*12,0)+IF(D40&lt;=$J$7,$J$6*12,0)+SUMPRODUCT(($M$22:$V$22&gt;=B40)*$M$21:$V$21)*12</f>
        <v>14400</v>
      </c>
      <c r="T40" s="10">
        <f>SUM(P40:S40)</f>
        <v>123603</v>
      </c>
      <c r="U40" s="10">
        <f>($J$8+SUMPRODUCT(($M$19:$V$19=1)*($M$17:$V$17=B40)*$M$18:$V$18)+SUMPRODUCT(($M$19:$V$19=2)*($M$17:$V$17&lt;=B40)*$M$18:$V$18))*(1+$D$3)^(D40-1)</f>
        <v>9496</v>
      </c>
      <c r="V40" s="10">
        <f>T40+U40</f>
        <v>133099</v>
      </c>
      <c r="W40" s="10">
        <f>O40-V40</f>
        <v>1954</v>
      </c>
      <c r="X40" s="10">
        <f>MAX(0,W40)</f>
        <v>1954</v>
      </c>
      <c r="Y40" s="10">
        <f>X40</f>
        <v>1954</v>
      </c>
      <c r="Z40" s="10">
        <f>SUMPRODUCT(($M$4:$V$4=B40)*($M$6:$V$6=1)*$M$5:$V$5)*(1+$D$3)^(D40-1)</f>
        <v>0</v>
      </c>
      <c r="AA40" s="10">
        <f>SUMPRODUCT(($M$4:$V$4=B40)*($M$6:$V$6=2)*$M$5:$V$5)*(1+$D$3)^(D40-1)</f>
        <v>0</v>
      </c>
      <c r="AB40" s="10">
        <f>SUMPRODUCT(($M$4:$V$4=B40)*($M$6:$V$6=3)*$M$5:$V$5)*(1+$D$3)^(D40-1)</f>
        <v>0</v>
      </c>
      <c r="AC40" s="10">
        <f>SUM(Z40:AB40)</f>
        <v>0</v>
      </c>
      <c r="AD40" s="10">
        <f>MIN(0,W40)</f>
        <v>0</v>
      </c>
      <c r="AE40" s="10">
        <f>-SUMIF($M$12:$V$12,B40,$M$13:$V$13)*(1+$D$3)^(D40-1)</f>
        <v>0</v>
      </c>
      <c r="AF40" s="10">
        <f>IF(B40=$M$14,-$M$15*(1+$D$3)^(D40-1),0)</f>
        <v>0</v>
      </c>
      <c r="AG40" s="10">
        <f>SUM(AD40:AF40)</f>
        <v>0</v>
      </c>
      <c r="AH40" s="10">
        <f>AK39</f>
        <v>1119275</v>
      </c>
      <c r="AI40" s="10">
        <f>AH40*$D$7</f>
        <v>67156</v>
      </c>
      <c r="AJ40" s="10">
        <f>MAX(0,-(AH40+AI40+Y40+AC40+AG40))</f>
        <v>0</v>
      </c>
      <c r="AK40" s="10">
        <f>AH40+AI40+Y40+AC40+AG40+AJ40</f>
        <v>1188385</v>
      </c>
      <c r="AL40" s="10">
        <f>AK40/(1+$D$3)^D40</f>
        <v>722695</v>
      </c>
      <c r="AM40" s="4">
        <f>IF(AH40&lt;=0,0,-AG40/AH40)</f>
        <v>0</v>
      </c>
    </row>
    <row r="41">
      <c r="B41" s="9">
        <f>B40+1</f>
        <v>2039</v>
      </c>
      <c r="C41" s="9">
        <f>C40+1</f>
        <v>59</v>
      </c>
      <c r="D41" s="9">
        <f>D40+1</f>
        <v>14</v>
      </c>
      <c r="E41" t="str">
        <f>IF(D41&lt;=$G$7,"Acumulación","Retiro")</f>
        <v>Acumulación</v>
      </c>
      <c r="F41" s="10">
        <f>IF(D41&lt;=$G$8,$G$1*12*(1+$D$3)^(D41-1),0)</f>
        <v>118395</v>
      </c>
      <c r="G41" s="10">
        <f>IF(AND($G$2&gt;0,D41&gt;=$G$3),$G$2*12*(1+$D$3)^(D41-1),0)</f>
        <v>21925</v>
      </c>
      <c r="H41" s="10">
        <f>SUMPRODUCT(($M$11:$V$11&gt;=B41)*$M$10:$V$10)*12*(1+$D$3)^(D41-1)</f>
        <v>0</v>
      </c>
      <c r="I41" s="10">
        <f>IF(AND($G$4&gt;0,D41&gt;=$G$6),$G$4*12*(1+$D$3)^($G$6-1)*(1+$D$4)^(D41-$G$6),0)</f>
        <v>0</v>
      </c>
      <c r="J41" s="10">
        <f>'Fondos de pensión'!T32</f>
        <v>0</v>
      </c>
      <c r="K41" s="10">
        <f>SUM(F41:J41)</f>
        <v>140320</v>
      </c>
      <c r="L41" s="10">
        <f>SUMIF($M$2:$V$2,B41,$M$3:$V$3)*(1+$D$3)^(D41-1)</f>
        <v>0</v>
      </c>
      <c r="M41" s="10">
        <f>'Fondos de pensión'!S32</f>
        <v>0</v>
      </c>
      <c r="N41" s="10">
        <f>SUM(L41:M41)</f>
        <v>0</v>
      </c>
      <c r="O41" s="10">
        <f>K41+N41</f>
        <v>140320</v>
      </c>
      <c r="P41" s="10">
        <f>$J$1*12*(1+$D$3)^(D41-1)*IF(D41&gt;$G$7,$J$2,1)</f>
        <v>108529</v>
      </c>
      <c r="Q41" s="10">
        <f>SUMPRODUCT(($M$7:$V$7&lt;=B41)*($M$7:$V$7+$M$8:$V$8&gt;B41)*$M$9:$V$9)*(1+$D$3)^(D41-1)</f>
        <v>0</v>
      </c>
      <c r="R41" s="10">
        <f>$J$3*(1+$D$3)^(D41-1)</f>
        <v>4933</v>
      </c>
      <c r="S41" s="10">
        <f>IF(D41&lt;=$J$5,$J$4*12,0)+IF(D41&lt;=$J$7,$J$6*12,0)+SUMPRODUCT(($M$22:$V$22&gt;=B41)*$M$21:$V$21)*12</f>
        <v>14400</v>
      </c>
      <c r="T41" s="10">
        <f>SUM(P41:S41)</f>
        <v>127862</v>
      </c>
      <c r="U41" s="10">
        <f>($J$8+SUMPRODUCT(($M$19:$V$19=1)*($M$17:$V$17=B41)*$M$18:$V$18)+SUMPRODUCT(($M$19:$V$19=2)*($M$17:$V$17&lt;=B41)*$M$18:$V$18))*(1+$D$3)^(D41-1)</f>
        <v>9866</v>
      </c>
      <c r="V41" s="10">
        <f>T41+U41</f>
        <v>137728</v>
      </c>
      <c r="W41" s="10">
        <f>O41-V41</f>
        <v>2592</v>
      </c>
      <c r="X41" s="10">
        <f>MAX(0,W41)</f>
        <v>2592</v>
      </c>
      <c r="Y41" s="10">
        <f>X41</f>
        <v>2592</v>
      </c>
      <c r="Z41" s="10">
        <f>SUMPRODUCT(($M$4:$V$4=B41)*($M$6:$V$6=1)*$M$5:$V$5)*(1+$D$3)^(D41-1)</f>
        <v>0</v>
      </c>
      <c r="AA41" s="10">
        <f>SUMPRODUCT(($M$4:$V$4=B41)*($M$6:$V$6=2)*$M$5:$V$5)*(1+$D$3)^(D41-1)</f>
        <v>0</v>
      </c>
      <c r="AB41" s="10">
        <f>SUMPRODUCT(($M$4:$V$4=B41)*($M$6:$V$6=3)*$M$5:$V$5)*(1+$D$3)^(D41-1)</f>
        <v>0</v>
      </c>
      <c r="AC41" s="10">
        <f>SUM(Z41:AB41)</f>
        <v>0</v>
      </c>
      <c r="AD41" s="10">
        <f>MIN(0,W41)</f>
        <v>0</v>
      </c>
      <c r="AE41" s="10">
        <f>-SUMIF($M$12:$V$12,B41,$M$13:$V$13)*(1+$D$3)^(D41-1)</f>
        <v>0</v>
      </c>
      <c r="AF41" s="10">
        <f>IF(B41=$M$14,-$M$15*(1+$D$3)^(D41-1),0)</f>
        <v>0</v>
      </c>
      <c r="AG41" s="10">
        <f>SUM(AD41:AF41)</f>
        <v>0</v>
      </c>
      <c r="AH41" s="10">
        <f>AK40</f>
        <v>1188385</v>
      </c>
      <c r="AI41" s="10">
        <f>AH41*$D$7</f>
        <v>71303</v>
      </c>
      <c r="AJ41" s="10">
        <f>MAX(0,-(AH41+AI41+Y41+AC41+AG41))</f>
        <v>0</v>
      </c>
      <c r="AK41" s="10">
        <f>AH41+AI41+Y41+AC41+AG41+AJ41</f>
        <v>1262280</v>
      </c>
      <c r="AL41" s="10">
        <f>AK41/(1+$D$3)^D41</f>
        <v>738819</v>
      </c>
      <c r="AM41" s="4">
        <f>IF(AH41&lt;=0,0,-AG41/AH41)</f>
        <v>0</v>
      </c>
    </row>
    <row r="42">
      <c r="B42" s="9">
        <f>B41+1</f>
        <v>2040</v>
      </c>
      <c r="C42" s="9">
        <f>C41+1</f>
        <v>60</v>
      </c>
      <c r="D42" s="9">
        <f>D41+1</f>
        <v>15</v>
      </c>
      <c r="E42" t="str">
        <f>IF(D42&lt;=$G$7,"Acumulación","Retiro")</f>
        <v>Retiro</v>
      </c>
      <c r="F42" s="10">
        <f>IF(D42&lt;=$G$8,$G$1*12*(1+$D$3)^(D42-1),0)</f>
        <v>0</v>
      </c>
      <c r="G42" s="10">
        <f>IF(AND($G$2&gt;0,D42&gt;=$G$3),$G$2*12*(1+$D$3)^(D42-1),0)</f>
        <v>22780</v>
      </c>
      <c r="H42" s="10">
        <f>SUMPRODUCT(($M$11:$V$11&gt;=B42)*$M$10:$V$10)*12*(1+$D$3)^(D42-1)</f>
        <v>0</v>
      </c>
      <c r="I42" s="10">
        <f>IF(AND($G$4&gt;0,D42&gt;=$G$6),$G$4*12*(1+$D$3)^($G$6-1)*(1+$D$4)^(D42-$G$6),0)</f>
        <v>0</v>
      </c>
      <c r="J42" s="10">
        <f>'Fondos de pensión'!T33</f>
        <v>0</v>
      </c>
      <c r="K42" s="10">
        <f>SUM(F42:J42)</f>
        <v>22780</v>
      </c>
      <c r="L42" s="10">
        <f>SUMIF($M$2:$V$2,B42,$M$3:$V$3)*(1+$D$3)^(D42-1)</f>
        <v>0</v>
      </c>
      <c r="M42" s="10">
        <f>'Fondos de pensión'!S33</f>
        <v>108107</v>
      </c>
      <c r="N42" s="10">
        <f>SUM(L42:M42)</f>
        <v>108107</v>
      </c>
      <c r="O42" s="10">
        <f>K42+N42</f>
        <v>130887</v>
      </c>
      <c r="P42" s="10">
        <f>$J$1*12*(1+$D$3)^(D42-1)*IF(D42&gt;$G$7,$J$2,1)</f>
        <v>112762</v>
      </c>
      <c r="Q42" s="10">
        <f>SUMPRODUCT(($M$7:$V$7&lt;=B42)*($M$7:$V$7+$M$8:$V$8&gt;B42)*$M$9:$V$9)*(1+$D$3)^(D42-1)</f>
        <v>0</v>
      </c>
      <c r="R42" s="10">
        <f>$J$3*(1+$D$3)^(D42-1)</f>
        <v>5126</v>
      </c>
      <c r="S42" s="10">
        <f>IF(D42&lt;=$J$5,$J$4*12,0)+IF(D42&lt;=$J$7,$J$6*12,0)+SUMPRODUCT(($M$22:$V$22&gt;=B42)*$M$21:$V$21)*12</f>
        <v>14400</v>
      </c>
      <c r="T42" s="10">
        <f>SUM(P42:S42)</f>
        <v>132287</v>
      </c>
      <c r="U42" s="10">
        <f>($J$8+SUMPRODUCT(($M$19:$V$19=1)*($M$17:$V$17=B42)*$M$18:$V$18)+SUMPRODUCT(($M$19:$V$19=2)*($M$17:$V$17&lt;=B42)*$M$18:$V$18))*(1+$D$3)^(D42-1)</f>
        <v>10251</v>
      </c>
      <c r="V42" s="10">
        <f>T42+U42</f>
        <v>142538</v>
      </c>
      <c r="W42" s="10">
        <f>O42-V42</f>
        <v>-11651</v>
      </c>
      <c r="X42" s="10">
        <f>MAX(0,W42)</f>
        <v>0</v>
      </c>
      <c r="Y42" s="10">
        <f>X42</f>
        <v>0</v>
      </c>
      <c r="Z42" s="10">
        <f>SUMPRODUCT(($M$4:$V$4=B42)*($M$6:$V$6=1)*$M$5:$V$5)*(1+$D$3)^(D42-1)</f>
        <v>0</v>
      </c>
      <c r="AA42" s="10">
        <f>SUMPRODUCT(($M$4:$V$4=B42)*($M$6:$V$6=2)*$M$5:$V$5)*(1+$D$3)^(D42-1)</f>
        <v>0</v>
      </c>
      <c r="AB42" s="10">
        <f>SUMPRODUCT(($M$4:$V$4=B42)*($M$6:$V$6=3)*$M$5:$V$5)*(1+$D$3)^(D42-1)</f>
        <v>0</v>
      </c>
      <c r="AC42" s="10">
        <f>SUM(Z42:AB42)</f>
        <v>0</v>
      </c>
      <c r="AD42" s="10">
        <f>MIN(0,W42)</f>
        <v>-11651</v>
      </c>
      <c r="AE42" s="10">
        <f>-SUMIF($M$12:$V$12,B42,$M$13:$V$13)*(1+$D$3)^(D42-1)</f>
        <v>0</v>
      </c>
      <c r="AF42" s="10">
        <f>IF(B42=$M$14,-$M$15*(1+$D$3)^(D42-1),0)</f>
        <v>0</v>
      </c>
      <c r="AG42" s="10">
        <f>SUM(AD42:AF42)</f>
        <v>-11651</v>
      </c>
      <c r="AH42" s="10">
        <f>AK41</f>
        <v>1262280</v>
      </c>
      <c r="AI42" s="10">
        <f>AH42*$D$7</f>
        <v>75737</v>
      </c>
      <c r="AJ42" s="10">
        <f>MAX(0,-(AH42+AI42+Y42+AC42+AG42))</f>
        <v>0</v>
      </c>
      <c r="AK42" s="10">
        <f>AH42+AI42+Y42+AC42+AG42+AJ42</f>
        <v>1326366</v>
      </c>
      <c r="AL42" s="10">
        <f>AK42/(1+$D$3)^D42</f>
        <v>747188</v>
      </c>
      <c r="AM42" s="4">
        <f>IF(AH42&lt;=0,0,-AG42/AH42)</f>
        <v>0.009230391754371303</v>
      </c>
    </row>
    <row r="43">
      <c r="B43" s="9">
        <f>B42+1</f>
        <v>2041</v>
      </c>
      <c r="C43" s="9">
        <f>C42+1</f>
        <v>61</v>
      </c>
      <c r="D43" s="9">
        <f>D42+1</f>
        <v>16</v>
      </c>
      <c r="E43" t="str">
        <f>IF(D43&lt;=$G$7,"Acumulación","Retiro")</f>
        <v>Retiro</v>
      </c>
      <c r="F43" s="10">
        <f>IF(D43&lt;=$G$8,$G$1*12*(1+$D$3)^(D43-1),0)</f>
        <v>0</v>
      </c>
      <c r="G43" s="10">
        <f>IF(AND($G$2&gt;0,D43&gt;=$G$3),$G$2*12*(1+$D$3)^(D43-1),0)</f>
        <v>23669</v>
      </c>
      <c r="H43" s="10">
        <f>SUMPRODUCT(($M$11:$V$11&gt;=B43)*$M$10:$V$10)*12*(1+$D$3)^(D43-1)</f>
        <v>0</v>
      </c>
      <c r="I43" s="10">
        <f>IF(AND($G$4&gt;0,D43&gt;=$G$6),$G$4*12*(1+$D$3)^($G$6-1)*(1+$D$4)^(D43-$G$6),0)</f>
        <v>0</v>
      </c>
      <c r="J43" s="10">
        <f>'Fondos de pensión'!T34</f>
        <v>0</v>
      </c>
      <c r="K43" s="10">
        <f>SUM(F43:J43)</f>
        <v>23669</v>
      </c>
      <c r="L43" s="10">
        <f>SUMIF($M$2:$V$2,B43,$M$3:$V$3)*(1+$D$3)^(D43-1)</f>
        <v>0</v>
      </c>
      <c r="M43" s="10">
        <f>'Fondos de pensión'!S34</f>
        <v>0</v>
      </c>
      <c r="N43" s="10">
        <f>SUM(L43:M43)</f>
        <v>0</v>
      </c>
      <c r="O43" s="10">
        <f>K43+N43</f>
        <v>23669</v>
      </c>
      <c r="P43" s="10">
        <f>$J$1*12*(1+$D$3)^(D43-1)*IF(D43&gt;$G$7,$J$2,1)</f>
        <v>117159</v>
      </c>
      <c r="Q43" s="10">
        <f>SUMPRODUCT(($M$7:$V$7&lt;=B43)*($M$7:$V$7+$M$8:$V$8&gt;B43)*$M$9:$V$9)*(1+$D$3)^(D43-1)</f>
        <v>0</v>
      </c>
      <c r="R43" s="10">
        <f>$J$3*(1+$D$3)^(D43-1)</f>
        <v>5325</v>
      </c>
      <c r="S43" s="10">
        <f>IF(D43&lt;=$J$5,$J$4*12,0)+IF(D43&lt;=$J$7,$J$6*12,0)+SUMPRODUCT(($M$22:$V$22&gt;=B43)*$M$21:$V$21)*12</f>
        <v>0</v>
      </c>
      <c r="T43" s="10">
        <f>SUM(P43:S43)</f>
        <v>122485</v>
      </c>
      <c r="U43" s="10">
        <f>($J$8+SUMPRODUCT(($M$19:$V$19=1)*($M$17:$V$17=B43)*$M$18:$V$18)+SUMPRODUCT(($M$19:$V$19=2)*($M$17:$V$17&lt;=B43)*$M$18:$V$18))*(1+$D$3)^(D43-1)</f>
        <v>10651</v>
      </c>
      <c r="V43" s="10">
        <f>T43+U43</f>
        <v>133136</v>
      </c>
      <c r="W43" s="10">
        <f>O43-V43</f>
        <v>-109467</v>
      </c>
      <c r="X43" s="10">
        <f>MAX(0,W43)</f>
        <v>0</v>
      </c>
      <c r="Y43" s="10">
        <f>X43</f>
        <v>0</v>
      </c>
      <c r="Z43" s="10">
        <f>SUMPRODUCT(($M$4:$V$4=B43)*($M$6:$V$6=1)*$M$5:$V$5)*(1+$D$3)^(D43-1)</f>
        <v>0</v>
      </c>
      <c r="AA43" s="10">
        <f>SUMPRODUCT(($M$4:$V$4=B43)*($M$6:$V$6=2)*$M$5:$V$5)*(1+$D$3)^(D43-1)</f>
        <v>0</v>
      </c>
      <c r="AB43" s="10">
        <f>SUMPRODUCT(($M$4:$V$4=B43)*($M$6:$V$6=3)*$M$5:$V$5)*(1+$D$3)^(D43-1)</f>
        <v>0</v>
      </c>
      <c r="AC43" s="10">
        <f>SUM(Z43:AB43)</f>
        <v>0</v>
      </c>
      <c r="AD43" s="10">
        <f>MIN(0,W43)</f>
        <v>-109467</v>
      </c>
      <c r="AE43" s="10">
        <f>-SUMIF($M$12:$V$12,B43,$M$13:$V$13)*(1+$D$3)^(D43-1)</f>
        <v>0</v>
      </c>
      <c r="AF43" s="10">
        <f>IF(B43=$M$14,-$M$15*(1+$D$3)^(D43-1),0)</f>
        <v>0</v>
      </c>
      <c r="AG43" s="10">
        <f>SUM(AD43:AF43)</f>
        <v>-109467</v>
      </c>
      <c r="AH43" s="10">
        <f>AK42</f>
        <v>1326366</v>
      </c>
      <c r="AI43" s="10">
        <f>AH43*$D$7</f>
        <v>79582</v>
      </c>
      <c r="AJ43" s="10">
        <f>MAX(0,-(AH43+AI43+Y43+AC43+AG43))</f>
        <v>0</v>
      </c>
      <c r="AK43" s="10">
        <f>AH43+AI43+Y43+AC43+AG43+AJ43</f>
        <v>1296480</v>
      </c>
      <c r="AL43" s="10">
        <f>AK43/(1+$D$3)^D43</f>
        <v>702938</v>
      </c>
      <c r="AM43" s="4">
        <f>IF(AH43&lt;=0,0,-AG43/AH43)</f>
        <v>0.08253162919269363</v>
      </c>
    </row>
    <row r="44">
      <c r="B44" s="9">
        <f>B43+1</f>
        <v>2042</v>
      </c>
      <c r="C44" s="9">
        <f>C43+1</f>
        <v>62</v>
      </c>
      <c r="D44" s="9">
        <f>D43+1</f>
        <v>17</v>
      </c>
      <c r="E44" t="str">
        <f>IF(D44&lt;=$G$7,"Acumulación","Retiro")</f>
        <v>Retiro</v>
      </c>
      <c r="F44" s="10">
        <f>IF(D44&lt;=$G$8,$G$1*12*(1+$D$3)^(D44-1),0)</f>
        <v>0</v>
      </c>
      <c r="G44" s="10">
        <f>IF(AND($G$2&gt;0,D44&gt;=$G$3),$G$2*12*(1+$D$3)^(D44-1),0)</f>
        <v>24592</v>
      </c>
      <c r="H44" s="10">
        <f>SUMPRODUCT(($M$11:$V$11&gt;=B44)*$M$10:$V$10)*12*(1+$D$3)^(D44-1)</f>
        <v>0</v>
      </c>
      <c r="I44" s="10">
        <f>IF(AND($G$4&gt;0,D44&gt;=$G$6),$G$4*12*(1+$D$3)^($G$6-1)*(1+$D$4)^(D44-$G$6),0)</f>
        <v>0</v>
      </c>
      <c r="J44" s="10">
        <f>'Fondos de pensión'!T35</f>
        <v>0</v>
      </c>
      <c r="K44" s="10">
        <f>SUM(F44:J44)</f>
        <v>24592</v>
      </c>
      <c r="L44" s="10">
        <f>SUMIF($M$2:$V$2,B44,$M$3:$V$3)*(1+$D$3)^(D44-1)</f>
        <v>0</v>
      </c>
      <c r="M44" s="10">
        <f>'Fondos de pensión'!S35</f>
        <v>0</v>
      </c>
      <c r="N44" s="10">
        <f>SUM(L44:M44)</f>
        <v>0</v>
      </c>
      <c r="O44" s="10">
        <f>K44+N44</f>
        <v>24592</v>
      </c>
      <c r="P44" s="10">
        <f>$J$1*12*(1+$D$3)^(D44-1)*IF(D44&gt;$G$7,$J$2,1)</f>
        <v>121729</v>
      </c>
      <c r="Q44" s="10">
        <f>SUMPRODUCT(($M$7:$V$7&lt;=B44)*($M$7:$V$7+$M$8:$V$8&gt;B44)*$M$9:$V$9)*(1+$D$3)^(D44-1)</f>
        <v>0</v>
      </c>
      <c r="R44" s="10">
        <f>$J$3*(1+$D$3)^(D44-1)</f>
        <v>5533</v>
      </c>
      <c r="S44" s="10">
        <f>IF(D44&lt;=$J$5,$J$4*12,0)+IF(D44&lt;=$J$7,$J$6*12,0)+SUMPRODUCT(($M$22:$V$22&gt;=B44)*$M$21:$V$21)*12</f>
        <v>0</v>
      </c>
      <c r="T44" s="10">
        <f>SUM(P44:S44)</f>
        <v>127262</v>
      </c>
      <c r="U44" s="10">
        <f>($J$8+SUMPRODUCT(($M$19:$V$19=1)*($M$17:$V$17=B44)*$M$18:$V$18)+SUMPRODUCT(($M$19:$V$19=2)*($M$17:$V$17&lt;=B44)*$M$18:$V$18))*(1+$D$3)^(D44-1)</f>
        <v>11066</v>
      </c>
      <c r="V44" s="10">
        <f>T44+U44</f>
        <v>138328</v>
      </c>
      <c r="W44" s="10">
        <f>O44-V44</f>
        <v>-113736</v>
      </c>
      <c r="X44" s="10">
        <f>MAX(0,W44)</f>
        <v>0</v>
      </c>
      <c r="Y44" s="10">
        <f>X44</f>
        <v>0</v>
      </c>
      <c r="Z44" s="10">
        <f>SUMPRODUCT(($M$4:$V$4=B44)*($M$6:$V$6=1)*$M$5:$V$5)*(1+$D$3)^(D44-1)</f>
        <v>0</v>
      </c>
      <c r="AA44" s="10">
        <f>SUMPRODUCT(($M$4:$V$4=B44)*($M$6:$V$6=2)*$M$5:$V$5)*(1+$D$3)^(D44-1)</f>
        <v>0</v>
      </c>
      <c r="AB44" s="10">
        <f>SUMPRODUCT(($M$4:$V$4=B44)*($M$6:$V$6=3)*$M$5:$V$5)*(1+$D$3)^(D44-1)</f>
        <v>0</v>
      </c>
      <c r="AC44" s="10">
        <f>SUM(Z44:AB44)</f>
        <v>0</v>
      </c>
      <c r="AD44" s="10">
        <f>MIN(0,W44)</f>
        <v>-113736</v>
      </c>
      <c r="AE44" s="10">
        <f>-SUMIF($M$12:$V$12,B44,$M$13:$V$13)*(1+$D$3)^(D44-1)</f>
        <v>0</v>
      </c>
      <c r="AF44" s="10">
        <f>IF(B44=$M$14,-$M$15*(1+$D$3)^(D44-1),0)</f>
        <v>0</v>
      </c>
      <c r="AG44" s="10">
        <f>SUM(AD44:AF44)</f>
        <v>-113736</v>
      </c>
      <c r="AH44" s="10">
        <f>AK43</f>
        <v>1296480</v>
      </c>
      <c r="AI44" s="10">
        <f>AH44*$D$7</f>
        <v>77789</v>
      </c>
      <c r="AJ44" s="10">
        <f>MAX(0,-(AH44+AI44+Y44+AC44+AG44))</f>
        <v>0</v>
      </c>
      <c r="AK44" s="10">
        <f>AH44+AI44+Y44+AC44+AG44+AJ44</f>
        <v>1260533</v>
      </c>
      <c r="AL44" s="10">
        <f>AK44/(1+$D$3)^D44</f>
        <v>657794</v>
      </c>
      <c r="AM44" s="4">
        <f>IF(AH44&lt;=0,0,-AG44/AH44)</f>
        <v>0.08772699484934342</v>
      </c>
    </row>
    <row r="45">
      <c r="B45" s="9">
        <f>B44+1</f>
        <v>2043</v>
      </c>
      <c r="C45" s="9">
        <f>C44+1</f>
        <v>63</v>
      </c>
      <c r="D45" s="9">
        <f>D44+1</f>
        <v>18</v>
      </c>
      <c r="E45" t="str">
        <f>IF(D45&lt;=$G$7,"Acumulación","Retiro")</f>
        <v>Retiro</v>
      </c>
      <c r="F45" s="10">
        <f>IF(D45&lt;=$G$8,$G$1*12*(1+$D$3)^(D45-1),0)</f>
        <v>0</v>
      </c>
      <c r="G45" s="10">
        <f>IF(AND($G$2&gt;0,D45&gt;=$G$3),$G$2*12*(1+$D$3)^(D45-1),0)</f>
        <v>25551</v>
      </c>
      <c r="H45" s="10">
        <f>SUMPRODUCT(($M$11:$V$11&gt;=B45)*$M$10:$V$10)*12*(1+$D$3)^(D45-1)</f>
        <v>0</v>
      </c>
      <c r="I45" s="10">
        <f>IF(AND($G$4&gt;0,D45&gt;=$G$6),$G$4*12*(1+$D$3)^($G$6-1)*(1+$D$4)^(D45-$G$6),0)</f>
        <v>0</v>
      </c>
      <c r="J45" s="10">
        <f>'Fondos de pensión'!T36</f>
        <v>0</v>
      </c>
      <c r="K45" s="10">
        <f>SUM(F45:J45)</f>
        <v>25551</v>
      </c>
      <c r="L45" s="10">
        <f>SUMIF($M$2:$V$2,B45,$M$3:$V$3)*(1+$D$3)^(D45-1)</f>
        <v>0</v>
      </c>
      <c r="M45" s="10">
        <f>'Fondos de pensión'!S36</f>
        <v>0</v>
      </c>
      <c r="N45" s="10">
        <f>SUM(L45:M45)</f>
        <v>0</v>
      </c>
      <c r="O45" s="10">
        <f>K45+N45</f>
        <v>25551</v>
      </c>
      <c r="P45" s="10">
        <f>$J$1*12*(1+$D$3)^(D45-1)*IF(D45&gt;$G$7,$J$2,1)</f>
        <v>126476</v>
      </c>
      <c r="Q45" s="10">
        <f>SUMPRODUCT(($M$7:$V$7&lt;=B45)*($M$7:$V$7+$M$8:$V$8&gt;B45)*$M$9:$V$9)*(1+$D$3)^(D45-1)</f>
        <v>0</v>
      </c>
      <c r="R45" s="10">
        <f>$J$3*(1+$D$3)^(D45-1)</f>
        <v>5749</v>
      </c>
      <c r="S45" s="10">
        <f>IF(D45&lt;=$J$5,$J$4*12,0)+IF(D45&lt;=$J$7,$J$6*12,0)+SUMPRODUCT(($M$22:$V$22&gt;=B45)*$M$21:$V$21)*12</f>
        <v>0</v>
      </c>
      <c r="T45" s="10">
        <f>SUM(P45:S45)</f>
        <v>132225</v>
      </c>
      <c r="U45" s="10">
        <f>($J$8+SUMPRODUCT(($M$19:$V$19=1)*($M$17:$V$17=B45)*$M$18:$V$18)+SUMPRODUCT(($M$19:$V$19=2)*($M$17:$V$17&lt;=B45)*$M$18:$V$18))*(1+$D$3)^(D45-1)</f>
        <v>11498</v>
      </c>
      <c r="V45" s="10">
        <f>T45+U45</f>
        <v>143723</v>
      </c>
      <c r="W45" s="10">
        <f>O45-V45</f>
        <v>-118172</v>
      </c>
      <c r="X45" s="10">
        <f>MAX(0,W45)</f>
        <v>0</v>
      </c>
      <c r="Y45" s="10">
        <f>X45</f>
        <v>0</v>
      </c>
      <c r="Z45" s="10">
        <f>SUMPRODUCT(($M$4:$V$4=B45)*($M$6:$V$6=1)*$M$5:$V$5)*(1+$D$3)^(D45-1)</f>
        <v>0</v>
      </c>
      <c r="AA45" s="10">
        <f>SUMPRODUCT(($M$4:$V$4=B45)*($M$6:$V$6=2)*$M$5:$V$5)*(1+$D$3)^(D45-1)</f>
        <v>0</v>
      </c>
      <c r="AB45" s="10">
        <f>SUMPRODUCT(($M$4:$V$4=B45)*($M$6:$V$6=3)*$M$5:$V$5)*(1+$D$3)^(D45-1)</f>
        <v>0</v>
      </c>
      <c r="AC45" s="10">
        <f>SUM(Z45:AB45)</f>
        <v>0</v>
      </c>
      <c r="AD45" s="10">
        <f>MIN(0,W45)</f>
        <v>-118172</v>
      </c>
      <c r="AE45" s="10">
        <f>-SUMIF($M$12:$V$12,B45,$M$13:$V$13)*(1+$D$3)^(D45-1)</f>
        <v>0</v>
      </c>
      <c r="AF45" s="10">
        <f>IF(B45=$M$14,-$M$15*(1+$D$3)^(D45-1),0)</f>
        <v>0</v>
      </c>
      <c r="AG45" s="10">
        <f>SUM(AD45:AF45)</f>
        <v>-118172</v>
      </c>
      <c r="AH45" s="10">
        <f>AK44</f>
        <v>1260533</v>
      </c>
      <c r="AI45" s="10">
        <f>AH45*$D$7</f>
        <v>75632</v>
      </c>
      <c r="AJ45" s="10">
        <f>MAX(0,-(AH45+AI45+Y45+AC45+AG45))</f>
        <v>0</v>
      </c>
      <c r="AK45" s="10">
        <f>AH45+AI45+Y45+AC45+AG45+AJ45</f>
        <v>1217993</v>
      </c>
      <c r="AL45" s="10">
        <f>AK45/(1+$D$3)^D45</f>
        <v>611737</v>
      </c>
      <c r="AM45" s="4">
        <f>IF(AH45&lt;=0,0,-AG45/AH45)</f>
        <v>0.09374768934816213</v>
      </c>
    </row>
    <row r="46">
      <c r="B46" s="9">
        <f>B45+1</f>
        <v>2044</v>
      </c>
      <c r="C46" s="9">
        <f>C45+1</f>
        <v>64</v>
      </c>
      <c r="D46" s="9">
        <f>D45+1</f>
        <v>19</v>
      </c>
      <c r="E46" t="str">
        <f>IF(D46&lt;=$G$7,"Acumulación","Retiro")</f>
        <v>Retiro</v>
      </c>
      <c r="F46" s="10">
        <f>IF(D46&lt;=$G$8,$G$1*12*(1+$D$3)^(D46-1),0)</f>
        <v>0</v>
      </c>
      <c r="G46" s="10">
        <f>IF(AND($G$2&gt;0,D46&gt;=$G$3),$G$2*12*(1+$D$3)^(D46-1),0)</f>
        <v>26547</v>
      </c>
      <c r="H46" s="10">
        <f>SUMPRODUCT(($M$11:$V$11&gt;=B46)*$M$10:$V$10)*12*(1+$D$3)^(D46-1)</f>
        <v>0</v>
      </c>
      <c r="I46" s="10">
        <f>IF(AND($G$4&gt;0,D46&gt;=$G$6),$G$4*12*(1+$D$3)^($G$6-1)*(1+$D$4)^(D46-$G$6),0)</f>
        <v>0</v>
      </c>
      <c r="J46" s="10">
        <f>'Fondos de pensión'!T37</f>
        <v>0</v>
      </c>
      <c r="K46" s="10">
        <f>SUM(F46:J46)</f>
        <v>26547</v>
      </c>
      <c r="L46" s="10">
        <f>SUMIF($M$2:$V$2,B46,$M$3:$V$3)*(1+$D$3)^(D46-1)</f>
        <v>0</v>
      </c>
      <c r="M46" s="10">
        <f>'Fondos de pensión'!S37</f>
        <v>0</v>
      </c>
      <c r="N46" s="10">
        <f>SUM(L46:M46)</f>
        <v>0</v>
      </c>
      <c r="O46" s="10">
        <f>K46+N46</f>
        <v>26547</v>
      </c>
      <c r="P46" s="10">
        <f>$J$1*12*(1+$D$3)^(D46-1)*IF(D46&gt;$G$7,$J$2,1)</f>
        <v>131409</v>
      </c>
      <c r="Q46" s="10">
        <f>SUMPRODUCT(($M$7:$V$7&lt;=B46)*($M$7:$V$7+$M$8:$V$8&gt;B46)*$M$9:$V$9)*(1+$D$3)^(D46-1)</f>
        <v>0</v>
      </c>
      <c r="R46" s="10">
        <f>$J$3*(1+$D$3)^(D46-1)</f>
        <v>5973</v>
      </c>
      <c r="S46" s="10">
        <f>IF(D46&lt;=$J$5,$J$4*12,0)+IF(D46&lt;=$J$7,$J$6*12,0)+SUMPRODUCT(($M$22:$V$22&gt;=B46)*$M$21:$V$21)*12</f>
        <v>0</v>
      </c>
      <c r="T46" s="10">
        <f>SUM(P46:S46)</f>
        <v>137382</v>
      </c>
      <c r="U46" s="10">
        <f>($J$8+SUMPRODUCT(($M$19:$V$19=1)*($M$17:$V$17=B46)*$M$18:$V$18)+SUMPRODUCT(($M$19:$V$19=2)*($M$17:$V$17&lt;=B46)*$M$18:$V$18))*(1+$D$3)^(D46-1)</f>
        <v>11946</v>
      </c>
      <c r="V46" s="10">
        <f>T46+U46</f>
        <v>149328</v>
      </c>
      <c r="W46" s="10">
        <f>O46-V46</f>
        <v>-122781</v>
      </c>
      <c r="X46" s="10">
        <f>MAX(0,W46)</f>
        <v>0</v>
      </c>
      <c r="Y46" s="10">
        <f>X46</f>
        <v>0</v>
      </c>
      <c r="Z46" s="10">
        <f>SUMPRODUCT(($M$4:$V$4=B46)*($M$6:$V$6=1)*$M$5:$V$5)*(1+$D$3)^(D46-1)</f>
        <v>0</v>
      </c>
      <c r="AA46" s="10">
        <f>SUMPRODUCT(($M$4:$V$4=B46)*($M$6:$V$6=2)*$M$5:$V$5)*(1+$D$3)^(D46-1)</f>
        <v>0</v>
      </c>
      <c r="AB46" s="10">
        <f>SUMPRODUCT(($M$4:$V$4=B46)*($M$6:$V$6=3)*$M$5:$V$5)*(1+$D$3)^(D46-1)</f>
        <v>0</v>
      </c>
      <c r="AC46" s="10">
        <f>SUM(Z46:AB46)</f>
        <v>0</v>
      </c>
      <c r="AD46" s="10">
        <f>MIN(0,W46)</f>
        <v>-122781</v>
      </c>
      <c r="AE46" s="10">
        <f>-SUMIF($M$12:$V$12,B46,$M$13:$V$13)*(1+$D$3)^(D46-1)</f>
        <v>0</v>
      </c>
      <c r="AF46" s="10">
        <f>IF(B46=$M$14,-$M$15*(1+$D$3)^(D46-1),0)</f>
        <v>0</v>
      </c>
      <c r="AG46" s="10">
        <f>SUM(AD46:AF46)</f>
        <v>-122781</v>
      </c>
      <c r="AH46" s="10">
        <f>AK45</f>
        <v>1217993</v>
      </c>
      <c r="AI46" s="10">
        <f>AH46*$D$7</f>
        <v>73080</v>
      </c>
      <c r="AJ46" s="10">
        <f>MAX(0,-(AH46+AI46+Y46+AC46+AG46))</f>
        <v>0</v>
      </c>
      <c r="AK46" s="10">
        <f>AH46+AI46+Y46+AC46+AG46+AJ46</f>
        <v>1168292</v>
      </c>
      <c r="AL46" s="10">
        <f>AK46/(1+$D$3)^D46</f>
        <v>564750</v>
      </c>
      <c r="AM46" s="4">
        <f>IF(AH46&lt;=0,0,-AG46/AH46)</f>
        <v>0.10080581247669297</v>
      </c>
    </row>
    <row r="47">
      <c r="B47" s="9">
        <f>B46+1</f>
        <v>2045</v>
      </c>
      <c r="C47" s="9">
        <f>C46+1</f>
        <v>65</v>
      </c>
      <c r="D47" s="9">
        <f>D46+1</f>
        <v>20</v>
      </c>
      <c r="E47" t="str">
        <f>IF(D47&lt;=$G$7,"Acumulación","Retiro")</f>
        <v>Retiro</v>
      </c>
      <c r="F47" s="10">
        <f>IF(D47&lt;=$G$8,$G$1*12*(1+$D$3)^(D47-1),0)</f>
        <v>0</v>
      </c>
      <c r="G47" s="10">
        <f>IF(AND($G$2&gt;0,D47&gt;=$G$3),$G$2*12*(1+$D$3)^(D47-1),0)</f>
        <v>27583</v>
      </c>
      <c r="H47" s="10">
        <f>SUMPRODUCT(($M$11:$V$11&gt;=B47)*$M$10:$V$10)*12*(1+$D$3)^(D47-1)</f>
        <v>0</v>
      </c>
      <c r="I47" s="10">
        <f>IF(AND($G$4&gt;0,D47&gt;=$G$6),$G$4*12*(1+$D$3)^($G$6-1)*(1+$D$4)^(D47-$G$6),0)</f>
        <v>44132</v>
      </c>
      <c r="J47" s="10">
        <f>'Fondos de pensión'!T38</f>
        <v>12885</v>
      </c>
      <c r="K47" s="10">
        <f>SUM(F47:J47)</f>
        <v>84600</v>
      </c>
      <c r="L47" s="10">
        <f>SUMIF($M$2:$V$2,B47,$M$3:$V$3)*(1+$D$3)^(D47-1)</f>
        <v>0</v>
      </c>
      <c r="M47" s="10">
        <f>'Fondos de pensión'!S38</f>
        <v>0</v>
      </c>
      <c r="N47" s="10">
        <f>SUM(L47:M47)</f>
        <v>0</v>
      </c>
      <c r="O47" s="10">
        <f>K47+N47</f>
        <v>84600</v>
      </c>
      <c r="P47" s="10">
        <f>$J$1*12*(1+$D$3)^(D47-1)*IF(D47&gt;$G$7,$J$2,1)</f>
        <v>136534</v>
      </c>
      <c r="Q47" s="10">
        <f>SUMPRODUCT(($M$7:$V$7&lt;=B47)*($M$7:$V$7+$M$8:$V$8&gt;B47)*$M$9:$V$9)*(1+$D$3)^(D47-1)</f>
        <v>0</v>
      </c>
      <c r="R47" s="10">
        <f>$J$3*(1+$D$3)^(D47-1)</f>
        <v>6206</v>
      </c>
      <c r="S47" s="10">
        <f>IF(D47&lt;=$J$5,$J$4*12,0)+IF(D47&lt;=$J$7,$J$6*12,0)+SUMPRODUCT(($M$22:$V$22&gt;=B47)*$M$21:$V$21)*12</f>
        <v>0</v>
      </c>
      <c r="T47" s="10">
        <f>SUM(P47:S47)</f>
        <v>142740</v>
      </c>
      <c r="U47" s="10">
        <f>($J$8+SUMPRODUCT(($M$19:$V$19=1)*($M$17:$V$17=B47)*$M$18:$V$18)+SUMPRODUCT(($M$19:$V$19=2)*($M$17:$V$17&lt;=B47)*$M$18:$V$18))*(1+$D$3)^(D47-1)</f>
        <v>12412</v>
      </c>
      <c r="V47" s="10">
        <f>T47+U47</f>
        <v>155152</v>
      </c>
      <c r="W47" s="10">
        <f>O47-V47</f>
        <v>-70552</v>
      </c>
      <c r="X47" s="10">
        <f>MAX(0,W47)</f>
        <v>0</v>
      </c>
      <c r="Y47" s="10">
        <f>X47</f>
        <v>0</v>
      </c>
      <c r="Z47" s="10">
        <f>SUMPRODUCT(($M$4:$V$4=B47)*($M$6:$V$6=1)*$M$5:$V$5)*(1+$D$3)^(D47-1)</f>
        <v>0</v>
      </c>
      <c r="AA47" s="10">
        <f>SUMPRODUCT(($M$4:$V$4=B47)*($M$6:$V$6=2)*$M$5:$V$5)*(1+$D$3)^(D47-1)</f>
        <v>0</v>
      </c>
      <c r="AB47" s="10">
        <f>SUMPRODUCT(($M$4:$V$4=B47)*($M$6:$V$6=3)*$M$5:$V$5)*(1+$D$3)^(D47-1)</f>
        <v>0</v>
      </c>
      <c r="AC47" s="10">
        <f>SUM(Z47:AB47)</f>
        <v>0</v>
      </c>
      <c r="AD47" s="10">
        <f>MIN(0,W47)</f>
        <v>-70552</v>
      </c>
      <c r="AE47" s="10">
        <f>-SUMIF($M$12:$V$12,B47,$M$13:$V$13)*(1+$D$3)^(D47-1)</f>
        <v>0</v>
      </c>
      <c r="AF47" s="10">
        <f>IF(B47=$M$14,-$M$15*(1+$D$3)^(D47-1),0)</f>
        <v>0</v>
      </c>
      <c r="AG47" s="10">
        <f>SUM(AD47:AF47)</f>
        <v>-70552</v>
      </c>
      <c r="AH47" s="10">
        <f>AK46</f>
        <v>1168292</v>
      </c>
      <c r="AI47" s="10">
        <f>AH47*$D$7</f>
        <v>70098</v>
      </c>
      <c r="AJ47" s="10">
        <f>MAX(0,-(AH47+AI47+Y47+AC47+AG47))</f>
        <v>0</v>
      </c>
      <c r="AK47" s="10">
        <f>AH47+AI47+Y47+AC47+AG47+AJ47</f>
        <v>1167838</v>
      </c>
      <c r="AL47" s="10">
        <f>AK47/(1+$D$3)^D47</f>
        <v>543340</v>
      </c>
      <c r="AM47" s="4">
        <f>IF(AH47&lt;=0,0,-AG47/AH47)</f>
        <v>0.06038874592539385</v>
      </c>
    </row>
    <row r="48">
      <c r="B48" s="9">
        <f>B47+1</f>
        <v>2046</v>
      </c>
      <c r="C48" s="9">
        <f>C47+1</f>
        <v>66</v>
      </c>
      <c r="D48" s="9">
        <f>D47+1</f>
        <v>21</v>
      </c>
      <c r="E48" t="str">
        <f>IF(D48&lt;=$G$7,"Acumulación","Retiro")</f>
        <v>Retiro</v>
      </c>
      <c r="F48" s="10">
        <f>IF(D48&lt;=$G$8,$G$1*12*(1+$D$3)^(D48-1),0)</f>
        <v>0</v>
      </c>
      <c r="G48" s="10">
        <f>IF(AND($G$2&gt;0,D48&gt;=$G$3),$G$2*12*(1+$D$3)^(D48-1),0)</f>
        <v>28658</v>
      </c>
      <c r="H48" s="10">
        <f>SUMPRODUCT(($M$11:$V$11&gt;=B48)*$M$10:$V$10)*12*(1+$D$3)^(D48-1)</f>
        <v>0</v>
      </c>
      <c r="I48" s="10">
        <f>IF(AND($G$4&gt;0,D48&gt;=$G$6),$G$4*12*(1+$D$3)^($G$6-1)*(1+$D$4)^(D48-$G$6),0)</f>
        <v>44573</v>
      </c>
      <c r="J48" s="10">
        <f>'Fondos de pensión'!T39</f>
        <v>12885</v>
      </c>
      <c r="K48" s="10">
        <f>SUM(F48:J48)</f>
        <v>86117</v>
      </c>
      <c r="L48" s="10">
        <f>SUMIF($M$2:$V$2,B48,$M$3:$V$3)*(1+$D$3)^(D48-1)</f>
        <v>0</v>
      </c>
      <c r="M48" s="10">
        <f>'Fondos de pensión'!S39</f>
        <v>0</v>
      </c>
      <c r="N48" s="10">
        <f>SUM(L48:M48)</f>
        <v>0</v>
      </c>
      <c r="O48" s="10">
        <f>K48+N48</f>
        <v>86117</v>
      </c>
      <c r="P48" s="10">
        <f>$J$1*12*(1+$D$3)^(D48-1)*IF(D48&gt;$G$7,$J$2,1)</f>
        <v>141858</v>
      </c>
      <c r="Q48" s="10">
        <f>SUMPRODUCT(($M$7:$V$7&lt;=B48)*($M$7:$V$7+$M$8:$V$8&gt;B48)*$M$9:$V$9)*(1+$D$3)^(D48-1)</f>
        <v>0</v>
      </c>
      <c r="R48" s="10">
        <f>$J$3*(1+$D$3)^(D48-1)</f>
        <v>6448</v>
      </c>
      <c r="S48" s="10">
        <f>IF(D48&lt;=$J$5,$J$4*12,0)+IF(D48&lt;=$J$7,$J$6*12,0)+SUMPRODUCT(($M$22:$V$22&gt;=B48)*$M$21:$V$21)*12</f>
        <v>0</v>
      </c>
      <c r="T48" s="10">
        <f>SUM(P48:S48)</f>
        <v>148306</v>
      </c>
      <c r="U48" s="10">
        <f>($J$8+SUMPRODUCT(($M$19:$V$19=1)*($M$17:$V$17=B48)*$M$18:$V$18)+SUMPRODUCT(($M$19:$V$19=2)*($M$17:$V$17&lt;=B48)*$M$18:$V$18))*(1+$D$3)^(D48-1)</f>
        <v>12896</v>
      </c>
      <c r="V48" s="10">
        <f>T48+U48</f>
        <v>161203</v>
      </c>
      <c r="W48" s="10">
        <f>O48-V48</f>
        <v>-75086</v>
      </c>
      <c r="X48" s="10">
        <f>MAX(0,W48)</f>
        <v>0</v>
      </c>
      <c r="Y48" s="10">
        <f>X48</f>
        <v>0</v>
      </c>
      <c r="Z48" s="10">
        <f>SUMPRODUCT(($M$4:$V$4=B48)*($M$6:$V$6=1)*$M$5:$V$5)*(1+$D$3)^(D48-1)</f>
        <v>0</v>
      </c>
      <c r="AA48" s="10">
        <f>SUMPRODUCT(($M$4:$V$4=B48)*($M$6:$V$6=2)*$M$5:$V$5)*(1+$D$3)^(D48-1)</f>
        <v>0</v>
      </c>
      <c r="AB48" s="10">
        <f>SUMPRODUCT(($M$4:$V$4=B48)*($M$6:$V$6=3)*$M$5:$V$5)*(1+$D$3)^(D48-1)</f>
        <v>0</v>
      </c>
      <c r="AC48" s="10">
        <f>SUM(Z48:AB48)</f>
        <v>0</v>
      </c>
      <c r="AD48" s="10">
        <f>MIN(0,W48)</f>
        <v>-75086</v>
      </c>
      <c r="AE48" s="10">
        <f>-SUMIF($M$12:$V$12,B48,$M$13:$V$13)*(1+$D$3)^(D48-1)</f>
        <v>0</v>
      </c>
      <c r="AF48" s="10">
        <f>IF(B48=$M$14,-$M$15*(1+$D$3)^(D48-1),0)</f>
        <v>0</v>
      </c>
      <c r="AG48" s="10">
        <f>SUM(AD48:AF48)</f>
        <v>-75086</v>
      </c>
      <c r="AH48" s="10">
        <f>AK47</f>
        <v>1167838</v>
      </c>
      <c r="AI48" s="10">
        <f>AH48*$D$7</f>
        <v>70070</v>
      </c>
      <c r="AJ48" s="10">
        <f>MAX(0,-(AH48+AI48+Y48+AC48+AG48))</f>
        <v>0</v>
      </c>
      <c r="AK48" s="10">
        <f>AH48+AI48+Y48+AC48+AG48+AJ48</f>
        <v>1162822</v>
      </c>
      <c r="AL48" s="10">
        <f>AK48/(1+$D$3)^D48</f>
        <v>520699</v>
      </c>
      <c r="AM48" s="4">
        <f>IF(AH48&lt;=0,0,-AG48/AH48)</f>
        <v>0.06429451648229463</v>
      </c>
    </row>
    <row r="49">
      <c r="B49" s="9">
        <f>B48+1</f>
        <v>2047</v>
      </c>
      <c r="C49" s="9">
        <f>C48+1</f>
        <v>67</v>
      </c>
      <c r="D49" s="9">
        <f>D48+1</f>
        <v>22</v>
      </c>
      <c r="E49" t="str">
        <f>IF(D49&lt;=$G$7,"Acumulación","Retiro")</f>
        <v>Retiro</v>
      </c>
      <c r="F49" s="10">
        <f>IF(D49&lt;=$G$8,$G$1*12*(1+$D$3)^(D49-1),0)</f>
        <v>0</v>
      </c>
      <c r="G49" s="10">
        <f>IF(AND($G$2&gt;0,D49&gt;=$G$3),$G$2*12*(1+$D$3)^(D49-1),0)</f>
        <v>29776</v>
      </c>
      <c r="H49" s="10">
        <f>SUMPRODUCT(($M$11:$V$11&gt;=B49)*$M$10:$V$10)*12*(1+$D$3)^(D49-1)</f>
        <v>0</v>
      </c>
      <c r="I49" s="10">
        <f>IF(AND($G$4&gt;0,D49&gt;=$G$6),$G$4*12*(1+$D$3)^($G$6-1)*(1+$D$4)^(D49-$G$6),0)</f>
        <v>45019</v>
      </c>
      <c r="J49" s="10">
        <f>'Fondos de pensión'!T40</f>
        <v>12885</v>
      </c>
      <c r="K49" s="10">
        <f>SUM(F49:J49)</f>
        <v>87681</v>
      </c>
      <c r="L49" s="10">
        <f>SUMIF($M$2:$V$2,B49,$M$3:$V$3)*(1+$D$3)^(D49-1)</f>
        <v>0</v>
      </c>
      <c r="M49" s="10">
        <f>'Fondos de pensión'!S40</f>
        <v>0</v>
      </c>
      <c r="N49" s="10">
        <f>SUM(L49:M49)</f>
        <v>0</v>
      </c>
      <c r="O49" s="10">
        <f>K49+N49</f>
        <v>87681</v>
      </c>
      <c r="P49" s="10">
        <f>$J$1*12*(1+$D$3)^(D49-1)*IF(D49&gt;$G$7,$J$2,1)</f>
        <v>147391</v>
      </c>
      <c r="Q49" s="10">
        <f>SUMPRODUCT(($M$7:$V$7&lt;=B49)*($M$7:$V$7+$M$8:$V$8&gt;B49)*$M$9:$V$9)*(1+$D$3)^(D49-1)</f>
        <v>0</v>
      </c>
      <c r="R49" s="10">
        <f>$J$3*(1+$D$3)^(D49-1)</f>
        <v>6700</v>
      </c>
      <c r="S49" s="10">
        <f>IF(D49&lt;=$J$5,$J$4*12,0)+IF(D49&lt;=$J$7,$J$6*12,0)+SUMPRODUCT(($M$22:$V$22&gt;=B49)*$M$21:$V$21)*12</f>
        <v>0</v>
      </c>
      <c r="T49" s="10">
        <f>SUM(P49:S49)</f>
        <v>154090</v>
      </c>
      <c r="U49" s="10">
        <f>($J$8+SUMPRODUCT(($M$19:$V$19=1)*($M$17:$V$17=B49)*$M$18:$V$18)+SUMPRODUCT(($M$19:$V$19=2)*($M$17:$V$17&lt;=B49)*$M$18:$V$18))*(1+$D$3)^(D49-1)</f>
        <v>13399</v>
      </c>
      <c r="V49" s="10">
        <f>T49+U49</f>
        <v>167490</v>
      </c>
      <c r="W49" s="10">
        <f>O49-V49</f>
        <v>-79809</v>
      </c>
      <c r="X49" s="10">
        <f>MAX(0,W49)</f>
        <v>0</v>
      </c>
      <c r="Y49" s="10">
        <f>X49</f>
        <v>0</v>
      </c>
      <c r="Z49" s="10">
        <f>SUMPRODUCT(($M$4:$V$4=B49)*($M$6:$V$6=1)*$M$5:$V$5)*(1+$D$3)^(D49-1)</f>
        <v>0</v>
      </c>
      <c r="AA49" s="10">
        <f>SUMPRODUCT(($M$4:$V$4=B49)*($M$6:$V$6=2)*$M$5:$V$5)*(1+$D$3)^(D49-1)</f>
        <v>0</v>
      </c>
      <c r="AB49" s="10">
        <f>SUMPRODUCT(($M$4:$V$4=B49)*($M$6:$V$6=3)*$M$5:$V$5)*(1+$D$3)^(D49-1)</f>
        <v>0</v>
      </c>
      <c r="AC49" s="10">
        <f>SUM(Z49:AB49)</f>
        <v>0</v>
      </c>
      <c r="AD49" s="10">
        <f>MIN(0,W49)</f>
        <v>-79809</v>
      </c>
      <c r="AE49" s="10">
        <f>-SUMIF($M$12:$V$12,B49,$M$13:$V$13)*(1+$D$3)^(D49-1)</f>
        <v>0</v>
      </c>
      <c r="AF49" s="10">
        <f>IF(B49=$M$14,-$M$15*(1+$D$3)^(D49-1),0)</f>
        <v>0</v>
      </c>
      <c r="AG49" s="10">
        <f>SUM(AD49:AF49)</f>
        <v>-79809</v>
      </c>
      <c r="AH49" s="10">
        <f>AK48</f>
        <v>1162822</v>
      </c>
      <c r="AI49" s="10">
        <f>AH49*$D$7</f>
        <v>69769</v>
      </c>
      <c r="AJ49" s="10">
        <f>MAX(0,-(AH49+AI49+Y49+AC49+AG49))</f>
        <v>0</v>
      </c>
      <c r="AK49" s="10">
        <f>AH49+AI49+Y49+AC49+AG49+AJ49</f>
        <v>1152783</v>
      </c>
      <c r="AL49" s="10">
        <f>AK49/(1+$D$3)^D49</f>
        <v>496827</v>
      </c>
      <c r="AM49" s="4">
        <f>IF(AH49&lt;=0,0,-AG49/AH49)</f>
        <v>0.06863391963486248</v>
      </c>
    </row>
    <row r="50">
      <c r="B50" s="9">
        <f>B49+1</f>
        <v>2048</v>
      </c>
      <c r="C50" s="9">
        <f>C49+1</f>
        <v>68</v>
      </c>
      <c r="D50" s="9">
        <f>D49+1</f>
        <v>23</v>
      </c>
      <c r="E50" t="str">
        <f>IF(D50&lt;=$G$7,"Acumulación","Retiro")</f>
        <v>Retiro</v>
      </c>
      <c r="F50" s="10">
        <f>IF(D50&lt;=$G$8,$G$1*12*(1+$D$3)^(D50-1),0)</f>
        <v>0</v>
      </c>
      <c r="G50" s="10">
        <f>IF(AND($G$2&gt;0,D50&gt;=$G$3),$G$2*12*(1+$D$3)^(D50-1),0)</f>
        <v>30937</v>
      </c>
      <c r="H50" s="10">
        <f>SUMPRODUCT(($M$11:$V$11&gt;=B50)*$M$10:$V$10)*12*(1+$D$3)^(D50-1)</f>
        <v>0</v>
      </c>
      <c r="I50" s="10">
        <f>IF(AND($G$4&gt;0,D50&gt;=$G$6),$G$4*12*(1+$D$3)^($G$6-1)*(1+$D$4)^(D50-$G$6),0)</f>
        <v>45469</v>
      </c>
      <c r="J50" s="10">
        <f>'Fondos de pensión'!T41</f>
        <v>12885</v>
      </c>
      <c r="K50" s="10">
        <f>SUM(F50:J50)</f>
        <v>89292</v>
      </c>
      <c r="L50" s="10">
        <f>SUMIF($M$2:$V$2,B50,$M$3:$V$3)*(1+$D$3)^(D50-1)</f>
        <v>0</v>
      </c>
      <c r="M50" s="10">
        <f>'Fondos de pensión'!S41</f>
        <v>0</v>
      </c>
      <c r="N50" s="10">
        <f>SUM(L50:M50)</f>
        <v>0</v>
      </c>
      <c r="O50" s="10">
        <f>K50+N50</f>
        <v>89292</v>
      </c>
      <c r="P50" s="10">
        <f>$J$1*12*(1+$D$3)^(D50-1)*IF(D50&gt;$G$7,$J$2,1)</f>
        <v>153139</v>
      </c>
      <c r="Q50" s="10">
        <f>SUMPRODUCT(($M$7:$V$7&lt;=B50)*($M$7:$V$7+$M$8:$V$8&gt;B50)*$M$9:$V$9)*(1+$D$3)^(D50-1)</f>
        <v>0</v>
      </c>
      <c r="R50" s="10">
        <f>$J$3*(1+$D$3)^(D50-1)</f>
        <v>6961</v>
      </c>
      <c r="S50" s="10">
        <f>IF(D50&lt;=$J$5,$J$4*12,0)+IF(D50&lt;=$J$7,$J$6*12,0)+SUMPRODUCT(($M$22:$V$22&gt;=B50)*$M$21:$V$21)*12</f>
        <v>0</v>
      </c>
      <c r="T50" s="10">
        <f>SUM(P50:S50)</f>
        <v>160100</v>
      </c>
      <c r="U50" s="10">
        <f>($J$8+SUMPRODUCT(($M$19:$V$19=1)*($M$17:$V$17=B50)*$M$18:$V$18)+SUMPRODUCT(($M$19:$V$19=2)*($M$17:$V$17&lt;=B50)*$M$18:$V$18))*(1+$D$3)^(D50-1)</f>
        <v>13922</v>
      </c>
      <c r="V50" s="10">
        <f>T50+U50</f>
        <v>174022</v>
      </c>
      <c r="W50" s="10">
        <f>O50-V50</f>
        <v>-84730</v>
      </c>
      <c r="X50" s="10">
        <f>MAX(0,W50)</f>
        <v>0</v>
      </c>
      <c r="Y50" s="10">
        <f>X50</f>
        <v>0</v>
      </c>
      <c r="Z50" s="10">
        <f>SUMPRODUCT(($M$4:$V$4=B50)*($M$6:$V$6=1)*$M$5:$V$5)*(1+$D$3)^(D50-1)</f>
        <v>0</v>
      </c>
      <c r="AA50" s="10">
        <f>SUMPRODUCT(($M$4:$V$4=B50)*($M$6:$V$6=2)*$M$5:$V$5)*(1+$D$3)^(D50-1)</f>
        <v>0</v>
      </c>
      <c r="AB50" s="10">
        <f>SUMPRODUCT(($M$4:$V$4=B50)*($M$6:$V$6=3)*$M$5:$V$5)*(1+$D$3)^(D50-1)</f>
        <v>0</v>
      </c>
      <c r="AC50" s="10">
        <f>SUM(Z50:AB50)</f>
        <v>0</v>
      </c>
      <c r="AD50" s="10">
        <f>MIN(0,W50)</f>
        <v>-84730</v>
      </c>
      <c r="AE50" s="10">
        <f>-SUMIF($M$12:$V$12,B50,$M$13:$V$13)*(1+$D$3)^(D50-1)</f>
        <v>0</v>
      </c>
      <c r="AF50" s="10">
        <f>IF(B50=$M$14,-$M$15*(1+$D$3)^(D50-1),0)</f>
        <v>0</v>
      </c>
      <c r="AG50" s="10">
        <f>SUM(AD50:AF50)</f>
        <v>-84730</v>
      </c>
      <c r="AH50" s="10">
        <f>AK49</f>
        <v>1152783</v>
      </c>
      <c r="AI50" s="10">
        <f>AH50*$D$7</f>
        <v>69167</v>
      </c>
      <c r="AJ50" s="10">
        <f>MAX(0,-(AH50+AI50+Y50+AC50+AG50))</f>
        <v>0</v>
      </c>
      <c r="AK50" s="10">
        <f>AH50+AI50+Y50+AC50+AG50+AJ50</f>
        <v>1137220</v>
      </c>
      <c r="AL50" s="10">
        <f>AK50/(1+$D$3)^D50</f>
        <v>471723</v>
      </c>
      <c r="AM50" s="4">
        <f>IF(AH50&lt;=0,0,-AG50/AH50)</f>
        <v>0.07350015056526077</v>
      </c>
    </row>
    <row r="51">
      <c r="B51" s="9">
        <f>B50+1</f>
        <v>2049</v>
      </c>
      <c r="C51" s="9">
        <f>C50+1</f>
        <v>69</v>
      </c>
      <c r="D51" s="9">
        <f>D50+1</f>
        <v>24</v>
      </c>
      <c r="E51" t="str">
        <f>IF(D51&lt;=$G$7,"Acumulación","Retiro")</f>
        <v>Retiro</v>
      </c>
      <c r="F51" s="10">
        <f>IF(D51&lt;=$G$8,$G$1*12*(1+$D$3)^(D51-1),0)</f>
        <v>0</v>
      </c>
      <c r="G51" s="10">
        <f>IF(AND($G$2&gt;0,D51&gt;=$G$3),$G$2*12*(1+$D$3)^(D51-1),0)</f>
        <v>32144</v>
      </c>
      <c r="H51" s="10">
        <f>SUMPRODUCT(($M$11:$V$11&gt;=B51)*$M$10:$V$10)*12*(1+$D$3)^(D51-1)</f>
        <v>0</v>
      </c>
      <c r="I51" s="10">
        <f>IF(AND($G$4&gt;0,D51&gt;=$G$6),$G$4*12*(1+$D$3)^($G$6-1)*(1+$D$4)^(D51-$G$6),0)</f>
        <v>45924</v>
      </c>
      <c r="J51" s="10">
        <f>'Fondos de pensión'!T42</f>
        <v>12885</v>
      </c>
      <c r="K51" s="10">
        <f>SUM(F51:J51)</f>
        <v>90953</v>
      </c>
      <c r="L51" s="10">
        <f>SUMIF($M$2:$V$2,B51,$M$3:$V$3)*(1+$D$3)^(D51-1)</f>
        <v>0</v>
      </c>
      <c r="M51" s="10">
        <f>'Fondos de pensión'!S42</f>
        <v>0</v>
      </c>
      <c r="N51" s="10">
        <f>SUM(L51:M51)</f>
        <v>0</v>
      </c>
      <c r="O51" s="10">
        <f>K51+N51</f>
        <v>90953</v>
      </c>
      <c r="P51" s="10">
        <f>$J$1*12*(1+$D$3)^(D51-1)*IF(D51&gt;$G$7,$J$2,1)</f>
        <v>159111</v>
      </c>
      <c r="Q51" s="10">
        <f>SUMPRODUCT(($M$7:$V$7&lt;=B51)*($M$7:$V$7+$M$8:$V$8&gt;B51)*$M$9:$V$9)*(1+$D$3)^(D51-1)</f>
        <v>0</v>
      </c>
      <c r="R51" s="10">
        <f>$J$3*(1+$D$3)^(D51-1)</f>
        <v>7232</v>
      </c>
      <c r="S51" s="10">
        <f>IF(D51&lt;=$J$5,$J$4*12,0)+IF(D51&lt;=$J$7,$J$6*12,0)+SUMPRODUCT(($M$22:$V$22&gt;=B51)*$M$21:$V$21)*12</f>
        <v>0</v>
      </c>
      <c r="T51" s="10">
        <f>SUM(P51:S51)</f>
        <v>166344</v>
      </c>
      <c r="U51" s="10">
        <f>($J$8+SUMPRODUCT(($M$19:$V$19=1)*($M$17:$V$17=B51)*$M$18:$V$18)+SUMPRODUCT(($M$19:$V$19=2)*($M$17:$V$17&lt;=B51)*$M$18:$V$18))*(1+$D$3)^(D51-1)</f>
        <v>14465</v>
      </c>
      <c r="V51" s="10">
        <f>T51+U51</f>
        <v>180809</v>
      </c>
      <c r="W51" s="10">
        <f>O51-V51</f>
        <v>-89855</v>
      </c>
      <c r="X51" s="10">
        <f>MAX(0,W51)</f>
        <v>0</v>
      </c>
      <c r="Y51" s="10">
        <f>X51</f>
        <v>0</v>
      </c>
      <c r="Z51" s="10">
        <f>SUMPRODUCT(($M$4:$V$4=B51)*($M$6:$V$6=1)*$M$5:$V$5)*(1+$D$3)^(D51-1)</f>
        <v>0</v>
      </c>
      <c r="AA51" s="10">
        <f>SUMPRODUCT(($M$4:$V$4=B51)*($M$6:$V$6=2)*$M$5:$V$5)*(1+$D$3)^(D51-1)</f>
        <v>0</v>
      </c>
      <c r="AB51" s="10">
        <f>SUMPRODUCT(($M$4:$V$4=B51)*($M$6:$V$6=3)*$M$5:$V$5)*(1+$D$3)^(D51-1)</f>
        <v>0</v>
      </c>
      <c r="AC51" s="10">
        <f>SUM(Z51:AB51)</f>
        <v>0</v>
      </c>
      <c r="AD51" s="10">
        <f>MIN(0,W51)</f>
        <v>-89855</v>
      </c>
      <c r="AE51" s="10">
        <f>-SUMIF($M$12:$V$12,B51,$M$13:$V$13)*(1+$D$3)^(D51-1)</f>
        <v>0</v>
      </c>
      <c r="AF51" s="10">
        <f>IF(B51=$M$14,-$M$15*(1+$D$3)^(D51-1),0)</f>
        <v>0</v>
      </c>
      <c r="AG51" s="10">
        <f>SUM(AD51:AF51)</f>
        <v>-89855</v>
      </c>
      <c r="AH51" s="10">
        <f>AK50</f>
        <v>1137220</v>
      </c>
      <c r="AI51" s="10">
        <f>AH51*$D$7</f>
        <v>68233</v>
      </c>
      <c r="AJ51" s="10">
        <f>MAX(0,-(AH51+AI51+Y51+AC51+AG51))</f>
        <v>0</v>
      </c>
      <c r="AK51" s="10">
        <f>AH51+AI51+Y51+AC51+AG51+AJ51</f>
        <v>1115598</v>
      </c>
      <c r="AL51" s="10">
        <f>AK51/(1+$D$3)^D51</f>
        <v>445384</v>
      </c>
      <c r="AM51" s="4">
        <f>IF(AH51&lt;=0,0,-AG51/AH51)</f>
        <v>0.07901312637280437</v>
      </c>
    </row>
    <row r="52">
      <c r="B52" s="9">
        <f>B51+1</f>
        <v>2050</v>
      </c>
      <c r="C52" s="9">
        <f>C51+1</f>
        <v>70</v>
      </c>
      <c r="D52" s="9">
        <f>D51+1</f>
        <v>25</v>
      </c>
      <c r="E52" t="str">
        <f>IF(D52&lt;=$G$7,"Acumulación","Retiro")</f>
        <v>Retiro</v>
      </c>
      <c r="F52" s="10">
        <f>IF(D52&lt;=$G$8,$G$1*12*(1+$D$3)^(D52-1),0)</f>
        <v>0</v>
      </c>
      <c r="G52" s="10">
        <f>IF(AND($G$2&gt;0,D52&gt;=$G$3),$G$2*12*(1+$D$3)^(D52-1),0)</f>
        <v>33397</v>
      </c>
      <c r="H52" s="10">
        <f>SUMPRODUCT(($M$11:$V$11&gt;=B52)*$M$10:$V$10)*12*(1+$D$3)^(D52-1)</f>
        <v>0</v>
      </c>
      <c r="I52" s="10">
        <f>IF(AND($G$4&gt;0,D52&gt;=$G$6),$G$4*12*(1+$D$3)^($G$6-1)*(1+$D$4)^(D52-$G$6),0)</f>
        <v>46383</v>
      </c>
      <c r="J52" s="10">
        <f>'Fondos de pensión'!T43</f>
        <v>12885</v>
      </c>
      <c r="K52" s="10">
        <f>SUM(F52:J52)</f>
        <v>92666</v>
      </c>
      <c r="L52" s="10">
        <f>SUMIF($M$2:$V$2,B52,$M$3:$V$3)*(1+$D$3)^(D52-1)</f>
        <v>0</v>
      </c>
      <c r="M52" s="10">
        <f>'Fondos de pensión'!S43</f>
        <v>0</v>
      </c>
      <c r="N52" s="10">
        <f>SUM(L52:M52)</f>
        <v>0</v>
      </c>
      <c r="O52" s="10">
        <f>K52+N52</f>
        <v>92666</v>
      </c>
      <c r="P52" s="10">
        <f>$J$1*12*(1+$D$3)^(D52-1)*IF(D52&gt;$G$7,$J$2,1)</f>
        <v>165317</v>
      </c>
      <c r="Q52" s="10">
        <f>SUMPRODUCT(($M$7:$V$7&lt;=B52)*($M$7:$V$7+$M$8:$V$8&gt;B52)*$M$9:$V$9)*(1+$D$3)^(D52-1)</f>
        <v>0</v>
      </c>
      <c r="R52" s="10">
        <f>$J$3*(1+$D$3)^(D52-1)</f>
        <v>7514</v>
      </c>
      <c r="S52" s="10">
        <f>IF(D52&lt;=$J$5,$J$4*12,0)+IF(D52&lt;=$J$7,$J$6*12,0)+SUMPRODUCT(($M$22:$V$22&gt;=B52)*$M$21:$V$21)*12</f>
        <v>0</v>
      </c>
      <c r="T52" s="10">
        <f>SUM(P52:S52)</f>
        <v>172831</v>
      </c>
      <c r="U52" s="10">
        <f>($J$8+SUMPRODUCT(($M$19:$V$19=1)*($M$17:$V$17=B52)*$M$18:$V$18)+SUMPRODUCT(($M$19:$V$19=2)*($M$17:$V$17&lt;=B52)*$M$18:$V$18))*(1+$D$3)^(D52-1)</f>
        <v>15029</v>
      </c>
      <c r="V52" s="10">
        <f>T52+U52</f>
        <v>187860</v>
      </c>
      <c r="W52" s="10">
        <f>O52-V52</f>
        <v>-95194</v>
      </c>
      <c r="X52" s="10">
        <f>MAX(0,W52)</f>
        <v>0</v>
      </c>
      <c r="Y52" s="10">
        <f>X52</f>
        <v>0</v>
      </c>
      <c r="Z52" s="10">
        <f>SUMPRODUCT(($M$4:$V$4=B52)*($M$6:$V$6=1)*$M$5:$V$5)*(1+$D$3)^(D52-1)</f>
        <v>0</v>
      </c>
      <c r="AA52" s="10">
        <f>SUMPRODUCT(($M$4:$V$4=B52)*($M$6:$V$6=2)*$M$5:$V$5)*(1+$D$3)^(D52-1)</f>
        <v>0</v>
      </c>
      <c r="AB52" s="10">
        <f>SUMPRODUCT(($M$4:$V$4=B52)*($M$6:$V$6=3)*$M$5:$V$5)*(1+$D$3)^(D52-1)</f>
        <v>0</v>
      </c>
      <c r="AC52" s="10">
        <f>SUM(Z52:AB52)</f>
        <v>0</v>
      </c>
      <c r="AD52" s="10">
        <f>MIN(0,W52)</f>
        <v>-95194</v>
      </c>
      <c r="AE52" s="10">
        <f>-SUMIF($M$12:$V$12,B52,$M$13:$V$13)*(1+$D$3)^(D52-1)</f>
        <v>0</v>
      </c>
      <c r="AF52" s="10">
        <f>IF(B52=$M$14,-$M$15*(1+$D$3)^(D52-1),0)</f>
        <v>0</v>
      </c>
      <c r="AG52" s="10">
        <f>SUM(AD52:AF52)</f>
        <v>-95194</v>
      </c>
      <c r="AH52" s="10">
        <f>AK51</f>
        <v>1115598</v>
      </c>
      <c r="AI52" s="10">
        <f>AH52*$D$7</f>
        <v>66936</v>
      </c>
      <c r="AJ52" s="10">
        <f>MAX(0,-(AH52+AI52+Y52+AC52+AG52))</f>
        <v>0</v>
      </c>
      <c r="AK52" s="10">
        <f>AH52+AI52+Y52+AC52+AG52+AJ52</f>
        <v>1087340</v>
      </c>
      <c r="AL52" s="10">
        <f>AK52/(1+$D$3)^D52</f>
        <v>417808</v>
      </c>
      <c r="AM52" s="4">
        <f>IF(AH52&lt;=0,0,-AG52/AH52)</f>
        <v>0.08533002383027072</v>
      </c>
    </row>
    <row r="53">
      <c r="B53" s="9">
        <f>B52+1</f>
        <v>2051</v>
      </c>
      <c r="C53" s="9">
        <f>C52+1</f>
        <v>71</v>
      </c>
      <c r="D53" s="9">
        <f>D52+1</f>
        <v>26</v>
      </c>
      <c r="E53" t="str">
        <f>IF(D53&lt;=$G$7,"Acumulación","Retiro")</f>
        <v>Retiro</v>
      </c>
      <c r="F53" s="10">
        <f>IF(D53&lt;=$G$8,$G$1*12*(1+$D$3)^(D53-1),0)</f>
        <v>0</v>
      </c>
      <c r="G53" s="10">
        <f>IF(AND($G$2&gt;0,D53&gt;=$G$3),$G$2*12*(1+$D$3)^(D53-1),0)</f>
        <v>34700</v>
      </c>
      <c r="H53" s="10">
        <f>SUMPRODUCT(($M$11:$V$11&gt;=B53)*$M$10:$V$10)*12*(1+$D$3)^(D53-1)</f>
        <v>0</v>
      </c>
      <c r="I53" s="10">
        <f>IF(AND($G$4&gt;0,D53&gt;=$G$6),$G$4*12*(1+$D$3)^($G$6-1)*(1+$D$4)^(D53-$G$6),0)</f>
        <v>46847</v>
      </c>
      <c r="J53" s="10">
        <f>'Fondos de pensión'!T44</f>
        <v>12885</v>
      </c>
      <c r="K53" s="10">
        <f>SUM(F53:J53)</f>
        <v>94432</v>
      </c>
      <c r="L53" s="10">
        <f>SUMIF($M$2:$V$2,B53,$M$3:$V$3)*(1+$D$3)^(D53-1)</f>
        <v>0</v>
      </c>
      <c r="M53" s="10">
        <f>'Fondos de pensión'!S44</f>
        <v>0</v>
      </c>
      <c r="N53" s="10">
        <f>SUM(L53:M53)</f>
        <v>0</v>
      </c>
      <c r="O53" s="10">
        <f>K53+N53</f>
        <v>94432</v>
      </c>
      <c r="P53" s="10">
        <f>$J$1*12*(1+$D$3)^(D53-1)*IF(D53&gt;$G$7,$J$2,1)</f>
        <v>171764</v>
      </c>
      <c r="Q53" s="10">
        <f>SUMPRODUCT(($M$7:$V$7&lt;=B53)*($M$7:$V$7+$M$8:$V$8&gt;B53)*$M$9:$V$9)*(1+$D$3)^(D53-1)</f>
        <v>0</v>
      </c>
      <c r="R53" s="10">
        <f>$J$3*(1+$D$3)^(D53-1)</f>
        <v>7807</v>
      </c>
      <c r="S53" s="10">
        <f>IF(D53&lt;=$J$5,$J$4*12,0)+IF(D53&lt;=$J$7,$J$6*12,0)+SUMPRODUCT(($M$22:$V$22&gt;=B53)*$M$21:$V$21)*12</f>
        <v>0</v>
      </c>
      <c r="T53" s="10">
        <f>SUM(P53:S53)</f>
        <v>179572</v>
      </c>
      <c r="U53" s="10">
        <f>($J$8+SUMPRODUCT(($M$19:$V$19=1)*($M$17:$V$17=B53)*$M$18:$V$18)+SUMPRODUCT(($M$19:$V$19=2)*($M$17:$V$17&lt;=B53)*$M$18:$V$18))*(1+$D$3)^(D53-1)</f>
        <v>15615</v>
      </c>
      <c r="V53" s="10">
        <f>T53+U53</f>
        <v>195187</v>
      </c>
      <c r="W53" s="10">
        <f>O53-V53</f>
        <v>-100754</v>
      </c>
      <c r="X53" s="10">
        <f>MAX(0,W53)</f>
        <v>0</v>
      </c>
      <c r="Y53" s="10">
        <f>X53</f>
        <v>0</v>
      </c>
      <c r="Z53" s="10">
        <f>SUMPRODUCT(($M$4:$V$4=B53)*($M$6:$V$6=1)*$M$5:$V$5)*(1+$D$3)^(D53-1)</f>
        <v>0</v>
      </c>
      <c r="AA53" s="10">
        <f>SUMPRODUCT(($M$4:$V$4=B53)*($M$6:$V$6=2)*$M$5:$V$5)*(1+$D$3)^(D53-1)</f>
        <v>0</v>
      </c>
      <c r="AB53" s="10">
        <f>SUMPRODUCT(($M$4:$V$4=B53)*($M$6:$V$6=3)*$M$5:$V$5)*(1+$D$3)^(D53-1)</f>
        <v>0</v>
      </c>
      <c r="AC53" s="10">
        <f>SUM(Z53:AB53)</f>
        <v>0</v>
      </c>
      <c r="AD53" s="10">
        <f>MIN(0,W53)</f>
        <v>-100754</v>
      </c>
      <c r="AE53" s="10">
        <f>-SUMIF($M$12:$V$12,B53,$M$13:$V$13)*(1+$D$3)^(D53-1)</f>
        <v>0</v>
      </c>
      <c r="AF53" s="10">
        <f>IF(B53=$M$14,-$M$15*(1+$D$3)^(D53-1),0)</f>
        <v>0</v>
      </c>
      <c r="AG53" s="10">
        <f>SUM(AD53:AF53)</f>
        <v>-100754</v>
      </c>
      <c r="AH53" s="10">
        <f>AK52</f>
        <v>1087340</v>
      </c>
      <c r="AI53" s="10">
        <f>AH53*$D$7</f>
        <v>65240</v>
      </c>
      <c r="AJ53" s="10">
        <f>MAX(0,-(AH53+AI53+Y53+AC53+AG53))</f>
        <v>0</v>
      </c>
      <c r="AK53" s="10">
        <f>AH53+AI53+Y53+AC53+AG53+AJ53</f>
        <v>1051826</v>
      </c>
      <c r="AL53" s="10">
        <f>AK53/(1+$D$3)^D53</f>
        <v>388991</v>
      </c>
      <c r="AM53" s="4">
        <f>IF(AH53&lt;=0,0,-AG53/AH53)</f>
        <v>0.09266120061403556</v>
      </c>
    </row>
    <row r="54">
      <c r="B54" s="9">
        <f>B53+1</f>
        <v>2052</v>
      </c>
      <c r="C54" s="9">
        <f>C53+1</f>
        <v>72</v>
      </c>
      <c r="D54" s="9">
        <f>D53+1</f>
        <v>27</v>
      </c>
      <c r="E54" t="str">
        <f>IF(D54&lt;=$G$7,"Acumulación","Retiro")</f>
        <v>Retiro</v>
      </c>
      <c r="F54" s="10">
        <f>IF(D54&lt;=$G$8,$G$1*12*(1+$D$3)^(D54-1),0)</f>
        <v>0</v>
      </c>
      <c r="G54" s="10">
        <f>IF(AND($G$2&gt;0,D54&gt;=$G$3),$G$2*12*(1+$D$3)^(D54-1),0)</f>
        <v>36053</v>
      </c>
      <c r="H54" s="10">
        <f>SUMPRODUCT(($M$11:$V$11&gt;=B54)*$M$10:$V$10)*12*(1+$D$3)^(D54-1)</f>
        <v>0</v>
      </c>
      <c r="I54" s="10">
        <f>IF(AND($G$4&gt;0,D54&gt;=$G$6),$G$4*12*(1+$D$3)^($G$6-1)*(1+$D$4)^(D54-$G$6),0)</f>
        <v>47316</v>
      </c>
      <c r="J54" s="10">
        <f>'Fondos de pensión'!T45</f>
        <v>12885</v>
      </c>
      <c r="K54" s="10">
        <f>SUM(F54:J54)</f>
        <v>96254</v>
      </c>
      <c r="L54" s="10">
        <f>SUMIF($M$2:$V$2,B54,$M$3:$V$3)*(1+$D$3)^(D54-1)</f>
        <v>0</v>
      </c>
      <c r="M54" s="10">
        <f>'Fondos de pensión'!S45</f>
        <v>0</v>
      </c>
      <c r="N54" s="10">
        <f>SUM(L54:M54)</f>
        <v>0</v>
      </c>
      <c r="O54" s="10">
        <f>K54+N54</f>
        <v>96254</v>
      </c>
      <c r="P54" s="10">
        <f>$J$1*12*(1+$D$3)^(D54-1)*IF(D54&gt;$G$7,$J$2,1)</f>
        <v>178463</v>
      </c>
      <c r="Q54" s="10">
        <f>SUMPRODUCT(($M$7:$V$7&lt;=B54)*($M$7:$V$7+$M$8:$V$8&gt;B54)*$M$9:$V$9)*(1+$D$3)^(D54-1)</f>
        <v>0</v>
      </c>
      <c r="R54" s="10">
        <f>$J$3*(1+$D$3)^(D54-1)</f>
        <v>8112</v>
      </c>
      <c r="S54" s="10">
        <f>IF(D54&lt;=$J$5,$J$4*12,0)+IF(D54&lt;=$J$7,$J$6*12,0)+SUMPRODUCT(($M$22:$V$22&gt;=B54)*$M$21:$V$21)*12</f>
        <v>0</v>
      </c>
      <c r="T54" s="10">
        <f>SUM(P54:S54)</f>
        <v>186575</v>
      </c>
      <c r="U54" s="10">
        <f>($J$8+SUMPRODUCT(($M$19:$V$19=1)*($M$17:$V$17=B54)*$M$18:$V$18)+SUMPRODUCT(($M$19:$V$19=2)*($M$17:$V$17&lt;=B54)*$M$18:$V$18))*(1+$D$3)^(D54-1)</f>
        <v>16224</v>
      </c>
      <c r="V54" s="10">
        <f>T54+U54</f>
        <v>202799</v>
      </c>
      <c r="W54" s="10">
        <f>O54-V54</f>
        <v>-106545</v>
      </c>
      <c r="X54" s="10">
        <f>MAX(0,W54)</f>
        <v>0</v>
      </c>
      <c r="Y54" s="10">
        <f>X54</f>
        <v>0</v>
      </c>
      <c r="Z54" s="10">
        <f>SUMPRODUCT(($M$4:$V$4=B54)*($M$6:$V$6=1)*$M$5:$V$5)*(1+$D$3)^(D54-1)</f>
        <v>0</v>
      </c>
      <c r="AA54" s="10">
        <f>SUMPRODUCT(($M$4:$V$4=B54)*($M$6:$V$6=2)*$M$5:$V$5)*(1+$D$3)^(D54-1)</f>
        <v>0</v>
      </c>
      <c r="AB54" s="10">
        <f>SUMPRODUCT(($M$4:$V$4=B54)*($M$6:$V$6=3)*$M$5:$V$5)*(1+$D$3)^(D54-1)</f>
        <v>0</v>
      </c>
      <c r="AC54" s="10">
        <f>SUM(Z54:AB54)</f>
        <v>0</v>
      </c>
      <c r="AD54" s="10">
        <f>MIN(0,W54)</f>
        <v>-106545</v>
      </c>
      <c r="AE54" s="10">
        <f>-SUMIF($M$12:$V$12,B54,$M$13:$V$13)*(1+$D$3)^(D54-1)</f>
        <v>0</v>
      </c>
      <c r="AF54" s="10">
        <f>IF(B54=$M$14,-$M$15*(1+$D$3)^(D54-1),0)</f>
        <v>0</v>
      </c>
      <c r="AG54" s="10">
        <f>SUM(AD54:AF54)</f>
        <v>-106545</v>
      </c>
      <c r="AH54" s="10">
        <f>AK53</f>
        <v>1051826</v>
      </c>
      <c r="AI54" s="10">
        <f>AH54*$D$7</f>
        <v>63110</v>
      </c>
      <c r="AJ54" s="10">
        <f>MAX(0,-(AH54+AI54+Y54+AC54+AG54))</f>
        <v>0</v>
      </c>
      <c r="AK54" s="10">
        <f>AH54+AI54+Y54+AC54+AG54+AJ54</f>
        <v>1008391</v>
      </c>
      <c r="AL54" s="10">
        <f>AK54/(1+$D$3)^D54</f>
        <v>358929</v>
      </c>
      <c r="AM54" s="4">
        <f>IF(AH54&lt;=0,0,-AG54/AH54)</f>
        <v>0.10129501198423069</v>
      </c>
    </row>
    <row r="55">
      <c r="B55" s="9">
        <f>B54+1</f>
        <v>2053</v>
      </c>
      <c r="C55" s="9">
        <f>C54+1</f>
        <v>73</v>
      </c>
      <c r="D55" s="9">
        <f>D54+1</f>
        <v>28</v>
      </c>
      <c r="E55" t="str">
        <f>IF(D55&lt;=$G$7,"Acumulación","Retiro")</f>
        <v>Retiro</v>
      </c>
      <c r="F55" s="10">
        <f>IF(D55&lt;=$G$8,$G$1*12*(1+$D$3)^(D55-1),0)</f>
        <v>0</v>
      </c>
      <c r="G55" s="10">
        <f>IF(AND($G$2&gt;0,D55&gt;=$G$3),$G$2*12*(1+$D$3)^(D55-1),0)</f>
        <v>37459</v>
      </c>
      <c r="H55" s="10">
        <f>SUMPRODUCT(($M$11:$V$11&gt;=B55)*$M$10:$V$10)*12*(1+$D$3)^(D55-1)</f>
        <v>0</v>
      </c>
      <c r="I55" s="10">
        <f>IF(AND($G$4&gt;0,D55&gt;=$G$6),$G$4*12*(1+$D$3)^($G$6-1)*(1+$D$4)^(D55-$G$6),0)</f>
        <v>47789</v>
      </c>
      <c r="J55" s="10">
        <f>'Fondos de pensión'!T46</f>
        <v>12885</v>
      </c>
      <c r="K55" s="10">
        <f>SUM(F55:J55)</f>
        <v>98133</v>
      </c>
      <c r="L55" s="10">
        <f>SUMIF($M$2:$V$2,B55,$M$3:$V$3)*(1+$D$3)^(D55-1)</f>
        <v>0</v>
      </c>
      <c r="M55" s="10">
        <f>'Fondos de pensión'!S46</f>
        <v>0</v>
      </c>
      <c r="N55" s="10">
        <f>SUM(L55:M55)</f>
        <v>0</v>
      </c>
      <c r="O55" s="10">
        <f>K55+N55</f>
        <v>98133</v>
      </c>
      <c r="P55" s="10">
        <f>$J$1*12*(1+$D$3)^(D55-1)*IF(D55&gt;$G$7,$J$2,1)</f>
        <v>185423</v>
      </c>
      <c r="Q55" s="10">
        <f>SUMPRODUCT(($M$7:$V$7&lt;=B55)*($M$7:$V$7+$M$8:$V$8&gt;B55)*$M$9:$V$9)*(1+$D$3)^(D55-1)</f>
        <v>0</v>
      </c>
      <c r="R55" s="10">
        <f>$J$3*(1+$D$3)^(D55-1)</f>
        <v>8428</v>
      </c>
      <c r="S55" s="10">
        <f>IF(D55&lt;=$J$5,$J$4*12,0)+IF(D55&lt;=$J$7,$J$6*12,0)+SUMPRODUCT(($M$22:$V$22&gt;=B55)*$M$21:$V$21)*12</f>
        <v>0</v>
      </c>
      <c r="T55" s="10">
        <f>SUM(P55:S55)</f>
        <v>193851</v>
      </c>
      <c r="U55" s="10">
        <f>($J$8+SUMPRODUCT(($M$19:$V$19=1)*($M$17:$V$17=B55)*$M$18:$V$18)+SUMPRODUCT(($M$19:$V$19=2)*($M$17:$V$17&lt;=B55)*$M$18:$V$18))*(1+$D$3)^(D55-1)</f>
        <v>16857</v>
      </c>
      <c r="V55" s="10">
        <f>T55+U55</f>
        <v>210708</v>
      </c>
      <c r="W55" s="10">
        <f>O55-V55</f>
        <v>-112575</v>
      </c>
      <c r="X55" s="10">
        <f>MAX(0,W55)</f>
        <v>0</v>
      </c>
      <c r="Y55" s="10">
        <f>X55</f>
        <v>0</v>
      </c>
      <c r="Z55" s="10">
        <f>SUMPRODUCT(($M$4:$V$4=B55)*($M$6:$V$6=1)*$M$5:$V$5)*(1+$D$3)^(D55-1)</f>
        <v>0</v>
      </c>
      <c r="AA55" s="10">
        <f>SUMPRODUCT(($M$4:$V$4=B55)*($M$6:$V$6=2)*$M$5:$V$5)*(1+$D$3)^(D55-1)</f>
        <v>0</v>
      </c>
      <c r="AB55" s="10">
        <f>SUMPRODUCT(($M$4:$V$4=B55)*($M$6:$V$6=3)*$M$5:$V$5)*(1+$D$3)^(D55-1)</f>
        <v>0</v>
      </c>
      <c r="AC55" s="10">
        <f>SUM(Z55:AB55)</f>
        <v>0</v>
      </c>
      <c r="AD55" s="10">
        <f>MIN(0,W55)</f>
        <v>-112575</v>
      </c>
      <c r="AE55" s="10">
        <f>-SUMIF($M$12:$V$12,B55,$M$13:$V$13)*(1+$D$3)^(D55-1)</f>
        <v>0</v>
      </c>
      <c r="AF55" s="10">
        <f>IF(B55=$M$14,-$M$15*(1+$D$3)^(D55-1),0)</f>
        <v>0</v>
      </c>
      <c r="AG55" s="10">
        <f>SUM(AD55:AF55)</f>
        <v>-112575</v>
      </c>
      <c r="AH55" s="10">
        <f>AK54</f>
        <v>1008391</v>
      </c>
      <c r="AI55" s="10">
        <f>AH55*$D$7</f>
        <v>60503</v>
      </c>
      <c r="AJ55" s="10">
        <f>MAX(0,-(AH55+AI55+Y55+AC55+AG55))</f>
        <v>0</v>
      </c>
      <c r="AK55" s="10">
        <f>AH55+AI55+Y55+AC55+AG55+AJ55</f>
        <v>956319</v>
      </c>
      <c r="AL55" s="10">
        <f>AK55/(1+$D$3)^D55</f>
        <v>327618</v>
      </c>
      <c r="AM55" s="4">
        <f>IF(AH55&lt;=0,0,-AG55/AH55)</f>
        <v>0.11163792153135393</v>
      </c>
    </row>
    <row r="56">
      <c r="B56" s="9">
        <f>B55+1</f>
        <v>2054</v>
      </c>
      <c r="C56" s="9">
        <f>C55+1</f>
        <v>74</v>
      </c>
      <c r="D56" s="9">
        <f>D55+1</f>
        <v>29</v>
      </c>
      <c r="E56" t="str">
        <f>IF(D56&lt;=$G$7,"Acumulación","Retiro")</f>
        <v>Retiro</v>
      </c>
      <c r="F56" s="10">
        <f>IF(D56&lt;=$G$8,$G$1*12*(1+$D$3)^(D56-1),0)</f>
        <v>0</v>
      </c>
      <c r="G56" s="10">
        <f>IF(AND($G$2&gt;0,D56&gt;=$G$3),$G$2*12*(1+$D$3)^(D56-1),0)</f>
        <v>38920</v>
      </c>
      <c r="H56" s="10">
        <f>SUMPRODUCT(($M$11:$V$11&gt;=B56)*$M$10:$V$10)*12*(1+$D$3)^(D56-1)</f>
        <v>0</v>
      </c>
      <c r="I56" s="10">
        <f>IF(AND($G$4&gt;0,D56&gt;=$G$6),$G$4*12*(1+$D$3)^($G$6-1)*(1+$D$4)^(D56-$G$6),0)</f>
        <v>48267</v>
      </c>
      <c r="J56" s="10">
        <f>'Fondos de pensión'!T47</f>
        <v>12885</v>
      </c>
      <c r="K56" s="10">
        <f>SUM(F56:J56)</f>
        <v>100072</v>
      </c>
      <c r="L56" s="10">
        <f>SUMIF($M$2:$V$2,B56,$M$3:$V$3)*(1+$D$3)^(D56-1)</f>
        <v>0</v>
      </c>
      <c r="M56" s="10">
        <f>'Fondos de pensión'!S47</f>
        <v>0</v>
      </c>
      <c r="N56" s="10">
        <f>SUM(L56:M56)</f>
        <v>0</v>
      </c>
      <c r="O56" s="10">
        <f>K56+N56</f>
        <v>100072</v>
      </c>
      <c r="P56" s="10">
        <f>$J$1*12*(1+$D$3)^(D56-1)*IF(D56&gt;$G$7,$J$2,1)</f>
        <v>192655</v>
      </c>
      <c r="Q56" s="10">
        <f>SUMPRODUCT(($M$7:$V$7&lt;=B56)*($M$7:$V$7+$M$8:$V$8&gt;B56)*$M$9:$V$9)*(1+$D$3)^(D56-1)</f>
        <v>0</v>
      </c>
      <c r="R56" s="10">
        <f>$J$3*(1+$D$3)^(D56-1)</f>
        <v>8757</v>
      </c>
      <c r="S56" s="10">
        <f>IF(D56&lt;=$J$5,$J$4*12,0)+IF(D56&lt;=$J$7,$J$6*12,0)+SUMPRODUCT(($M$22:$V$22&gt;=B56)*$M$21:$V$21)*12</f>
        <v>0</v>
      </c>
      <c r="T56" s="10">
        <f>SUM(P56:S56)</f>
        <v>201412</v>
      </c>
      <c r="U56" s="10">
        <f>($J$8+SUMPRODUCT(($M$19:$V$19=1)*($M$17:$V$17=B56)*$M$18:$V$18)+SUMPRODUCT(($M$19:$V$19=2)*($M$17:$V$17&lt;=B56)*$M$18:$V$18))*(1+$D$3)^(D56-1)</f>
        <v>17514</v>
      </c>
      <c r="V56" s="10">
        <f>T56+U56</f>
        <v>218926</v>
      </c>
      <c r="W56" s="10">
        <f>O56-V56</f>
        <v>-118853</v>
      </c>
      <c r="X56" s="10">
        <f>MAX(0,W56)</f>
        <v>0</v>
      </c>
      <c r="Y56" s="10">
        <f>X56</f>
        <v>0</v>
      </c>
      <c r="Z56" s="10">
        <f>SUMPRODUCT(($M$4:$V$4=B56)*($M$6:$V$6=1)*$M$5:$V$5)*(1+$D$3)^(D56-1)</f>
        <v>0</v>
      </c>
      <c r="AA56" s="10">
        <f>SUMPRODUCT(($M$4:$V$4=B56)*($M$6:$V$6=2)*$M$5:$V$5)*(1+$D$3)^(D56-1)</f>
        <v>0</v>
      </c>
      <c r="AB56" s="10">
        <f>SUMPRODUCT(($M$4:$V$4=B56)*($M$6:$V$6=3)*$M$5:$V$5)*(1+$D$3)^(D56-1)</f>
        <v>0</v>
      </c>
      <c r="AC56" s="10">
        <f>SUM(Z56:AB56)</f>
        <v>0</v>
      </c>
      <c r="AD56" s="10">
        <f>MIN(0,W56)</f>
        <v>-118853</v>
      </c>
      <c r="AE56" s="10">
        <f>-SUMIF($M$12:$V$12,B56,$M$13:$V$13)*(1+$D$3)^(D56-1)</f>
        <v>0</v>
      </c>
      <c r="AF56" s="10">
        <f>IF(B56=$M$14,-$M$15*(1+$D$3)^(D56-1),0)</f>
        <v>0</v>
      </c>
      <c r="AG56" s="10">
        <f>SUM(AD56:AF56)</f>
        <v>-118853</v>
      </c>
      <c r="AH56" s="10">
        <f>AK55</f>
        <v>956319</v>
      </c>
      <c r="AI56" s="10">
        <f>AH56*$D$7</f>
        <v>57379</v>
      </c>
      <c r="AJ56" s="10">
        <f>MAX(0,-(AH56+AI56+Y56+AC56+AG56))</f>
        <v>0</v>
      </c>
      <c r="AK56" s="10">
        <f>AH56+AI56+Y56+AC56+AG56+AJ56</f>
        <v>894845</v>
      </c>
      <c r="AL56" s="10">
        <f>AK56/(1+$D$3)^D56</f>
        <v>295051</v>
      </c>
      <c r="AM56" s="4">
        <f>IF(AH56&lt;=0,0,-AG56/AH56)</f>
        <v>0.12428216629301472</v>
      </c>
    </row>
    <row r="57">
      <c r="B57" s="9">
        <f>B56+1</f>
        <v>2055</v>
      </c>
      <c r="C57" s="9">
        <f>C56+1</f>
        <v>75</v>
      </c>
      <c r="D57" s="9">
        <f>D56+1</f>
        <v>30</v>
      </c>
      <c r="E57" t="str">
        <f>IF(D57&lt;=$G$7,"Acumulación","Retiro")</f>
        <v>Retiro</v>
      </c>
      <c r="F57" s="10">
        <f>IF(D57&lt;=$G$8,$G$1*12*(1+$D$3)^(D57-1),0)</f>
        <v>0</v>
      </c>
      <c r="G57" s="10">
        <f>IF(AND($G$2&gt;0,D57&gt;=$G$3),$G$2*12*(1+$D$3)^(D57-1),0)</f>
        <v>40438</v>
      </c>
      <c r="H57" s="10">
        <f>SUMPRODUCT(($M$11:$V$11&gt;=B57)*$M$10:$V$10)*12*(1+$D$3)^(D57-1)</f>
        <v>0</v>
      </c>
      <c r="I57" s="10">
        <f>IF(AND($G$4&gt;0,D57&gt;=$G$6),$G$4*12*(1+$D$3)^($G$6-1)*(1+$D$4)^(D57-$G$6),0)</f>
        <v>48749</v>
      </c>
      <c r="J57" s="10">
        <f>'Fondos de pensión'!T48</f>
        <v>12885</v>
      </c>
      <c r="K57" s="10">
        <f>SUM(F57:J57)</f>
        <v>102073</v>
      </c>
      <c r="L57" s="10">
        <f>SUMIF($M$2:$V$2,B57,$M$3:$V$3)*(1+$D$3)^(D57-1)</f>
        <v>0</v>
      </c>
      <c r="M57" s="10">
        <f>'Fondos de pensión'!S48</f>
        <v>0</v>
      </c>
      <c r="N57" s="10">
        <f>SUM(L57:M57)</f>
        <v>0</v>
      </c>
      <c r="O57" s="10">
        <f>K57+N57</f>
        <v>102073</v>
      </c>
      <c r="P57" s="10">
        <f>$J$1*12*(1+$D$3)^(D57-1)*IF(D57&gt;$G$7,$J$2,1)</f>
        <v>200168</v>
      </c>
      <c r="Q57" s="10">
        <f>SUMPRODUCT(($M$7:$V$7&lt;=B57)*($M$7:$V$7+$M$8:$V$8&gt;B57)*$M$9:$V$9)*(1+$D$3)^(D57-1)</f>
        <v>0</v>
      </c>
      <c r="R57" s="10">
        <f>$J$3*(1+$D$3)^(D57-1)</f>
        <v>9099</v>
      </c>
      <c r="S57" s="10">
        <f>IF(D57&lt;=$J$5,$J$4*12,0)+IF(D57&lt;=$J$7,$J$6*12,0)+SUMPRODUCT(($M$22:$V$22&gt;=B57)*$M$21:$V$21)*12</f>
        <v>0</v>
      </c>
      <c r="T57" s="10">
        <f>SUM(P57:S57)</f>
        <v>209267</v>
      </c>
      <c r="U57" s="10">
        <f>($J$8+SUMPRODUCT(($M$19:$V$19=1)*($M$17:$V$17=B57)*$M$18:$V$18)+SUMPRODUCT(($M$19:$V$19=2)*($M$17:$V$17&lt;=B57)*$M$18:$V$18))*(1+$D$3)^(D57-1)</f>
        <v>18197</v>
      </c>
      <c r="V57" s="10">
        <f>T57+U57</f>
        <v>227464</v>
      </c>
      <c r="W57" s="10">
        <f>O57-V57</f>
        <v>-125391</v>
      </c>
      <c r="X57" s="10">
        <f>MAX(0,W57)</f>
        <v>0</v>
      </c>
      <c r="Y57" s="10">
        <f>X57</f>
        <v>0</v>
      </c>
      <c r="Z57" s="10">
        <f>SUMPRODUCT(($M$4:$V$4=B57)*($M$6:$V$6=1)*$M$5:$V$5)*(1+$D$3)^(D57-1)</f>
        <v>0</v>
      </c>
      <c r="AA57" s="10">
        <f>SUMPRODUCT(($M$4:$V$4=B57)*($M$6:$V$6=2)*$M$5:$V$5)*(1+$D$3)^(D57-1)</f>
        <v>0</v>
      </c>
      <c r="AB57" s="10">
        <f>SUMPRODUCT(($M$4:$V$4=B57)*($M$6:$V$6=3)*$M$5:$V$5)*(1+$D$3)^(D57-1)</f>
        <v>0</v>
      </c>
      <c r="AC57" s="10">
        <f>SUM(Z57:AB57)</f>
        <v>0</v>
      </c>
      <c r="AD57" s="10">
        <f>MIN(0,W57)</f>
        <v>-125391</v>
      </c>
      <c r="AE57" s="10">
        <f>-SUMIF($M$12:$V$12,B57,$M$13:$V$13)*(1+$D$3)^(D57-1)</f>
        <v>0</v>
      </c>
      <c r="AF57" s="10">
        <f>IF(B57=$M$14,-$M$15*(1+$D$3)^(D57-1),0)</f>
        <v>0</v>
      </c>
      <c r="AG57" s="10">
        <f>SUM(AD57:AF57)</f>
        <v>-125391</v>
      </c>
      <c r="AH57" s="10">
        <f>AK56</f>
        <v>894845</v>
      </c>
      <c r="AI57" s="10">
        <f>AH57*$D$7</f>
        <v>53691</v>
      </c>
      <c r="AJ57" s="10">
        <f>MAX(0,-(AH57+AI57+Y57+AC57+AG57))</f>
        <v>0</v>
      </c>
      <c r="AK57" s="10">
        <f>AH57+AI57+Y57+AC57+AG57+AJ57</f>
        <v>823145</v>
      </c>
      <c r="AL57" s="10">
        <f>AK57/(1+$D$3)^D57</f>
        <v>261222</v>
      </c>
      <c r="AM57" s="4">
        <f>IF(AH57&lt;=0,0,-AG57/AH57)</f>
        <v>0.14012592067158386</v>
      </c>
    </row>
    <row r="58">
      <c r="B58" s="9">
        <f>B57+1</f>
        <v>2056</v>
      </c>
      <c r="C58" s="9">
        <f>C57+1</f>
        <v>76</v>
      </c>
      <c r="D58" s="9">
        <f>D57+1</f>
        <v>31</v>
      </c>
      <c r="E58" t="str">
        <f>IF(D58&lt;=$G$7,"Acumulación","Retiro")</f>
        <v>Retiro</v>
      </c>
      <c r="F58" s="10">
        <f>IF(D58&lt;=$G$8,$G$1*12*(1+$D$3)^(D58-1),0)</f>
        <v>0</v>
      </c>
      <c r="G58" s="10">
        <f>IF(AND($G$2&gt;0,D58&gt;=$G$3),$G$2*12*(1+$D$3)^(D58-1),0)</f>
        <v>42015</v>
      </c>
      <c r="H58" s="10">
        <f>SUMPRODUCT(($M$11:$V$11&gt;=B58)*$M$10:$V$10)*12*(1+$D$3)^(D58-1)</f>
        <v>0</v>
      </c>
      <c r="I58" s="10">
        <f>IF(AND($G$4&gt;0,D58&gt;=$G$6),$G$4*12*(1+$D$3)^($G$6-1)*(1+$D$4)^(D58-$G$6),0)</f>
        <v>49237</v>
      </c>
      <c r="J58" s="10">
        <f>'Fondos de pensión'!T49</f>
        <v>12885</v>
      </c>
      <c r="K58" s="10">
        <f>SUM(F58:J58)</f>
        <v>104137</v>
      </c>
      <c r="L58" s="10">
        <f>SUMIF($M$2:$V$2,B58,$M$3:$V$3)*(1+$D$3)^(D58-1)</f>
        <v>0</v>
      </c>
      <c r="M58" s="10">
        <f>'Fondos de pensión'!S49</f>
        <v>0</v>
      </c>
      <c r="N58" s="10">
        <f>SUM(L58:M58)</f>
        <v>0</v>
      </c>
      <c r="O58" s="10">
        <f>K58+N58</f>
        <v>104137</v>
      </c>
      <c r="P58" s="10">
        <f>$J$1*12*(1+$D$3)^(D58-1)*IF(D58&gt;$G$7,$J$2,1)</f>
        <v>207975</v>
      </c>
      <c r="Q58" s="10">
        <f>SUMPRODUCT(($M$7:$V$7&lt;=B58)*($M$7:$V$7+$M$8:$V$8&gt;B58)*$M$9:$V$9)*(1+$D$3)^(D58-1)</f>
        <v>0</v>
      </c>
      <c r="R58" s="10">
        <f>$J$3*(1+$D$3)^(D58-1)</f>
        <v>9453</v>
      </c>
      <c r="S58" s="10">
        <f>IF(D58&lt;=$J$5,$J$4*12,0)+IF(D58&lt;=$J$7,$J$6*12,0)+SUMPRODUCT(($M$22:$V$22&gt;=B58)*$M$21:$V$21)*12</f>
        <v>0</v>
      </c>
      <c r="T58" s="10">
        <f>SUM(P58:S58)</f>
        <v>217428</v>
      </c>
      <c r="U58" s="10">
        <f>($J$8+SUMPRODUCT(($M$19:$V$19=1)*($M$17:$V$17=B58)*$M$18:$V$18)+SUMPRODUCT(($M$19:$V$19=2)*($M$17:$V$17&lt;=B58)*$M$18:$V$18))*(1+$D$3)^(D58-1)</f>
        <v>18907</v>
      </c>
      <c r="V58" s="10">
        <f>T58+U58</f>
        <v>236335</v>
      </c>
      <c r="W58" s="10">
        <f>O58-V58</f>
        <v>-132198</v>
      </c>
      <c r="X58" s="10">
        <f>MAX(0,W58)</f>
        <v>0</v>
      </c>
      <c r="Y58" s="10">
        <f>X58</f>
        <v>0</v>
      </c>
      <c r="Z58" s="10">
        <f>SUMPRODUCT(($M$4:$V$4=B58)*($M$6:$V$6=1)*$M$5:$V$5)*(1+$D$3)^(D58-1)</f>
        <v>0</v>
      </c>
      <c r="AA58" s="10">
        <f>SUMPRODUCT(($M$4:$V$4=B58)*($M$6:$V$6=2)*$M$5:$V$5)*(1+$D$3)^(D58-1)</f>
        <v>0</v>
      </c>
      <c r="AB58" s="10">
        <f>SUMPRODUCT(($M$4:$V$4=B58)*($M$6:$V$6=3)*$M$5:$V$5)*(1+$D$3)^(D58-1)</f>
        <v>0</v>
      </c>
      <c r="AC58" s="10">
        <f>SUM(Z58:AB58)</f>
        <v>0</v>
      </c>
      <c r="AD58" s="10">
        <f>MIN(0,W58)</f>
        <v>-132198</v>
      </c>
      <c r="AE58" s="10">
        <f>-SUMIF($M$12:$V$12,B58,$M$13:$V$13)*(1+$D$3)^(D58-1)</f>
        <v>0</v>
      </c>
      <c r="AF58" s="10">
        <f>IF(B58=$M$14,-$M$15*(1+$D$3)^(D58-1),0)</f>
        <v>0</v>
      </c>
      <c r="AG58" s="10">
        <f>SUM(AD58:AF58)</f>
        <v>-132198</v>
      </c>
      <c r="AH58" s="10">
        <f>AK57</f>
        <v>823145</v>
      </c>
      <c r="AI58" s="10">
        <f>AH58*$D$7</f>
        <v>49389</v>
      </c>
      <c r="AJ58" s="10">
        <f>MAX(0,-(AH58+AI58+Y58+AC58+AG58))</f>
        <v>0</v>
      </c>
      <c r="AK58" s="10">
        <f>AH58+AI58+Y58+AC58+AG58+AJ58</f>
        <v>740336</v>
      </c>
      <c r="AL58" s="10">
        <f>AK58/(1+$D$3)^D58</f>
        <v>226124</v>
      </c>
      <c r="AM58" s="4">
        <f>IF(AH58&lt;=0,0,-AG58/AH58)</f>
        <v>0.160600543552911</v>
      </c>
    </row>
    <row r="59">
      <c r="B59" s="9">
        <f>B58+1</f>
        <v>2057</v>
      </c>
      <c r="C59" s="9">
        <f>C58+1</f>
        <v>77</v>
      </c>
      <c r="D59" s="9">
        <f>D58+1</f>
        <v>32</v>
      </c>
      <c r="E59" t="str">
        <f>IF(D59&lt;=$G$7,"Acumulación","Retiro")</f>
        <v>Retiro</v>
      </c>
      <c r="F59" s="10">
        <f>IF(D59&lt;=$G$8,$G$1*12*(1+$D$3)^(D59-1),0)</f>
        <v>0</v>
      </c>
      <c r="G59" s="10">
        <f>IF(AND($G$2&gt;0,D59&gt;=$G$3),$G$2*12*(1+$D$3)^(D59-1),0)</f>
        <v>43654</v>
      </c>
      <c r="H59" s="10">
        <f>SUMPRODUCT(($M$11:$V$11&gt;=B59)*$M$10:$V$10)*12*(1+$D$3)^(D59-1)</f>
        <v>0</v>
      </c>
      <c r="I59" s="10">
        <f>IF(AND($G$4&gt;0,D59&gt;=$G$6),$G$4*12*(1+$D$3)^($G$6-1)*(1+$D$4)^(D59-$G$6),0)</f>
        <v>49729</v>
      </c>
      <c r="J59" s="10">
        <f>'Fondos de pensión'!T50</f>
        <v>12885</v>
      </c>
      <c r="K59" s="10">
        <f>SUM(F59:J59)</f>
        <v>106268</v>
      </c>
      <c r="L59" s="10">
        <f>SUMIF($M$2:$V$2,B59,$M$3:$V$3)*(1+$D$3)^(D59-1)</f>
        <v>0</v>
      </c>
      <c r="M59" s="10">
        <f>'Fondos de pensión'!S50</f>
        <v>0</v>
      </c>
      <c r="N59" s="10">
        <f>SUM(L59:M59)</f>
        <v>0</v>
      </c>
      <c r="O59" s="10">
        <f>K59+N59</f>
        <v>106268</v>
      </c>
      <c r="P59" s="10">
        <f>$J$1*12*(1+$D$3)^(D59-1)*IF(D59&gt;$G$7,$J$2,1)</f>
        <v>216086</v>
      </c>
      <c r="Q59" s="10">
        <f>SUMPRODUCT(($M$7:$V$7&lt;=B59)*($M$7:$V$7+$M$8:$V$8&gt;B59)*$M$9:$V$9)*(1+$D$3)^(D59-1)</f>
        <v>0</v>
      </c>
      <c r="R59" s="10">
        <f>$J$3*(1+$D$3)^(D59-1)</f>
        <v>9822</v>
      </c>
      <c r="S59" s="10">
        <f>IF(D59&lt;=$J$5,$J$4*12,0)+IF(D59&lt;=$J$7,$J$6*12,0)+SUMPRODUCT(($M$22:$V$22&gt;=B59)*$M$21:$V$21)*12</f>
        <v>0</v>
      </c>
      <c r="T59" s="10">
        <f>SUM(P59:S59)</f>
        <v>225908</v>
      </c>
      <c r="U59" s="10">
        <f>($J$8+SUMPRODUCT(($M$19:$V$19=1)*($M$17:$V$17=B59)*$M$18:$V$18)+SUMPRODUCT(($M$19:$V$19=2)*($M$17:$V$17&lt;=B59)*$M$18:$V$18))*(1+$D$3)^(D59-1)</f>
        <v>19644</v>
      </c>
      <c r="V59" s="10">
        <f>T59+U59</f>
        <v>245552</v>
      </c>
      <c r="W59" s="10">
        <f>O59-V59</f>
        <v>-139284</v>
      </c>
      <c r="X59" s="10">
        <f>MAX(0,W59)</f>
        <v>0</v>
      </c>
      <c r="Y59" s="10">
        <f>X59</f>
        <v>0</v>
      </c>
      <c r="Z59" s="10">
        <f>SUMPRODUCT(($M$4:$V$4=B59)*($M$6:$V$6=1)*$M$5:$V$5)*(1+$D$3)^(D59-1)</f>
        <v>0</v>
      </c>
      <c r="AA59" s="10">
        <f>SUMPRODUCT(($M$4:$V$4=B59)*($M$6:$V$6=2)*$M$5:$V$5)*(1+$D$3)^(D59-1)</f>
        <v>0</v>
      </c>
      <c r="AB59" s="10">
        <f>SUMPRODUCT(($M$4:$V$4=B59)*($M$6:$V$6=3)*$M$5:$V$5)*(1+$D$3)^(D59-1)</f>
        <v>0</v>
      </c>
      <c r="AC59" s="10">
        <f>SUM(Z59:AB59)</f>
        <v>0</v>
      </c>
      <c r="AD59" s="10">
        <f>MIN(0,W59)</f>
        <v>-139284</v>
      </c>
      <c r="AE59" s="10">
        <f>-SUMIF($M$12:$V$12,B59,$M$13:$V$13)*(1+$D$3)^(D59-1)</f>
        <v>0</v>
      </c>
      <c r="AF59" s="10">
        <f>IF(B59=$M$14,-$M$15*(1+$D$3)^(D59-1),0)</f>
        <v>0</v>
      </c>
      <c r="AG59" s="10">
        <f>SUM(AD59:AF59)</f>
        <v>-139284</v>
      </c>
      <c r="AH59" s="10">
        <f>AK58</f>
        <v>740336</v>
      </c>
      <c r="AI59" s="10">
        <f>AH59*$D$7</f>
        <v>44420</v>
      </c>
      <c r="AJ59" s="10">
        <f>MAX(0,-(AH59+AI59+Y59+AC59+AG59))</f>
        <v>0</v>
      </c>
      <c r="AK59" s="10">
        <f>AH59+AI59+Y59+AC59+AG59+AJ59</f>
        <v>645473</v>
      </c>
      <c r="AL59" s="10">
        <f>AK59/(1+$D$3)^D59</f>
        <v>189749</v>
      </c>
      <c r="AM59" s="4">
        <f>IF(AH59&lt;=0,0,-AG59/AH59)</f>
        <v>0.18813566664644968</v>
      </c>
    </row>
    <row r="60">
      <c r="B60" s="9">
        <f>B59+1</f>
        <v>2058</v>
      </c>
      <c r="C60" s="9">
        <f>C59+1</f>
        <v>78</v>
      </c>
      <c r="D60" s="9">
        <f>D59+1</f>
        <v>33</v>
      </c>
      <c r="E60" t="str">
        <f>IF(D60&lt;=$G$7,"Acumulación","Retiro")</f>
        <v>Retiro</v>
      </c>
      <c r="F60" s="10">
        <f>IF(D60&lt;=$G$8,$G$1*12*(1+$D$3)^(D60-1),0)</f>
        <v>0</v>
      </c>
      <c r="G60" s="10">
        <f>IF(AND($G$2&gt;0,D60&gt;=$G$3),$G$2*12*(1+$D$3)^(D60-1),0)</f>
        <v>45356</v>
      </c>
      <c r="H60" s="10">
        <f>SUMPRODUCT(($M$11:$V$11&gt;=B60)*$M$10:$V$10)*12*(1+$D$3)^(D60-1)</f>
        <v>0</v>
      </c>
      <c r="I60" s="10">
        <f>IF(AND($G$4&gt;0,D60&gt;=$G$6),$G$4*12*(1+$D$3)^($G$6-1)*(1+$D$4)^(D60-$G$6),0)</f>
        <v>50226</v>
      </c>
      <c r="J60" s="10">
        <f>'Fondos de pensión'!T51</f>
        <v>12885</v>
      </c>
      <c r="K60" s="10">
        <f>SUM(F60:J60)</f>
        <v>108468</v>
      </c>
      <c r="L60" s="10">
        <f>SUMIF($M$2:$V$2,B60,$M$3:$V$3)*(1+$D$3)^(D60-1)</f>
        <v>0</v>
      </c>
      <c r="M60" s="10">
        <f>'Fondos de pensión'!S51</f>
        <v>0</v>
      </c>
      <c r="N60" s="10">
        <f>SUM(L60:M60)</f>
        <v>0</v>
      </c>
      <c r="O60" s="10">
        <f>K60+N60</f>
        <v>108468</v>
      </c>
      <c r="P60" s="10">
        <f>$J$1*12*(1+$D$3)^(D60-1)*IF(D60&gt;$G$7,$J$2,1)</f>
        <v>224513</v>
      </c>
      <c r="Q60" s="10">
        <f>SUMPRODUCT(($M$7:$V$7&lt;=B60)*($M$7:$V$7+$M$8:$V$8&gt;B60)*$M$9:$V$9)*(1+$D$3)^(D60-1)</f>
        <v>0</v>
      </c>
      <c r="R60" s="10">
        <f>$J$3*(1+$D$3)^(D60-1)</f>
        <v>10205</v>
      </c>
      <c r="S60" s="10">
        <f>IF(D60&lt;=$J$5,$J$4*12,0)+IF(D60&lt;=$J$7,$J$6*12,0)+SUMPRODUCT(($M$22:$V$22&gt;=B60)*$M$21:$V$21)*12</f>
        <v>0</v>
      </c>
      <c r="T60" s="10">
        <f>SUM(P60:S60)</f>
        <v>234718</v>
      </c>
      <c r="U60" s="10">
        <f>($J$8+SUMPRODUCT(($M$19:$V$19=1)*($M$17:$V$17=B60)*$M$18:$V$18)+SUMPRODUCT(($M$19:$V$19=2)*($M$17:$V$17&lt;=B60)*$M$18:$V$18))*(1+$D$3)^(D60-1)</f>
        <v>20410</v>
      </c>
      <c r="V60" s="10">
        <f>T60+U60</f>
        <v>255128</v>
      </c>
      <c r="W60" s="10">
        <f>O60-V60</f>
        <v>-146660</v>
      </c>
      <c r="X60" s="10">
        <f>MAX(0,W60)</f>
        <v>0</v>
      </c>
      <c r="Y60" s="10">
        <f>X60</f>
        <v>0</v>
      </c>
      <c r="Z60" s="10">
        <f>SUMPRODUCT(($M$4:$V$4=B60)*($M$6:$V$6=1)*$M$5:$V$5)*(1+$D$3)^(D60-1)</f>
        <v>0</v>
      </c>
      <c r="AA60" s="10">
        <f>SUMPRODUCT(($M$4:$V$4=B60)*($M$6:$V$6=2)*$M$5:$V$5)*(1+$D$3)^(D60-1)</f>
        <v>0</v>
      </c>
      <c r="AB60" s="10">
        <f>SUMPRODUCT(($M$4:$V$4=B60)*($M$6:$V$6=3)*$M$5:$V$5)*(1+$D$3)^(D60-1)</f>
        <v>0</v>
      </c>
      <c r="AC60" s="10">
        <f>SUM(Z60:AB60)</f>
        <v>0</v>
      </c>
      <c r="AD60" s="10">
        <f>MIN(0,W60)</f>
        <v>-146660</v>
      </c>
      <c r="AE60" s="10">
        <f>-SUMIF($M$12:$V$12,B60,$M$13:$V$13)*(1+$D$3)^(D60-1)</f>
        <v>0</v>
      </c>
      <c r="AF60" s="10">
        <f>IF(B60=$M$14,-$M$15*(1+$D$3)^(D60-1),0)</f>
        <v>0</v>
      </c>
      <c r="AG60" s="10">
        <f>SUM(AD60:AF60)</f>
        <v>-146660</v>
      </c>
      <c r="AH60" s="10">
        <f>AK59</f>
        <v>645473</v>
      </c>
      <c r="AI60" s="10">
        <f>AH60*$D$7</f>
        <v>38728</v>
      </c>
      <c r="AJ60" s="10">
        <f>MAX(0,-(AH60+AI60+Y60+AC60+AG60))</f>
        <v>0</v>
      </c>
      <c r="AK60" s="10">
        <f>AH60+AI60+Y60+AC60+AG60+AJ60</f>
        <v>537541</v>
      </c>
      <c r="AL60" s="10">
        <f>AK60/(1+$D$3)^D60</f>
        <v>152089</v>
      </c>
      <c r="AM60" s="4">
        <f>IF(AH60&lt;=0,0,-AG60/AH60)</f>
        <v>0.2272139146374116</v>
      </c>
    </row>
    <row r="61">
      <c r="B61" s="9">
        <f>B60+1</f>
        <v>2059</v>
      </c>
      <c r="C61" s="9">
        <f>C60+1</f>
        <v>79</v>
      </c>
      <c r="D61" s="9">
        <f>D60+1</f>
        <v>34</v>
      </c>
      <c r="E61" t="str">
        <f>IF(D61&lt;=$G$7,"Acumulación","Retiro")</f>
        <v>Retiro</v>
      </c>
      <c r="F61" s="10">
        <f>IF(D61&lt;=$G$8,$G$1*12*(1+$D$3)^(D61-1),0)</f>
        <v>0</v>
      </c>
      <c r="G61" s="10">
        <f>IF(AND($G$2&gt;0,D61&gt;=$G$3),$G$2*12*(1+$D$3)^(D61-1),0)</f>
        <v>47125</v>
      </c>
      <c r="H61" s="10">
        <f>SUMPRODUCT(($M$11:$V$11&gt;=B61)*$M$10:$V$10)*12*(1+$D$3)^(D61-1)</f>
        <v>0</v>
      </c>
      <c r="I61" s="10">
        <f>IF(AND($G$4&gt;0,D61&gt;=$G$6),$G$4*12*(1+$D$3)^($G$6-1)*(1+$D$4)^(D61-$G$6),0)</f>
        <v>50729</v>
      </c>
      <c r="J61" s="10">
        <f>'Fondos de pensión'!T52</f>
        <v>12885</v>
      </c>
      <c r="K61" s="10">
        <f>SUM(F61:J61)</f>
        <v>110739</v>
      </c>
      <c r="L61" s="10">
        <f>SUMIF($M$2:$V$2,B61,$M$3:$V$3)*(1+$D$3)^(D61-1)</f>
        <v>0</v>
      </c>
      <c r="M61" s="10">
        <f>'Fondos de pensión'!S52</f>
        <v>0</v>
      </c>
      <c r="N61" s="10">
        <f>SUM(L61:M61)</f>
        <v>0</v>
      </c>
      <c r="O61" s="10">
        <f>K61+N61</f>
        <v>110739</v>
      </c>
      <c r="P61" s="10">
        <f>$J$1*12*(1+$D$3)^(D61-1)*IF(D61&gt;$G$7,$J$2,1)</f>
        <v>233269</v>
      </c>
      <c r="Q61" s="10">
        <f>SUMPRODUCT(($M$7:$V$7&lt;=B61)*($M$7:$V$7+$M$8:$V$8&gt;B61)*$M$9:$V$9)*(1+$D$3)^(D61-1)</f>
        <v>0</v>
      </c>
      <c r="R61" s="10">
        <f>$J$3*(1+$D$3)^(D61-1)</f>
        <v>10603</v>
      </c>
      <c r="S61" s="10">
        <f>IF(D61&lt;=$J$5,$J$4*12,0)+IF(D61&lt;=$J$7,$J$6*12,0)+SUMPRODUCT(($M$22:$V$22&gt;=B61)*$M$21:$V$21)*12</f>
        <v>0</v>
      </c>
      <c r="T61" s="10">
        <f>SUM(P61:S61)</f>
        <v>243872</v>
      </c>
      <c r="U61" s="10">
        <f>($J$8+SUMPRODUCT(($M$19:$V$19=1)*($M$17:$V$17=B61)*$M$18:$V$18)+SUMPRODUCT(($M$19:$V$19=2)*($M$17:$V$17&lt;=B61)*$M$18:$V$18))*(1+$D$3)^(D61-1)</f>
        <v>21206</v>
      </c>
      <c r="V61" s="10">
        <f>T61+U61</f>
        <v>265078</v>
      </c>
      <c r="W61" s="10">
        <f>O61-V61</f>
        <v>-154339</v>
      </c>
      <c r="X61" s="10">
        <f>MAX(0,W61)</f>
        <v>0</v>
      </c>
      <c r="Y61" s="10">
        <f>X61</f>
        <v>0</v>
      </c>
      <c r="Z61" s="10">
        <f>SUMPRODUCT(($M$4:$V$4=B61)*($M$6:$V$6=1)*$M$5:$V$5)*(1+$D$3)^(D61-1)</f>
        <v>0</v>
      </c>
      <c r="AA61" s="10">
        <f>SUMPRODUCT(($M$4:$V$4=B61)*($M$6:$V$6=2)*$M$5:$V$5)*(1+$D$3)^(D61-1)</f>
        <v>0</v>
      </c>
      <c r="AB61" s="10">
        <f>SUMPRODUCT(($M$4:$V$4=B61)*($M$6:$V$6=3)*$M$5:$V$5)*(1+$D$3)^(D61-1)</f>
        <v>0</v>
      </c>
      <c r="AC61" s="10">
        <f>SUM(Z61:AB61)</f>
        <v>0</v>
      </c>
      <c r="AD61" s="10">
        <f>MIN(0,W61)</f>
        <v>-154339</v>
      </c>
      <c r="AE61" s="10">
        <f>-SUMIF($M$12:$V$12,B61,$M$13:$V$13)*(1+$D$3)^(D61-1)</f>
        <v>0</v>
      </c>
      <c r="AF61" s="10">
        <f>IF(B61=$M$14,-$M$15*(1+$D$3)^(D61-1),0)</f>
        <v>0</v>
      </c>
      <c r="AG61" s="10">
        <f>SUM(AD61:AF61)</f>
        <v>-154339</v>
      </c>
      <c r="AH61" s="10">
        <f>AK60</f>
        <v>537541</v>
      </c>
      <c r="AI61" s="10">
        <f>AH61*$D$7</f>
        <v>32252</v>
      </c>
      <c r="AJ61" s="10">
        <f>MAX(0,-(AH61+AI61+Y61+AC61+AG61))</f>
        <v>0</v>
      </c>
      <c r="AK61" s="10">
        <f>AH61+AI61+Y61+AC61+AG61+AJ61</f>
        <v>415454</v>
      </c>
      <c r="AL61" s="10">
        <f>AK61/(1+$D$3)^D61</f>
        <v>113134</v>
      </c>
      <c r="AM61" s="4">
        <f>IF(AH61&lt;=0,0,-AG61/AH61)</f>
        <v>0.2871210282324675</v>
      </c>
    </row>
    <row r="62">
      <c r="B62" s="9">
        <f>B61+1</f>
        <v>2060</v>
      </c>
      <c r="C62" s="9">
        <f>C61+1</f>
        <v>80</v>
      </c>
      <c r="D62" s="9">
        <f>D61+1</f>
        <v>35</v>
      </c>
      <c r="E62" t="str">
        <f>IF(D62&lt;=$G$7,"Acumulación","Retiro")</f>
        <v>Retiro</v>
      </c>
      <c r="F62" s="10">
        <f>IF(D62&lt;=$G$8,$G$1*12*(1+$D$3)^(D62-1),0)</f>
        <v>0</v>
      </c>
      <c r="G62" s="10">
        <f>IF(AND($G$2&gt;0,D62&gt;=$G$3),$G$2*12*(1+$D$3)^(D62-1),0)</f>
        <v>48963</v>
      </c>
      <c r="H62" s="10">
        <f>SUMPRODUCT(($M$11:$V$11&gt;=B62)*$M$10:$V$10)*12*(1+$D$3)^(D62-1)</f>
        <v>0</v>
      </c>
      <c r="I62" s="10">
        <f>IF(AND($G$4&gt;0,D62&gt;=$G$6),$G$4*12*(1+$D$3)^($G$6-1)*(1+$D$4)^(D62-$G$6),0)</f>
        <v>51236</v>
      </c>
      <c r="J62" s="10">
        <f>'Fondos de pensión'!T53</f>
        <v>12885</v>
      </c>
      <c r="K62" s="10">
        <f>SUM(F62:J62)</f>
        <v>113084</v>
      </c>
      <c r="L62" s="10">
        <f>SUMIF($M$2:$V$2,B62,$M$3:$V$3)*(1+$D$3)^(D62-1)</f>
        <v>0</v>
      </c>
      <c r="M62" s="10">
        <f>'Fondos de pensión'!S53</f>
        <v>0</v>
      </c>
      <c r="N62" s="10">
        <f>SUM(L62:M62)</f>
        <v>0</v>
      </c>
      <c r="O62" s="10">
        <f>K62+N62</f>
        <v>113084</v>
      </c>
      <c r="P62" s="10">
        <f>$J$1*12*(1+$D$3)^(D62-1)*IF(D62&gt;$G$7,$J$2,1)</f>
        <v>242366</v>
      </c>
      <c r="Q62" s="10">
        <f>SUMPRODUCT(($M$7:$V$7&lt;=B62)*($M$7:$V$7+$M$8:$V$8&gt;B62)*$M$9:$V$9)*(1+$D$3)^(D62-1)</f>
        <v>0</v>
      </c>
      <c r="R62" s="10">
        <f>$J$3*(1+$D$3)^(D62-1)</f>
        <v>11017</v>
      </c>
      <c r="S62" s="10">
        <f>IF(D62&lt;=$J$5,$J$4*12,0)+IF(D62&lt;=$J$7,$J$6*12,0)+SUMPRODUCT(($M$22:$V$22&gt;=B62)*$M$21:$V$21)*12</f>
        <v>0</v>
      </c>
      <c r="T62" s="10">
        <f>SUM(P62:S62)</f>
        <v>253383</v>
      </c>
      <c r="U62" s="10">
        <f>($J$8+SUMPRODUCT(($M$19:$V$19=1)*($M$17:$V$17=B62)*$M$18:$V$18)+SUMPRODUCT(($M$19:$V$19=2)*($M$17:$V$17&lt;=B62)*$M$18:$V$18))*(1+$D$3)^(D62-1)</f>
        <v>22033</v>
      </c>
      <c r="V62" s="10">
        <f>T62+U62</f>
        <v>275416</v>
      </c>
      <c r="W62" s="10">
        <f>O62-V62</f>
        <v>-162332</v>
      </c>
      <c r="X62" s="10">
        <f>MAX(0,W62)</f>
        <v>0</v>
      </c>
      <c r="Y62" s="10">
        <f>X62</f>
        <v>0</v>
      </c>
      <c r="Z62" s="10">
        <f>SUMPRODUCT(($M$4:$V$4=B62)*($M$6:$V$6=1)*$M$5:$V$5)*(1+$D$3)^(D62-1)</f>
        <v>0</v>
      </c>
      <c r="AA62" s="10">
        <f>SUMPRODUCT(($M$4:$V$4=B62)*($M$6:$V$6=2)*$M$5:$V$5)*(1+$D$3)^(D62-1)</f>
        <v>0</v>
      </c>
      <c r="AB62" s="10">
        <f>SUMPRODUCT(($M$4:$V$4=B62)*($M$6:$V$6=3)*$M$5:$V$5)*(1+$D$3)^(D62-1)</f>
        <v>0</v>
      </c>
      <c r="AC62" s="10">
        <f>SUM(Z62:AB62)</f>
        <v>0</v>
      </c>
      <c r="AD62" s="10">
        <f>MIN(0,W62)</f>
        <v>-162332</v>
      </c>
      <c r="AE62" s="10">
        <f>-SUMIF($M$12:$V$12,B62,$M$13:$V$13)*(1+$D$3)^(D62-1)</f>
        <v>0</v>
      </c>
      <c r="AF62" s="10">
        <f>IF(B62=$M$14,-$M$15*(1+$D$3)^(D62-1),0)</f>
        <v>0</v>
      </c>
      <c r="AG62" s="10">
        <f>SUM(AD62:AF62)</f>
        <v>-162332</v>
      </c>
      <c r="AH62" s="10">
        <f>AK61</f>
        <v>415454</v>
      </c>
      <c r="AI62" s="10">
        <f>AH62*$D$7</f>
        <v>24927</v>
      </c>
      <c r="AJ62" s="10">
        <f>MAX(0,-(AH62+AI62+Y62+AC62+AG62))</f>
        <v>0</v>
      </c>
      <c r="AK62" s="10">
        <f>AH62+AI62+Y62+AC62+AG62+AJ62</f>
        <v>278049</v>
      </c>
      <c r="AL62" s="10">
        <f>AK62/(1+$D$3)^D62</f>
        <v>72875</v>
      </c>
      <c r="AM62" s="4">
        <f>IF(AH62&lt;=0,0,-AG62/AH62)</f>
        <v>0.39073440650757885</v>
      </c>
    </row>
    <row r="63">
      <c r="B63" s="9">
        <f>B62+1</f>
        <v>2061</v>
      </c>
      <c r="C63" s="9">
        <f>C62+1</f>
        <v>81</v>
      </c>
      <c r="D63" s="9">
        <f>D62+1</f>
        <v>36</v>
      </c>
      <c r="E63" t="str">
        <f>IF(D63&lt;=$G$7,"Acumulación","Retiro")</f>
        <v>Retiro</v>
      </c>
      <c r="F63" s="10">
        <f>IF(D63&lt;=$G$8,$G$1*12*(1+$D$3)^(D63-1),0)</f>
        <v>0</v>
      </c>
      <c r="G63" s="10">
        <f>IF(AND($G$2&gt;0,D63&gt;=$G$3),$G$2*12*(1+$D$3)^(D63-1),0)</f>
        <v>50872</v>
      </c>
      <c r="H63" s="10">
        <f>SUMPRODUCT(($M$11:$V$11&gt;=B63)*$M$10:$V$10)*12*(1+$D$3)^(D63-1)</f>
        <v>0</v>
      </c>
      <c r="I63" s="10">
        <f>IF(AND($G$4&gt;0,D63&gt;=$G$6),$G$4*12*(1+$D$3)^($G$6-1)*(1+$D$4)^(D63-$G$6),0)</f>
        <v>51748</v>
      </c>
      <c r="J63" s="10">
        <f>'Fondos de pensión'!T54</f>
        <v>12885</v>
      </c>
      <c r="K63" s="10">
        <f>SUM(F63:J63)</f>
        <v>115506</v>
      </c>
      <c r="L63" s="10">
        <f>SUMIF($M$2:$V$2,B63,$M$3:$V$3)*(1+$D$3)^(D63-1)</f>
        <v>0</v>
      </c>
      <c r="M63" s="10">
        <f>'Fondos de pensión'!S54</f>
        <v>0</v>
      </c>
      <c r="N63" s="10">
        <f>SUM(L63:M63)</f>
        <v>0</v>
      </c>
      <c r="O63" s="10">
        <f>K63+N63</f>
        <v>115506</v>
      </c>
      <c r="P63" s="10">
        <f>$J$1*12*(1+$D$3)^(D63-1)*IF(D63&gt;$G$7,$J$2,1)</f>
        <v>251819</v>
      </c>
      <c r="Q63" s="10">
        <f>SUMPRODUCT(($M$7:$V$7&lt;=B63)*($M$7:$V$7+$M$8:$V$8&gt;B63)*$M$9:$V$9)*(1+$D$3)^(D63-1)</f>
        <v>0</v>
      </c>
      <c r="R63" s="10">
        <f>$J$3*(1+$D$3)^(D63-1)</f>
        <v>11446</v>
      </c>
      <c r="S63" s="10">
        <f>IF(D63&lt;=$J$5,$J$4*12,0)+IF(D63&lt;=$J$7,$J$6*12,0)+SUMPRODUCT(($M$22:$V$22&gt;=B63)*$M$21:$V$21)*12</f>
        <v>0</v>
      </c>
      <c r="T63" s="10">
        <f>SUM(P63:S63)</f>
        <v>263265</v>
      </c>
      <c r="U63" s="10">
        <f>($J$8+SUMPRODUCT(($M$19:$V$19=1)*($M$17:$V$17=B63)*$M$18:$V$18)+SUMPRODUCT(($M$19:$V$19=2)*($M$17:$V$17&lt;=B63)*$M$18:$V$18))*(1+$D$3)^(D63-1)</f>
        <v>22893</v>
      </c>
      <c r="V63" s="10">
        <f>T63+U63</f>
        <v>286158</v>
      </c>
      <c r="W63" s="10">
        <f>O63-V63</f>
        <v>-170651</v>
      </c>
      <c r="X63" s="10">
        <f>MAX(0,W63)</f>
        <v>0</v>
      </c>
      <c r="Y63" s="10">
        <f>X63</f>
        <v>0</v>
      </c>
      <c r="Z63" s="10">
        <f>SUMPRODUCT(($M$4:$V$4=B63)*($M$6:$V$6=1)*$M$5:$V$5)*(1+$D$3)^(D63-1)</f>
        <v>0</v>
      </c>
      <c r="AA63" s="10">
        <f>SUMPRODUCT(($M$4:$V$4=B63)*($M$6:$V$6=2)*$M$5:$V$5)*(1+$D$3)^(D63-1)</f>
        <v>0</v>
      </c>
      <c r="AB63" s="10">
        <f>SUMPRODUCT(($M$4:$V$4=B63)*($M$6:$V$6=3)*$M$5:$V$5)*(1+$D$3)^(D63-1)</f>
        <v>0</v>
      </c>
      <c r="AC63" s="10">
        <f>SUM(Z63:AB63)</f>
        <v>0</v>
      </c>
      <c r="AD63" s="10">
        <f>MIN(0,W63)</f>
        <v>-170651</v>
      </c>
      <c r="AE63" s="10">
        <f>-SUMIF($M$12:$V$12,B63,$M$13:$V$13)*(1+$D$3)^(D63-1)</f>
        <v>0</v>
      </c>
      <c r="AF63" s="10">
        <f>IF(B63=$M$14,-$M$15*(1+$D$3)^(D63-1),0)</f>
        <v>0</v>
      </c>
      <c r="AG63" s="10">
        <f>SUM(AD63:AF63)</f>
        <v>-170651</v>
      </c>
      <c r="AH63" s="10">
        <f>AK62</f>
        <v>278049</v>
      </c>
      <c r="AI63" s="10">
        <f>AH63*$D$7</f>
        <v>16683</v>
      </c>
      <c r="AJ63" s="10">
        <f>MAX(0,-(AH63+AI63+Y63+AC63+AG63))</f>
        <v>0</v>
      </c>
      <c r="AK63" s="10">
        <f>AH63+AI63+Y63+AC63+AG63+AJ63</f>
        <v>124080</v>
      </c>
      <c r="AL63" s="10">
        <f>AK63/(1+$D$3)^D63</f>
        <v>31300</v>
      </c>
      <c r="AM63" s="4">
        <f>IF(AH63&lt;=0,0,-AG63/AH63)</f>
        <v>0.6137460036249177</v>
      </c>
    </row>
    <row r="64">
      <c r="B64" s="9">
        <f>B63+1</f>
        <v>2062</v>
      </c>
      <c r="C64" s="9">
        <f>C63+1</f>
        <v>82</v>
      </c>
      <c r="D64" s="9">
        <f>D63+1</f>
        <v>37</v>
      </c>
      <c r="E64" t="str">
        <f>IF(D64&lt;=$G$7,"Acumulación","Retiro")</f>
        <v>Retiro</v>
      </c>
      <c r="F64" s="10">
        <f>IF(D64&lt;=$G$8,$G$1*12*(1+$D$3)^(D64-1),0)</f>
        <v>0</v>
      </c>
      <c r="G64" s="10">
        <f>IF(AND($G$2&gt;0,D64&gt;=$G$3),$G$2*12*(1+$D$3)^(D64-1),0)</f>
        <v>52857</v>
      </c>
      <c r="H64" s="10">
        <f>SUMPRODUCT(($M$11:$V$11&gt;=B64)*$M$10:$V$10)*12*(1+$D$3)^(D64-1)</f>
        <v>0</v>
      </c>
      <c r="I64" s="10">
        <f>IF(AND($G$4&gt;0,D64&gt;=$G$6),$G$4*12*(1+$D$3)^($G$6-1)*(1+$D$4)^(D64-$G$6),0)</f>
        <v>52266</v>
      </c>
      <c r="J64" s="10">
        <f>'Fondos de pensión'!T55</f>
        <v>12885</v>
      </c>
      <c r="K64" s="10">
        <f>SUM(F64:J64)</f>
        <v>118008</v>
      </c>
      <c r="L64" s="10">
        <f>SUMIF($M$2:$V$2,B64,$M$3:$V$3)*(1+$D$3)^(D64-1)</f>
        <v>0</v>
      </c>
      <c r="M64" s="10">
        <f>'Fondos de pensión'!S55</f>
        <v>0</v>
      </c>
      <c r="N64" s="10">
        <f>SUM(L64:M64)</f>
        <v>0</v>
      </c>
      <c r="O64" s="10">
        <f>K64+N64</f>
        <v>118008</v>
      </c>
      <c r="P64" s="10">
        <f>$J$1*12*(1+$D$3)^(D64-1)*IF(D64&gt;$G$7,$J$2,1)</f>
        <v>261640</v>
      </c>
      <c r="Q64" s="10">
        <f>SUMPRODUCT(($M$7:$V$7&lt;=B64)*($M$7:$V$7+$M$8:$V$8&gt;B64)*$M$9:$V$9)*(1+$D$3)^(D64-1)</f>
        <v>0</v>
      </c>
      <c r="R64" s="10">
        <f>$J$3*(1+$D$3)^(D64-1)</f>
        <v>11893</v>
      </c>
      <c r="S64" s="10">
        <f>IF(D64&lt;=$J$5,$J$4*12,0)+IF(D64&lt;=$J$7,$J$6*12,0)+SUMPRODUCT(($M$22:$V$22&gt;=B64)*$M$21:$V$21)*12</f>
        <v>0</v>
      </c>
      <c r="T64" s="10">
        <f>SUM(P64:S64)</f>
        <v>273532</v>
      </c>
      <c r="U64" s="10">
        <f>($J$8+SUMPRODUCT(($M$19:$V$19=1)*($M$17:$V$17=B64)*$M$18:$V$18)+SUMPRODUCT(($M$19:$V$19=2)*($M$17:$V$17&lt;=B64)*$M$18:$V$18))*(1+$D$3)^(D64-1)</f>
        <v>23785</v>
      </c>
      <c r="V64" s="10">
        <f>T64+U64</f>
        <v>297318</v>
      </c>
      <c r="W64" s="10">
        <f>O64-V64</f>
        <v>-179310</v>
      </c>
      <c r="X64" s="10">
        <f>MAX(0,W64)</f>
        <v>0</v>
      </c>
      <c r="Y64" s="10">
        <f>X64</f>
        <v>0</v>
      </c>
      <c r="Z64" s="10">
        <f>SUMPRODUCT(($M$4:$V$4=B64)*($M$6:$V$6=1)*$M$5:$V$5)*(1+$D$3)^(D64-1)</f>
        <v>0</v>
      </c>
      <c r="AA64" s="10">
        <f>SUMPRODUCT(($M$4:$V$4=B64)*($M$6:$V$6=2)*$M$5:$V$5)*(1+$D$3)^(D64-1)</f>
        <v>0</v>
      </c>
      <c r="AB64" s="10">
        <f>SUMPRODUCT(($M$4:$V$4=B64)*($M$6:$V$6=3)*$M$5:$V$5)*(1+$D$3)^(D64-1)</f>
        <v>0</v>
      </c>
      <c r="AC64" s="10">
        <f>SUM(Z64:AB64)</f>
        <v>0</v>
      </c>
      <c r="AD64" s="10">
        <f>MIN(0,W64)</f>
        <v>-179310</v>
      </c>
      <c r="AE64" s="10">
        <f>-SUMIF($M$12:$V$12,B64,$M$13:$V$13)*(1+$D$3)^(D64-1)</f>
        <v>0</v>
      </c>
      <c r="AF64" s="10">
        <f>IF(B64=$M$14,-$M$15*(1+$D$3)^(D64-1),0)</f>
        <v>0</v>
      </c>
      <c r="AG64" s="10">
        <f>SUM(AD64:AF64)</f>
        <v>-179310</v>
      </c>
      <c r="AH64" s="10">
        <f>AK63</f>
        <v>124080</v>
      </c>
      <c r="AI64" s="10">
        <f>AH64*$D$7</f>
        <v>7445</v>
      </c>
      <c r="AJ64" s="10">
        <f>MAX(0,-(AH64+AI64+Y64+AC64+AG64))</f>
        <v>47785</v>
      </c>
      <c r="AK64" s="10">
        <f>AH64+AI64+Y64+AC64+AG64+AJ64</f>
        <v>0</v>
      </c>
      <c r="AL64" s="10">
        <f>AK64/(1+$D$3)^D64</f>
        <v>0</v>
      </c>
      <c r="AM64" s="4">
        <f>IF(AH64&lt;=0,0,-AG64/AH64)</f>
        <v>1.4451113392993433</v>
      </c>
    </row>
    <row r="65">
      <c r="B65" s="9">
        <f>B64+1</f>
        <v>2063</v>
      </c>
      <c r="C65" s="9">
        <f>C64+1</f>
        <v>83</v>
      </c>
      <c r="D65" s="9">
        <f>D64+1</f>
        <v>38</v>
      </c>
      <c r="E65" t="str">
        <f>IF(D65&lt;=$G$7,"Acumulación","Retiro")</f>
        <v>Retiro</v>
      </c>
      <c r="F65" s="10">
        <f>IF(D65&lt;=$G$8,$G$1*12*(1+$D$3)^(D65-1),0)</f>
        <v>0</v>
      </c>
      <c r="G65" s="10">
        <f>IF(AND($G$2&gt;0,D65&gt;=$G$3),$G$2*12*(1+$D$3)^(D65-1),0)</f>
        <v>54918</v>
      </c>
      <c r="H65" s="10">
        <f>SUMPRODUCT(($M$11:$V$11&gt;=B65)*$M$10:$V$10)*12*(1+$D$3)^(D65-1)</f>
        <v>0</v>
      </c>
      <c r="I65" s="10">
        <f>IF(AND($G$4&gt;0,D65&gt;=$G$6),$G$4*12*(1+$D$3)^($G$6-1)*(1+$D$4)^(D65-$G$6),0)</f>
        <v>52788</v>
      </c>
      <c r="J65" s="10">
        <f>'Fondos de pensión'!T56</f>
        <v>12885</v>
      </c>
      <c r="K65" s="10">
        <f>SUM(F65:J65)</f>
        <v>120592</v>
      </c>
      <c r="L65" s="10">
        <f>SUMIF($M$2:$V$2,B65,$M$3:$V$3)*(1+$D$3)^(D65-1)</f>
        <v>0</v>
      </c>
      <c r="M65" s="10">
        <f>'Fondos de pensión'!S56</f>
        <v>0</v>
      </c>
      <c r="N65" s="10">
        <f>SUM(L65:M65)</f>
        <v>0</v>
      </c>
      <c r="O65" s="10">
        <f>K65+N65</f>
        <v>120592</v>
      </c>
      <c r="P65" s="10">
        <f>$J$1*12*(1+$D$3)^(D65-1)*IF(D65&gt;$G$7,$J$2,1)</f>
        <v>271844</v>
      </c>
      <c r="Q65" s="10">
        <f>SUMPRODUCT(($M$7:$V$7&lt;=B65)*($M$7:$V$7+$M$8:$V$8&gt;B65)*$M$9:$V$9)*(1+$D$3)^(D65-1)</f>
        <v>0</v>
      </c>
      <c r="R65" s="10">
        <f>$J$3*(1+$D$3)^(D65-1)</f>
        <v>12357</v>
      </c>
      <c r="S65" s="10">
        <f>IF(D65&lt;=$J$5,$J$4*12,0)+IF(D65&lt;=$J$7,$J$6*12,0)+SUMPRODUCT(($M$22:$V$22&gt;=B65)*$M$21:$V$21)*12</f>
        <v>0</v>
      </c>
      <c r="T65" s="10">
        <f>SUM(P65:S65)</f>
        <v>284200</v>
      </c>
      <c r="U65" s="10">
        <f>($J$8+SUMPRODUCT(($M$19:$V$19=1)*($M$17:$V$17=B65)*$M$18:$V$18)+SUMPRODUCT(($M$19:$V$19=2)*($M$17:$V$17&lt;=B65)*$M$18:$V$18))*(1+$D$3)^(D65-1)</f>
        <v>24713</v>
      </c>
      <c r="V65" s="10">
        <f>T65+U65</f>
        <v>308913</v>
      </c>
      <c r="W65" s="10">
        <f>O65-V65</f>
        <v>-188321</v>
      </c>
      <c r="X65" s="10">
        <f>MAX(0,W65)</f>
        <v>0</v>
      </c>
      <c r="Y65" s="10">
        <f>X65</f>
        <v>0</v>
      </c>
      <c r="Z65" s="10">
        <f>SUMPRODUCT(($M$4:$V$4=B65)*($M$6:$V$6=1)*$M$5:$V$5)*(1+$D$3)^(D65-1)</f>
        <v>0</v>
      </c>
      <c r="AA65" s="10">
        <f>SUMPRODUCT(($M$4:$V$4=B65)*($M$6:$V$6=2)*$M$5:$V$5)*(1+$D$3)^(D65-1)</f>
        <v>0</v>
      </c>
      <c r="AB65" s="10">
        <f>SUMPRODUCT(($M$4:$V$4=B65)*($M$6:$V$6=3)*$M$5:$V$5)*(1+$D$3)^(D65-1)</f>
        <v>0</v>
      </c>
      <c r="AC65" s="10">
        <f>SUM(Z65:AB65)</f>
        <v>0</v>
      </c>
      <c r="AD65" s="10">
        <f>MIN(0,W65)</f>
        <v>-188321</v>
      </c>
      <c r="AE65" s="10">
        <f>-SUMIF($M$12:$V$12,B65,$M$13:$V$13)*(1+$D$3)^(D65-1)</f>
        <v>0</v>
      </c>
      <c r="AF65" s="10">
        <f>IF(B65=$M$14,-$M$15*(1+$D$3)^(D65-1),0)</f>
        <v>0</v>
      </c>
      <c r="AG65" s="10">
        <f>SUM(AD65:AF65)</f>
        <v>-188321</v>
      </c>
      <c r="AH65" s="10">
        <f>AK64</f>
        <v>0</v>
      </c>
      <c r="AI65" s="10">
        <f>AH65*$D$7</f>
        <v>0</v>
      </c>
      <c r="AJ65" s="10">
        <f>MAX(0,-(AH65+AI65+Y65+AC65+AG65))</f>
        <v>188321</v>
      </c>
      <c r="AK65" s="10">
        <f>AH65+AI65+Y65+AC65+AG65+AJ65</f>
        <v>0</v>
      </c>
      <c r="AL65" s="10">
        <f>AK65/(1+$D$3)^D65</f>
        <v>0</v>
      </c>
      <c r="AM65" s="4">
        <f>IF(AH65&lt;=0,0,-AG65/AH65)</f>
        <v>0</v>
      </c>
    </row>
    <row r="66">
      <c r="B66" s="9">
        <f>B65+1</f>
        <v>2064</v>
      </c>
      <c r="C66" s="9">
        <f>C65+1</f>
        <v>84</v>
      </c>
      <c r="D66" s="9">
        <f>D65+1</f>
        <v>39</v>
      </c>
      <c r="E66" t="str">
        <f>IF(D66&lt;=$G$7,"Acumulación","Retiro")</f>
        <v>Retiro</v>
      </c>
      <c r="F66" s="10">
        <f>IF(D66&lt;=$G$8,$G$1*12*(1+$D$3)^(D66-1),0)</f>
        <v>0</v>
      </c>
      <c r="G66" s="10">
        <f>IF(AND($G$2&gt;0,D66&gt;=$G$3),$G$2*12*(1+$D$3)^(D66-1),0)</f>
        <v>57060</v>
      </c>
      <c r="H66" s="10">
        <f>SUMPRODUCT(($M$11:$V$11&gt;=B66)*$M$10:$V$10)*12*(1+$D$3)^(D66-1)</f>
        <v>0</v>
      </c>
      <c r="I66" s="10">
        <f>IF(AND($G$4&gt;0,D66&gt;=$G$6),$G$4*12*(1+$D$3)^($G$6-1)*(1+$D$4)^(D66-$G$6),0)</f>
        <v>53316</v>
      </c>
      <c r="J66" s="10">
        <f>'Fondos de pensión'!T57</f>
        <v>12885</v>
      </c>
      <c r="K66" s="10">
        <f>SUM(F66:J66)</f>
        <v>123262</v>
      </c>
      <c r="L66" s="10">
        <f>SUMIF($M$2:$V$2,B66,$M$3:$V$3)*(1+$D$3)^(D66-1)</f>
        <v>0</v>
      </c>
      <c r="M66" s="10">
        <f>'Fondos de pensión'!S57</f>
        <v>0</v>
      </c>
      <c r="N66" s="10">
        <f>SUM(L66:M66)</f>
        <v>0</v>
      </c>
      <c r="O66" s="10">
        <f>K66+N66</f>
        <v>123262</v>
      </c>
      <c r="P66" s="10">
        <f>$J$1*12*(1+$D$3)^(D66-1)*IF(D66&gt;$G$7,$J$2,1)</f>
        <v>282446</v>
      </c>
      <c r="Q66" s="10">
        <f>SUMPRODUCT(($M$7:$V$7&lt;=B66)*($M$7:$V$7+$M$8:$V$8&gt;B66)*$M$9:$V$9)*(1+$D$3)^(D66-1)</f>
        <v>0</v>
      </c>
      <c r="R66" s="10">
        <f>$J$3*(1+$D$3)^(D66-1)</f>
        <v>12838</v>
      </c>
      <c r="S66" s="10">
        <f>IF(D66&lt;=$J$5,$J$4*12,0)+IF(D66&lt;=$J$7,$J$6*12,0)+SUMPRODUCT(($M$22:$V$22&gt;=B66)*$M$21:$V$21)*12</f>
        <v>0</v>
      </c>
      <c r="T66" s="10">
        <f>SUM(P66:S66)</f>
        <v>295284</v>
      </c>
      <c r="U66" s="10">
        <f>($J$8+SUMPRODUCT(($M$19:$V$19=1)*($M$17:$V$17=B66)*$M$18:$V$18)+SUMPRODUCT(($M$19:$V$19=2)*($M$17:$V$17&lt;=B66)*$M$18:$V$18))*(1+$D$3)^(D66-1)</f>
        <v>25677</v>
      </c>
      <c r="V66" s="10">
        <f>T66+U66</f>
        <v>320961</v>
      </c>
      <c r="W66" s="10">
        <f>O66-V66</f>
        <v>-197699</v>
      </c>
      <c r="X66" s="10">
        <f>MAX(0,W66)</f>
        <v>0</v>
      </c>
      <c r="Y66" s="10">
        <f>X66</f>
        <v>0</v>
      </c>
      <c r="Z66" s="10">
        <f>SUMPRODUCT(($M$4:$V$4=B66)*($M$6:$V$6=1)*$M$5:$V$5)*(1+$D$3)^(D66-1)</f>
        <v>0</v>
      </c>
      <c r="AA66" s="10">
        <f>SUMPRODUCT(($M$4:$V$4=B66)*($M$6:$V$6=2)*$M$5:$V$5)*(1+$D$3)^(D66-1)</f>
        <v>0</v>
      </c>
      <c r="AB66" s="10">
        <f>SUMPRODUCT(($M$4:$V$4=B66)*($M$6:$V$6=3)*$M$5:$V$5)*(1+$D$3)^(D66-1)</f>
        <v>0</v>
      </c>
      <c r="AC66" s="10">
        <f>SUM(Z66:AB66)</f>
        <v>0</v>
      </c>
      <c r="AD66" s="10">
        <f>MIN(0,W66)</f>
        <v>-197699</v>
      </c>
      <c r="AE66" s="10">
        <f>-SUMIF($M$12:$V$12,B66,$M$13:$V$13)*(1+$D$3)^(D66-1)</f>
        <v>0</v>
      </c>
      <c r="AF66" s="10">
        <f>IF(B66=$M$14,-$M$15*(1+$D$3)^(D66-1),0)</f>
        <v>0</v>
      </c>
      <c r="AG66" s="10">
        <f>SUM(AD66:AF66)</f>
        <v>-197699</v>
      </c>
      <c r="AH66" s="10">
        <f>AK65</f>
        <v>0</v>
      </c>
      <c r="AI66" s="10">
        <f>AH66*$D$7</f>
        <v>0</v>
      </c>
      <c r="AJ66" s="10">
        <f>MAX(0,-(AH66+AI66+Y66+AC66+AG66))</f>
        <v>197699</v>
      </c>
      <c r="AK66" s="10">
        <f>AH66+AI66+Y66+AC66+AG66+AJ66</f>
        <v>0</v>
      </c>
      <c r="AL66" s="10">
        <f>AK66/(1+$D$3)^D66</f>
        <v>0</v>
      </c>
      <c r="AM66" s="4">
        <f>IF(AH66&lt;=0,0,-AG66/AH66)</f>
        <v>0</v>
      </c>
    </row>
    <row r="67">
      <c r="B67" s="9">
        <f>B66+1</f>
        <v>2065</v>
      </c>
      <c r="C67" s="9">
        <f>C66+1</f>
        <v>85</v>
      </c>
      <c r="D67" s="9">
        <f>D66+1</f>
        <v>40</v>
      </c>
      <c r="E67" t="str">
        <f>IF(D67&lt;=$G$7,"Acumulación","Retiro")</f>
        <v>Retiro</v>
      </c>
      <c r="F67" s="10">
        <f>IF(D67&lt;=$G$8,$G$1*12*(1+$D$3)^(D67-1),0)</f>
        <v>0</v>
      </c>
      <c r="G67" s="10">
        <f>IF(AND($G$2&gt;0,D67&gt;=$G$3),$G$2*12*(1+$D$3)^(D67-1),0)</f>
        <v>59285</v>
      </c>
      <c r="H67" s="10">
        <f>SUMPRODUCT(($M$11:$V$11&gt;=B67)*$M$10:$V$10)*12*(1+$D$3)^(D67-1)</f>
        <v>0</v>
      </c>
      <c r="I67" s="10">
        <f>IF(AND($G$4&gt;0,D67&gt;=$G$6),$G$4*12*(1+$D$3)^($G$6-1)*(1+$D$4)^(D67-$G$6),0)</f>
        <v>53849</v>
      </c>
      <c r="J67" s="10">
        <f>'Fondos de pensión'!T58</f>
        <v>12885</v>
      </c>
      <c r="K67" s="10">
        <f>SUM(F67:J67)</f>
        <v>126020</v>
      </c>
      <c r="L67" s="10">
        <f>SUMIF($M$2:$V$2,B67,$M$3:$V$3)*(1+$D$3)^(D67-1)</f>
        <v>0</v>
      </c>
      <c r="M67" s="10">
        <f>'Fondos de pensión'!S58</f>
        <v>0</v>
      </c>
      <c r="N67" s="10">
        <f>SUM(L67:M67)</f>
        <v>0</v>
      </c>
      <c r="O67" s="10">
        <f>K67+N67</f>
        <v>126020</v>
      </c>
      <c r="P67" s="10">
        <f>$J$1*12*(1+$D$3)^(D67-1)*IF(D67&gt;$G$7,$J$2,1)</f>
        <v>293461</v>
      </c>
      <c r="Q67" s="10">
        <f>SUMPRODUCT(($M$7:$V$7&lt;=B67)*($M$7:$V$7+$M$8:$V$8&gt;B67)*$M$9:$V$9)*(1+$D$3)^(D67-1)</f>
        <v>0</v>
      </c>
      <c r="R67" s="10">
        <f>$J$3*(1+$D$3)^(D67-1)</f>
        <v>13339</v>
      </c>
      <c r="S67" s="10">
        <f>IF(D67&lt;=$J$5,$J$4*12,0)+IF(D67&lt;=$J$7,$J$6*12,0)+SUMPRODUCT(($M$22:$V$22&gt;=B67)*$M$21:$V$21)*12</f>
        <v>0</v>
      </c>
      <c r="T67" s="10">
        <f>SUM(P67:S67)</f>
        <v>306800</v>
      </c>
      <c r="U67" s="10">
        <f>($J$8+SUMPRODUCT(($M$19:$V$19=1)*($M$17:$V$17=B67)*$M$18:$V$18)+SUMPRODUCT(($M$19:$V$19=2)*($M$17:$V$17&lt;=B67)*$M$18:$V$18))*(1+$D$3)^(D67-1)</f>
        <v>26678</v>
      </c>
      <c r="V67" s="10">
        <f>T67+U67</f>
        <v>333478</v>
      </c>
      <c r="W67" s="10">
        <f>O67-V67</f>
        <v>-207458</v>
      </c>
      <c r="X67" s="10">
        <f>MAX(0,W67)</f>
        <v>0</v>
      </c>
      <c r="Y67" s="10">
        <f>X67</f>
        <v>0</v>
      </c>
      <c r="Z67" s="10">
        <f>SUMPRODUCT(($M$4:$V$4=B67)*($M$6:$V$6=1)*$M$5:$V$5)*(1+$D$3)^(D67-1)</f>
        <v>0</v>
      </c>
      <c r="AA67" s="10">
        <f>SUMPRODUCT(($M$4:$V$4=B67)*($M$6:$V$6=2)*$M$5:$V$5)*(1+$D$3)^(D67-1)</f>
        <v>0</v>
      </c>
      <c r="AB67" s="10">
        <f>SUMPRODUCT(($M$4:$V$4=B67)*($M$6:$V$6=3)*$M$5:$V$5)*(1+$D$3)^(D67-1)</f>
        <v>0</v>
      </c>
      <c r="AC67" s="10">
        <f>SUM(Z67:AB67)</f>
        <v>0</v>
      </c>
      <c r="AD67" s="10">
        <f>MIN(0,W67)</f>
        <v>-207458</v>
      </c>
      <c r="AE67" s="10">
        <f>-SUMIF($M$12:$V$12,B67,$M$13:$V$13)*(1+$D$3)^(D67-1)</f>
        <v>0</v>
      </c>
      <c r="AF67" s="10">
        <f>IF(B67=$M$14,-$M$15*(1+$D$3)^(D67-1),0)</f>
        <v>0</v>
      </c>
      <c r="AG67" s="10">
        <f>SUM(AD67:AF67)</f>
        <v>-207458</v>
      </c>
      <c r="AH67" s="10">
        <f>AK66</f>
        <v>0</v>
      </c>
      <c r="AI67" s="10">
        <f>AH67*$D$7</f>
        <v>0</v>
      </c>
      <c r="AJ67" s="10">
        <f>MAX(0,-(AH67+AI67+Y67+AC67+AG67))</f>
        <v>207458</v>
      </c>
      <c r="AK67" s="10">
        <f>AH67+AI67+Y67+AC67+AG67+AJ67</f>
        <v>0</v>
      </c>
      <c r="AL67" s="10">
        <f>AK67/(1+$D$3)^D67</f>
        <v>0</v>
      </c>
      <c r="AM67" s="4">
        <f>IF(AH67&lt;=0,0,-AG67/AH67)</f>
        <v>0</v>
      </c>
    </row>
    <row r="68">
      <c r="B68" s="9">
        <f>B67+1</f>
        <v>2066</v>
      </c>
      <c r="C68" s="9">
        <f>C67+1</f>
        <v>86</v>
      </c>
      <c r="D68" s="9">
        <f>D67+1</f>
        <v>41</v>
      </c>
      <c r="E68" t="str">
        <f>IF(D68&lt;=$G$7,"Acumulación","Retiro")</f>
        <v>Retiro</v>
      </c>
      <c r="F68" s="10">
        <f>IF(D68&lt;=$G$8,$G$1*12*(1+$D$3)^(D68-1),0)</f>
        <v>0</v>
      </c>
      <c r="G68" s="10">
        <f>IF(AND($G$2&gt;0,D68&gt;=$G$3),$G$2*12*(1+$D$3)^(D68-1),0)</f>
        <v>61597</v>
      </c>
      <c r="H68" s="10">
        <f>SUMPRODUCT(($M$11:$V$11&gt;=B68)*$M$10:$V$10)*12*(1+$D$3)^(D68-1)</f>
        <v>0</v>
      </c>
      <c r="I68" s="10">
        <f>IF(AND($G$4&gt;0,D68&gt;=$G$6),$G$4*12*(1+$D$3)^($G$6-1)*(1+$D$4)^(D68-$G$6),0)</f>
        <v>54388</v>
      </c>
      <c r="J68" s="10">
        <f>'Fondos de pensión'!T59</f>
        <v>12885</v>
      </c>
      <c r="K68" s="10">
        <f>SUM(F68:J68)</f>
        <v>128871</v>
      </c>
      <c r="L68" s="10">
        <f>SUMIF($M$2:$V$2,B68,$M$3:$V$3)*(1+$D$3)^(D68-1)</f>
        <v>0</v>
      </c>
      <c r="M68" s="10">
        <f>'Fondos de pensión'!S59</f>
        <v>0</v>
      </c>
      <c r="N68" s="10">
        <f>SUM(L68:M68)</f>
        <v>0</v>
      </c>
      <c r="O68" s="10">
        <f>K68+N68</f>
        <v>128871</v>
      </c>
      <c r="P68" s="10">
        <f>$J$1*12*(1+$D$3)^(D68-1)*IF(D68&gt;$G$7,$J$2,1)</f>
        <v>304906</v>
      </c>
      <c r="Q68" s="10">
        <f>SUMPRODUCT(($M$7:$V$7&lt;=B68)*($M$7:$V$7+$M$8:$V$8&gt;B68)*$M$9:$V$9)*(1+$D$3)^(D68-1)</f>
        <v>0</v>
      </c>
      <c r="R68" s="10">
        <f>$J$3*(1+$D$3)^(D68-1)</f>
        <v>13859</v>
      </c>
      <c r="S68" s="10">
        <f>IF(D68&lt;=$J$5,$J$4*12,0)+IF(D68&lt;=$J$7,$J$6*12,0)+SUMPRODUCT(($M$22:$V$22&gt;=B68)*$M$21:$V$21)*12</f>
        <v>0</v>
      </c>
      <c r="T68" s="10">
        <f>SUM(P68:S68)</f>
        <v>318765</v>
      </c>
      <c r="U68" s="10">
        <f>($J$8+SUMPRODUCT(($M$19:$V$19=1)*($M$17:$V$17=B68)*$M$18:$V$18)+SUMPRODUCT(($M$19:$V$19=2)*($M$17:$V$17&lt;=B68)*$M$18:$V$18))*(1+$D$3)^(D68-1)</f>
        <v>27719</v>
      </c>
      <c r="V68" s="10">
        <f>T68+U68</f>
        <v>346484</v>
      </c>
      <c r="W68" s="10">
        <f>O68-V68</f>
        <v>-217613</v>
      </c>
      <c r="X68" s="10">
        <f>MAX(0,W68)</f>
        <v>0</v>
      </c>
      <c r="Y68" s="10">
        <f>X68</f>
        <v>0</v>
      </c>
      <c r="Z68" s="10">
        <f>SUMPRODUCT(($M$4:$V$4=B68)*($M$6:$V$6=1)*$M$5:$V$5)*(1+$D$3)^(D68-1)</f>
        <v>0</v>
      </c>
      <c r="AA68" s="10">
        <f>SUMPRODUCT(($M$4:$V$4=B68)*($M$6:$V$6=2)*$M$5:$V$5)*(1+$D$3)^(D68-1)</f>
        <v>0</v>
      </c>
      <c r="AB68" s="10">
        <f>SUMPRODUCT(($M$4:$V$4=B68)*($M$6:$V$6=3)*$M$5:$V$5)*(1+$D$3)^(D68-1)</f>
        <v>0</v>
      </c>
      <c r="AC68" s="10">
        <f>SUM(Z68:AB68)</f>
        <v>0</v>
      </c>
      <c r="AD68" s="10">
        <f>MIN(0,W68)</f>
        <v>-217613</v>
      </c>
      <c r="AE68" s="10">
        <f>-SUMIF($M$12:$V$12,B68,$M$13:$V$13)*(1+$D$3)^(D68-1)</f>
        <v>0</v>
      </c>
      <c r="AF68" s="10">
        <f>IF(B68=$M$14,-$M$15*(1+$D$3)^(D68-1),0)</f>
        <v>0</v>
      </c>
      <c r="AG68" s="10">
        <f>SUM(AD68:AF68)</f>
        <v>-217613</v>
      </c>
      <c r="AH68" s="10">
        <f>AK67</f>
        <v>0</v>
      </c>
      <c r="AI68" s="10">
        <f>AH68*$D$7</f>
        <v>0</v>
      </c>
      <c r="AJ68" s="10">
        <f>MAX(0,-(AH68+AI68+Y68+AC68+AG68))</f>
        <v>217613</v>
      </c>
      <c r="AK68" s="10">
        <f>AH68+AI68+Y68+AC68+AG68+AJ68</f>
        <v>0</v>
      </c>
      <c r="AL68" s="10">
        <f>AK68/(1+$D$3)^D68</f>
        <v>0</v>
      </c>
      <c r="AM68" s="4">
        <f>IF(AH68&lt;=0,0,-AG68/AH68)</f>
        <v>0</v>
      </c>
    </row>
    <row r="69">
      <c r="B69" s="9">
        <f>B68+1</f>
        <v>2067</v>
      </c>
      <c r="C69" s="9">
        <f>C68+1</f>
        <v>87</v>
      </c>
      <c r="D69" s="9">
        <f>D68+1</f>
        <v>42</v>
      </c>
      <c r="E69" t="str">
        <f>IF(D69&lt;=$G$7,"Acumulación","Retiro")</f>
        <v>Retiro</v>
      </c>
      <c r="F69" s="10">
        <f>IF(D69&lt;=$G$8,$G$1*12*(1+$D$3)^(D69-1),0)</f>
        <v>0</v>
      </c>
      <c r="G69" s="10">
        <f>IF(AND($G$2&gt;0,D69&gt;=$G$3),$G$2*12*(1+$D$3)^(D69-1),0)</f>
        <v>63999</v>
      </c>
      <c r="H69" s="10">
        <f>SUMPRODUCT(($M$11:$V$11&gt;=B69)*$M$10:$V$10)*12*(1+$D$3)^(D69-1)</f>
        <v>0</v>
      </c>
      <c r="I69" s="10">
        <f>IF(AND($G$4&gt;0,D69&gt;=$G$6),$G$4*12*(1+$D$3)^($G$6-1)*(1+$D$4)^(D69-$G$6),0)</f>
        <v>54932</v>
      </c>
      <c r="J69" s="10">
        <f>'Fondos de pensión'!T60</f>
        <v>12885</v>
      </c>
      <c r="K69" s="10">
        <f>SUM(F69:J69)</f>
        <v>131817</v>
      </c>
      <c r="L69" s="10">
        <f>SUMIF($M$2:$V$2,B69,$M$3:$V$3)*(1+$D$3)^(D69-1)</f>
        <v>0</v>
      </c>
      <c r="M69" s="10">
        <f>'Fondos de pensión'!S60</f>
        <v>0</v>
      </c>
      <c r="N69" s="10">
        <f>SUM(L69:M69)</f>
        <v>0</v>
      </c>
      <c r="O69" s="10">
        <f>K69+N69</f>
        <v>131817</v>
      </c>
      <c r="P69" s="10">
        <f>$J$1*12*(1+$D$3)^(D69-1)*IF(D69&gt;$G$7,$J$2,1)</f>
        <v>316797</v>
      </c>
      <c r="Q69" s="10">
        <f>SUMPRODUCT(($M$7:$V$7&lt;=B69)*($M$7:$V$7+$M$8:$V$8&gt;B69)*$M$9:$V$9)*(1+$D$3)^(D69-1)</f>
        <v>0</v>
      </c>
      <c r="R69" s="10">
        <f>$J$3*(1+$D$3)^(D69-1)</f>
        <v>14400</v>
      </c>
      <c r="S69" s="10">
        <f>IF(D69&lt;=$J$5,$J$4*12,0)+IF(D69&lt;=$J$7,$J$6*12,0)+SUMPRODUCT(($M$22:$V$22&gt;=B69)*$M$21:$V$21)*12</f>
        <v>0</v>
      </c>
      <c r="T69" s="10">
        <f>SUM(P69:S69)</f>
        <v>331197</v>
      </c>
      <c r="U69" s="10">
        <f>($J$8+SUMPRODUCT(($M$19:$V$19=1)*($M$17:$V$17=B69)*$M$18:$V$18)+SUMPRODUCT(($M$19:$V$19=2)*($M$17:$V$17&lt;=B69)*$M$18:$V$18))*(1+$D$3)^(D69-1)</f>
        <v>28800</v>
      </c>
      <c r="V69" s="10">
        <f>T69+U69</f>
        <v>359997</v>
      </c>
      <c r="W69" s="10">
        <f>O69-V69</f>
        <v>-228180</v>
      </c>
      <c r="X69" s="10">
        <f>MAX(0,W69)</f>
        <v>0</v>
      </c>
      <c r="Y69" s="10">
        <f>X69</f>
        <v>0</v>
      </c>
      <c r="Z69" s="10">
        <f>SUMPRODUCT(($M$4:$V$4=B69)*($M$6:$V$6=1)*$M$5:$V$5)*(1+$D$3)^(D69-1)</f>
        <v>0</v>
      </c>
      <c r="AA69" s="10">
        <f>SUMPRODUCT(($M$4:$V$4=B69)*($M$6:$V$6=2)*$M$5:$V$5)*(1+$D$3)^(D69-1)</f>
        <v>0</v>
      </c>
      <c r="AB69" s="10">
        <f>SUMPRODUCT(($M$4:$V$4=B69)*($M$6:$V$6=3)*$M$5:$V$5)*(1+$D$3)^(D69-1)</f>
        <v>0</v>
      </c>
      <c r="AC69" s="10">
        <f>SUM(Z69:AB69)</f>
        <v>0</v>
      </c>
      <c r="AD69" s="10">
        <f>MIN(0,W69)</f>
        <v>-228180</v>
      </c>
      <c r="AE69" s="10">
        <f>-SUMIF($M$12:$V$12,B69,$M$13:$V$13)*(1+$D$3)^(D69-1)</f>
        <v>0</v>
      </c>
      <c r="AF69" s="10">
        <f>IF(B69=$M$14,-$M$15*(1+$D$3)^(D69-1),0)</f>
        <v>0</v>
      </c>
      <c r="AG69" s="10">
        <f>SUM(AD69:AF69)</f>
        <v>-228180</v>
      </c>
      <c r="AH69" s="10">
        <f>AK68</f>
        <v>0</v>
      </c>
      <c r="AI69" s="10">
        <f>AH69*$D$7</f>
        <v>0</v>
      </c>
      <c r="AJ69" s="10">
        <f>MAX(0,-(AH69+AI69+Y69+AC69+AG69))</f>
        <v>228180</v>
      </c>
      <c r="AK69" s="10">
        <f>AH69+AI69+Y69+AC69+AG69+AJ69</f>
        <v>0</v>
      </c>
      <c r="AL69" s="10">
        <f>AK69/(1+$D$3)^D69</f>
        <v>0</v>
      </c>
      <c r="AM69" s="4">
        <f>IF(AH69&lt;=0,0,-AG69/AH69)</f>
        <v>0</v>
      </c>
    </row>
    <row r="70">
      <c r="B70" s="9">
        <f>B69+1</f>
        <v>2068</v>
      </c>
      <c r="C70" s="9">
        <f>C69+1</f>
        <v>88</v>
      </c>
      <c r="D70" s="9">
        <f>D69+1</f>
        <v>43</v>
      </c>
      <c r="E70" t="str">
        <f>IF(D70&lt;=$G$7,"Acumulación","Retiro")</f>
        <v>Retiro</v>
      </c>
      <c r="F70" s="10">
        <f>IF(D70&lt;=$G$8,$G$1*12*(1+$D$3)^(D70-1),0)</f>
        <v>0</v>
      </c>
      <c r="G70" s="10">
        <f>IF(AND($G$2&gt;0,D70&gt;=$G$3),$G$2*12*(1+$D$3)^(D70-1),0)</f>
        <v>66495</v>
      </c>
      <c r="H70" s="10">
        <f>SUMPRODUCT(($M$11:$V$11&gt;=B70)*$M$10:$V$10)*12*(1+$D$3)^(D70-1)</f>
        <v>0</v>
      </c>
      <c r="I70" s="10">
        <f>IF(AND($G$4&gt;0,D70&gt;=$G$6),$G$4*12*(1+$D$3)^($G$6-1)*(1+$D$4)^(D70-$G$6),0)</f>
        <v>55481</v>
      </c>
      <c r="J70" s="10">
        <f>'Fondos de pensión'!T61</f>
        <v>12885</v>
      </c>
      <c r="K70" s="10">
        <f>SUM(F70:J70)</f>
        <v>134862</v>
      </c>
      <c r="L70" s="10">
        <f>SUMIF($M$2:$V$2,B70,$M$3:$V$3)*(1+$D$3)^(D70-1)</f>
        <v>0</v>
      </c>
      <c r="M70" s="10">
        <f>'Fondos de pensión'!S61</f>
        <v>0</v>
      </c>
      <c r="N70" s="10">
        <f>SUM(L70:M70)</f>
        <v>0</v>
      </c>
      <c r="O70" s="10">
        <f>K70+N70</f>
        <v>134862</v>
      </c>
      <c r="P70" s="10">
        <f>$J$1*12*(1+$D$3)^(D70-1)*IF(D70&gt;$G$7,$J$2,1)</f>
        <v>329152</v>
      </c>
      <c r="Q70" s="10">
        <f>SUMPRODUCT(($M$7:$V$7&lt;=B70)*($M$7:$V$7+$M$8:$V$8&gt;B70)*$M$9:$V$9)*(1+$D$3)^(D70-1)</f>
        <v>0</v>
      </c>
      <c r="R70" s="10">
        <f>$J$3*(1+$D$3)^(D70-1)</f>
        <v>14961</v>
      </c>
      <c r="S70" s="10">
        <f>IF(D70&lt;=$J$5,$J$4*12,0)+IF(D70&lt;=$J$7,$J$6*12,0)+SUMPRODUCT(($M$22:$V$22&gt;=B70)*$M$21:$V$21)*12</f>
        <v>0</v>
      </c>
      <c r="T70" s="10">
        <f>SUM(P70:S70)</f>
        <v>344114</v>
      </c>
      <c r="U70" s="10">
        <f>($J$8+SUMPRODUCT(($M$19:$V$19=1)*($M$17:$V$17=B70)*$M$18:$V$18)+SUMPRODUCT(($M$19:$V$19=2)*($M$17:$V$17&lt;=B70)*$M$18:$V$18))*(1+$D$3)^(D70-1)</f>
        <v>29923</v>
      </c>
      <c r="V70" s="10">
        <f>T70+U70</f>
        <v>374037</v>
      </c>
      <c r="W70" s="10">
        <f>O70-V70</f>
        <v>-239175</v>
      </c>
      <c r="X70" s="10">
        <f>MAX(0,W70)</f>
        <v>0</v>
      </c>
      <c r="Y70" s="10">
        <f>X70</f>
        <v>0</v>
      </c>
      <c r="Z70" s="10">
        <f>SUMPRODUCT(($M$4:$V$4=B70)*($M$6:$V$6=1)*$M$5:$V$5)*(1+$D$3)^(D70-1)</f>
        <v>0</v>
      </c>
      <c r="AA70" s="10">
        <f>SUMPRODUCT(($M$4:$V$4=B70)*($M$6:$V$6=2)*$M$5:$V$5)*(1+$D$3)^(D70-1)</f>
        <v>0</v>
      </c>
      <c r="AB70" s="10">
        <f>SUMPRODUCT(($M$4:$V$4=B70)*($M$6:$V$6=3)*$M$5:$V$5)*(1+$D$3)^(D70-1)</f>
        <v>0</v>
      </c>
      <c r="AC70" s="10">
        <f>SUM(Z70:AB70)</f>
        <v>0</v>
      </c>
      <c r="AD70" s="10">
        <f>MIN(0,W70)</f>
        <v>-239175</v>
      </c>
      <c r="AE70" s="10">
        <f>-SUMIF($M$12:$V$12,B70,$M$13:$V$13)*(1+$D$3)^(D70-1)</f>
        <v>0</v>
      </c>
      <c r="AF70" s="10">
        <f>IF(B70=$M$14,-$M$15*(1+$D$3)^(D70-1),0)</f>
        <v>0</v>
      </c>
      <c r="AG70" s="10">
        <f>SUM(AD70:AF70)</f>
        <v>-239175</v>
      </c>
      <c r="AH70" s="10">
        <f>AK69</f>
        <v>0</v>
      </c>
      <c r="AI70" s="10">
        <f>AH70*$D$7</f>
        <v>0</v>
      </c>
      <c r="AJ70" s="10">
        <f>MAX(0,-(AH70+AI70+Y70+AC70+AG70))</f>
        <v>239175</v>
      </c>
      <c r="AK70" s="10">
        <f>AH70+AI70+Y70+AC70+AG70+AJ70</f>
        <v>0</v>
      </c>
      <c r="AL70" s="10">
        <f>AK70/(1+$D$3)^D70</f>
        <v>0</v>
      </c>
      <c r="AM70" s="4">
        <f>IF(AH70&lt;=0,0,-AG70/AH70)</f>
        <v>0</v>
      </c>
    </row>
    <row r="71">
      <c r="B71" s="9">
        <f>B70+1</f>
        <v>2069</v>
      </c>
      <c r="C71" s="9">
        <f>C70+1</f>
        <v>89</v>
      </c>
      <c r="D71" s="9">
        <f>D70+1</f>
        <v>44</v>
      </c>
      <c r="E71" t="str">
        <f>IF(D71&lt;=$G$7,"Acumulación","Retiro")</f>
        <v>Retiro</v>
      </c>
      <c r="F71" s="10">
        <f>IF(D71&lt;=$G$8,$G$1*12*(1+$D$3)^(D71-1),0)</f>
        <v>0</v>
      </c>
      <c r="G71" s="10">
        <f>IF(AND($G$2&gt;0,D71&gt;=$G$3),$G$2*12*(1+$D$3)^(D71-1),0)</f>
        <v>69089</v>
      </c>
      <c r="H71" s="10">
        <f>SUMPRODUCT(($M$11:$V$11&gt;=B71)*$M$10:$V$10)*12*(1+$D$3)^(D71-1)</f>
        <v>0</v>
      </c>
      <c r="I71" s="10">
        <f>IF(AND($G$4&gt;0,D71&gt;=$G$6),$G$4*12*(1+$D$3)^($G$6-1)*(1+$D$4)^(D71-$G$6),0)</f>
        <v>56036</v>
      </c>
      <c r="J71" s="10">
        <f>'Fondos de pensión'!T62</f>
        <v>12885</v>
      </c>
      <c r="K71" s="10">
        <f>SUM(F71:J71)</f>
        <v>138010</v>
      </c>
      <c r="L71" s="10">
        <f>SUMIF($M$2:$V$2,B71,$M$3:$V$3)*(1+$D$3)^(D71-1)</f>
        <v>0</v>
      </c>
      <c r="M71" s="10">
        <f>'Fondos de pensión'!S62</f>
        <v>0</v>
      </c>
      <c r="N71" s="10">
        <f>SUM(L71:M71)</f>
        <v>0</v>
      </c>
      <c r="O71" s="10">
        <f>K71+N71</f>
        <v>138010</v>
      </c>
      <c r="P71" s="10">
        <f>$J$1*12*(1+$D$3)^(D71-1)*IF(D71&gt;$G$7,$J$2,1)</f>
        <v>341989</v>
      </c>
      <c r="Q71" s="10">
        <f>SUMPRODUCT(($M$7:$V$7&lt;=B71)*($M$7:$V$7+$M$8:$V$8&gt;B71)*$M$9:$V$9)*(1+$D$3)^(D71-1)</f>
        <v>0</v>
      </c>
      <c r="R71" s="10">
        <f>$J$3*(1+$D$3)^(D71-1)</f>
        <v>15545</v>
      </c>
      <c r="S71" s="10">
        <f>IF(D71&lt;=$J$5,$J$4*12,0)+IF(D71&lt;=$J$7,$J$6*12,0)+SUMPRODUCT(($M$22:$V$22&gt;=B71)*$M$21:$V$21)*12</f>
        <v>0</v>
      </c>
      <c r="T71" s="10">
        <f>SUM(P71:S71)</f>
        <v>357534</v>
      </c>
      <c r="U71" s="10">
        <f>($J$8+SUMPRODUCT(($M$19:$V$19=1)*($M$17:$V$17=B71)*$M$18:$V$18)+SUMPRODUCT(($M$19:$V$19=2)*($M$17:$V$17&lt;=B71)*$M$18:$V$18))*(1+$D$3)^(D71-1)</f>
        <v>31090</v>
      </c>
      <c r="V71" s="10">
        <f>T71+U71</f>
        <v>388624</v>
      </c>
      <c r="W71" s="10">
        <f>O71-V71</f>
        <v>-250614</v>
      </c>
      <c r="X71" s="10">
        <f>MAX(0,W71)</f>
        <v>0</v>
      </c>
      <c r="Y71" s="10">
        <f>X71</f>
        <v>0</v>
      </c>
      <c r="Z71" s="10">
        <f>SUMPRODUCT(($M$4:$V$4=B71)*($M$6:$V$6=1)*$M$5:$V$5)*(1+$D$3)^(D71-1)</f>
        <v>0</v>
      </c>
      <c r="AA71" s="10">
        <f>SUMPRODUCT(($M$4:$V$4=B71)*($M$6:$V$6=2)*$M$5:$V$5)*(1+$D$3)^(D71-1)</f>
        <v>0</v>
      </c>
      <c r="AB71" s="10">
        <f>SUMPRODUCT(($M$4:$V$4=B71)*($M$6:$V$6=3)*$M$5:$V$5)*(1+$D$3)^(D71-1)</f>
        <v>0</v>
      </c>
      <c r="AC71" s="10">
        <f>SUM(Z71:AB71)</f>
        <v>0</v>
      </c>
      <c r="AD71" s="10">
        <f>MIN(0,W71)</f>
        <v>-250614</v>
      </c>
      <c r="AE71" s="10">
        <f>-SUMIF($M$12:$V$12,B71,$M$13:$V$13)*(1+$D$3)^(D71-1)</f>
        <v>0</v>
      </c>
      <c r="AF71" s="10">
        <f>IF(B71=$M$14,-$M$15*(1+$D$3)^(D71-1),0)</f>
        <v>0</v>
      </c>
      <c r="AG71" s="10">
        <f>SUM(AD71:AF71)</f>
        <v>-250614</v>
      </c>
      <c r="AH71" s="10">
        <f>AK70</f>
        <v>0</v>
      </c>
      <c r="AI71" s="10">
        <f>AH71*$D$7</f>
        <v>0</v>
      </c>
      <c r="AJ71" s="10">
        <f>MAX(0,-(AH71+AI71+Y71+AC71+AG71))</f>
        <v>250614</v>
      </c>
      <c r="AK71" s="10">
        <f>AH71+AI71+Y71+AC71+AG71+AJ71</f>
        <v>0</v>
      </c>
      <c r="AL71" s="10">
        <f>AK71/(1+$D$3)^D71</f>
        <v>0</v>
      </c>
      <c r="AM71" s="4">
        <f>IF(AH71&lt;=0,0,-AG71/AH71)</f>
        <v>0</v>
      </c>
    </row>
    <row r="72">
      <c r="B72" s="9">
        <f>B71+1</f>
        <v>2070</v>
      </c>
      <c r="C72" s="9">
        <f>C71+1</f>
        <v>90</v>
      </c>
      <c r="D72" s="9">
        <f>D71+1</f>
        <v>45</v>
      </c>
      <c r="E72" t="str">
        <f>IF(D72&lt;=$G$7,"Acumulación","Retiro")</f>
        <v>Retiro</v>
      </c>
      <c r="F72" s="10">
        <f>IF(D72&lt;=$G$8,$G$1*12*(1+$D$3)^(D72-1),0)</f>
        <v>0</v>
      </c>
      <c r="G72" s="10">
        <f>IF(AND($G$2&gt;0,D72&gt;=$G$3),$G$2*12*(1+$D$3)^(D72-1),0)</f>
        <v>71783</v>
      </c>
      <c r="H72" s="10">
        <f>SUMPRODUCT(($M$11:$V$11&gt;=B72)*$M$10:$V$10)*12*(1+$D$3)^(D72-1)</f>
        <v>0</v>
      </c>
      <c r="I72" s="10">
        <f>IF(AND($G$4&gt;0,D72&gt;=$G$6),$G$4*12*(1+$D$3)^($G$6-1)*(1+$D$4)^(D72-$G$6),0)</f>
        <v>56596</v>
      </c>
      <c r="J72" s="10">
        <f>'Fondos de pensión'!T63</f>
        <v>12885</v>
      </c>
      <c r="K72" s="10">
        <f>SUM(F72:J72)</f>
        <v>141265</v>
      </c>
      <c r="L72" s="10">
        <f>SUMIF($M$2:$V$2,B72,$M$3:$V$3)*(1+$D$3)^(D72-1)</f>
        <v>0</v>
      </c>
      <c r="M72" s="10">
        <f>'Fondos de pensión'!S63</f>
        <v>0</v>
      </c>
      <c r="N72" s="10">
        <f>SUM(L72:M72)</f>
        <v>0</v>
      </c>
      <c r="O72" s="10">
        <f>K72+N72</f>
        <v>141265</v>
      </c>
      <c r="P72" s="10">
        <f>$J$1*12*(1+$D$3)^(D72-1)*IF(D72&gt;$G$7,$J$2,1)</f>
        <v>355327</v>
      </c>
      <c r="Q72" s="10">
        <f>SUMPRODUCT(($M$7:$V$7&lt;=B72)*($M$7:$V$7+$M$8:$V$8&gt;B72)*$M$9:$V$9)*(1+$D$3)^(D72-1)</f>
        <v>0</v>
      </c>
      <c r="R72" s="10">
        <f>$J$3*(1+$D$3)^(D72-1)</f>
        <v>16151</v>
      </c>
      <c r="S72" s="10">
        <f>IF(D72&lt;=$J$5,$J$4*12,0)+IF(D72&lt;=$J$7,$J$6*12,0)+SUMPRODUCT(($M$22:$V$22&gt;=B72)*$M$21:$V$21)*12</f>
        <v>0</v>
      </c>
      <c r="T72" s="10">
        <f>SUM(P72:S72)</f>
        <v>371478</v>
      </c>
      <c r="U72" s="10">
        <f>($J$8+SUMPRODUCT(($M$19:$V$19=1)*($M$17:$V$17=B72)*$M$18:$V$18)+SUMPRODUCT(($M$19:$V$19=2)*($M$17:$V$17&lt;=B72)*$M$18:$V$18))*(1+$D$3)^(D72-1)</f>
        <v>32302</v>
      </c>
      <c r="V72" s="10">
        <f>T72+U72</f>
        <v>403781</v>
      </c>
      <c r="W72" s="10">
        <f>O72-V72</f>
        <v>-262515</v>
      </c>
      <c r="X72" s="10">
        <f>MAX(0,W72)</f>
        <v>0</v>
      </c>
      <c r="Y72" s="10">
        <f>X72</f>
        <v>0</v>
      </c>
      <c r="Z72" s="10">
        <f>SUMPRODUCT(($M$4:$V$4=B72)*($M$6:$V$6=1)*$M$5:$V$5)*(1+$D$3)^(D72-1)</f>
        <v>0</v>
      </c>
      <c r="AA72" s="10">
        <f>SUMPRODUCT(($M$4:$V$4=B72)*($M$6:$V$6=2)*$M$5:$V$5)*(1+$D$3)^(D72-1)</f>
        <v>0</v>
      </c>
      <c r="AB72" s="10">
        <f>SUMPRODUCT(($M$4:$V$4=B72)*($M$6:$V$6=3)*$M$5:$V$5)*(1+$D$3)^(D72-1)</f>
        <v>0</v>
      </c>
      <c r="AC72" s="10">
        <f>SUM(Z72:AB72)</f>
        <v>0</v>
      </c>
      <c r="AD72" s="10">
        <f>MIN(0,W72)</f>
        <v>-262515</v>
      </c>
      <c r="AE72" s="10">
        <f>-SUMIF($M$12:$V$12,B72,$M$13:$V$13)*(1+$D$3)^(D72-1)</f>
        <v>0</v>
      </c>
      <c r="AF72" s="10">
        <f>IF(B72=$M$14,-$M$15*(1+$D$3)^(D72-1),0)</f>
        <v>0</v>
      </c>
      <c r="AG72" s="10">
        <f>SUM(AD72:AF72)</f>
        <v>-262515</v>
      </c>
      <c r="AH72" s="10">
        <f>AK71</f>
        <v>0</v>
      </c>
      <c r="AI72" s="10">
        <f>AH72*$D$7</f>
        <v>0</v>
      </c>
      <c r="AJ72" s="10">
        <f>MAX(0,-(AH72+AI72+Y72+AC72+AG72))</f>
        <v>262515</v>
      </c>
      <c r="AK72" s="10">
        <f>AH72+AI72+Y72+AC72+AG72+AJ72</f>
        <v>0</v>
      </c>
      <c r="AL72" s="10">
        <f>AK72/(1+$D$3)^D72</f>
        <v>0</v>
      </c>
      <c r="AM72" s="4">
        <f>IF(AH72&lt;=0,0,-AG72/AH72)</f>
        <v>0</v>
      </c>
    </row>
    <row r="73">
      <c r="B73" s="9">
        <f>B72+1</f>
        <v>2071</v>
      </c>
      <c r="C73" s="9">
        <f>C72+1</f>
        <v>91</v>
      </c>
      <c r="D73" s="9">
        <f>D72+1</f>
        <v>46</v>
      </c>
      <c r="E73" t="str">
        <f>IF(D73&lt;=$G$7,"Acumulación","Retiro")</f>
        <v>Retiro</v>
      </c>
      <c r="F73" s="10">
        <f>IF(D73&lt;=$G$8,$G$1*12*(1+$D$3)^(D73-1),0)</f>
        <v>0</v>
      </c>
      <c r="G73" s="10">
        <f>IF(AND($G$2&gt;0,D73&gt;=$G$3),$G$2*12*(1+$D$3)^(D73-1),0)</f>
        <v>74583</v>
      </c>
      <c r="H73" s="10">
        <f>SUMPRODUCT(($M$11:$V$11&gt;=B73)*$M$10:$V$10)*12*(1+$D$3)^(D73-1)</f>
        <v>0</v>
      </c>
      <c r="I73" s="10">
        <f>IF(AND($G$4&gt;0,D73&gt;=$G$6),$G$4*12*(1+$D$3)^($G$6-1)*(1+$D$4)^(D73-$G$6),0)</f>
        <v>57162</v>
      </c>
      <c r="J73" s="10">
        <f>'Fondos de pensión'!T64</f>
        <v>12885</v>
      </c>
      <c r="K73" s="10">
        <f>SUM(F73:J73)</f>
        <v>144631</v>
      </c>
      <c r="L73" s="10">
        <f>SUMIF($M$2:$V$2,B73,$M$3:$V$3)*(1+$D$3)^(D73-1)</f>
        <v>0</v>
      </c>
      <c r="M73" s="10">
        <f>'Fondos de pensión'!S64</f>
        <v>0</v>
      </c>
      <c r="N73" s="10">
        <f>SUM(L73:M73)</f>
        <v>0</v>
      </c>
      <c r="O73" s="10">
        <f>K73+N73</f>
        <v>144631</v>
      </c>
      <c r="P73" s="10">
        <f>$J$1*12*(1+$D$3)^(D73-1)*IF(D73&gt;$G$7,$J$2,1)</f>
        <v>369185</v>
      </c>
      <c r="Q73" s="10">
        <f>SUMPRODUCT(($M$7:$V$7&lt;=B73)*($M$7:$V$7+$M$8:$V$8&gt;B73)*$M$9:$V$9)*(1+$D$3)^(D73-1)</f>
        <v>0</v>
      </c>
      <c r="R73" s="10">
        <f>$J$3*(1+$D$3)^(D73-1)</f>
        <v>16781</v>
      </c>
      <c r="S73" s="10">
        <f>IF(D73&lt;=$J$5,$J$4*12,0)+IF(D73&lt;=$J$7,$J$6*12,0)+SUMPRODUCT(($M$22:$V$22&gt;=B73)*$M$21:$V$21)*12</f>
        <v>0</v>
      </c>
      <c r="T73" s="10">
        <f>SUM(P73:S73)</f>
        <v>385966</v>
      </c>
      <c r="U73" s="10">
        <f>($J$8+SUMPRODUCT(($M$19:$V$19=1)*($M$17:$V$17=B73)*$M$18:$V$18)+SUMPRODUCT(($M$19:$V$19=2)*($M$17:$V$17&lt;=B73)*$M$18:$V$18))*(1+$D$3)^(D73-1)</f>
        <v>33562</v>
      </c>
      <c r="V73" s="10">
        <f>T73+U73</f>
        <v>419528</v>
      </c>
      <c r="W73" s="10">
        <f>O73-V73</f>
        <v>-274897</v>
      </c>
      <c r="X73" s="10">
        <f>MAX(0,W73)</f>
        <v>0</v>
      </c>
      <c r="Y73" s="10">
        <f>X73</f>
        <v>0</v>
      </c>
      <c r="Z73" s="10">
        <f>SUMPRODUCT(($M$4:$V$4=B73)*($M$6:$V$6=1)*$M$5:$V$5)*(1+$D$3)^(D73-1)</f>
        <v>0</v>
      </c>
      <c r="AA73" s="10">
        <f>SUMPRODUCT(($M$4:$V$4=B73)*($M$6:$V$6=2)*$M$5:$V$5)*(1+$D$3)^(D73-1)</f>
        <v>0</v>
      </c>
      <c r="AB73" s="10">
        <f>SUMPRODUCT(($M$4:$V$4=B73)*($M$6:$V$6=3)*$M$5:$V$5)*(1+$D$3)^(D73-1)</f>
        <v>0</v>
      </c>
      <c r="AC73" s="10">
        <f>SUM(Z73:AB73)</f>
        <v>0</v>
      </c>
      <c r="AD73" s="10">
        <f>MIN(0,W73)</f>
        <v>-274897</v>
      </c>
      <c r="AE73" s="10">
        <f>-SUMIF($M$12:$V$12,B73,$M$13:$V$13)*(1+$D$3)^(D73-1)</f>
        <v>0</v>
      </c>
      <c r="AF73" s="10">
        <f>IF(B73=$M$14,-$M$15*(1+$D$3)^(D73-1),0)</f>
        <v>0</v>
      </c>
      <c r="AG73" s="10">
        <f>SUM(AD73:AF73)</f>
        <v>-274897</v>
      </c>
      <c r="AH73" s="10">
        <f>AK72</f>
        <v>0</v>
      </c>
      <c r="AI73" s="10">
        <f>AH73*$D$7</f>
        <v>0</v>
      </c>
      <c r="AJ73" s="10">
        <f>MAX(0,-(AH73+AI73+Y73+AC73+AG73))</f>
        <v>274897</v>
      </c>
      <c r="AK73" s="10">
        <f>AH73+AI73+Y73+AC73+AG73+AJ73</f>
        <v>0</v>
      </c>
      <c r="AL73" s="10">
        <f>AK73/(1+$D$3)^D73</f>
        <v>0</v>
      </c>
      <c r="AM73" s="4">
        <f>IF(AH73&lt;=0,0,-AG73/AH73)</f>
        <v>0</v>
      </c>
    </row>
    <row r="74">
      <c r="B74" s="9">
        <f>B73+1</f>
        <v>2072</v>
      </c>
      <c r="C74" s="9">
        <f>C73+1</f>
        <v>92</v>
      </c>
      <c r="D74" s="9">
        <f>D73+1</f>
        <v>47</v>
      </c>
      <c r="E74" t="str">
        <f>IF(D74&lt;=$G$7,"Acumulación","Retiro")</f>
        <v>Retiro</v>
      </c>
      <c r="F74" s="10">
        <f>IF(D74&lt;=$G$8,$G$1*12*(1+$D$3)^(D74-1),0)</f>
        <v>0</v>
      </c>
      <c r="G74" s="10">
        <f>IF(AND($G$2&gt;0,D74&gt;=$G$3),$G$2*12*(1+$D$3)^(D74-1),0)</f>
        <v>77491</v>
      </c>
      <c r="H74" s="10">
        <f>SUMPRODUCT(($M$11:$V$11&gt;=B74)*$M$10:$V$10)*12*(1+$D$3)^(D74-1)</f>
        <v>0</v>
      </c>
      <c r="I74" s="10">
        <f>IF(AND($G$4&gt;0,D74&gt;=$G$6),$G$4*12*(1+$D$3)^($G$6-1)*(1+$D$4)^(D74-$G$6),0)</f>
        <v>57734</v>
      </c>
      <c r="J74" s="10">
        <f>'Fondos de pensión'!T65</f>
        <v>12885</v>
      </c>
      <c r="K74" s="10">
        <f>SUM(F74:J74)</f>
        <v>148111</v>
      </c>
      <c r="L74" s="10">
        <f>SUMIF($M$2:$V$2,B74,$M$3:$V$3)*(1+$D$3)^(D74-1)</f>
        <v>0</v>
      </c>
      <c r="M74" s="10">
        <f>'Fondos de pensión'!S65</f>
        <v>0</v>
      </c>
      <c r="N74" s="10">
        <f>SUM(L74:M74)</f>
        <v>0</v>
      </c>
      <c r="O74" s="10">
        <f>K74+N74</f>
        <v>148111</v>
      </c>
      <c r="P74" s="10">
        <f>$J$1*12*(1+$D$3)^(D74-1)*IF(D74&gt;$G$7,$J$2,1)</f>
        <v>383583</v>
      </c>
      <c r="Q74" s="10">
        <f>SUMPRODUCT(($M$7:$V$7&lt;=B74)*($M$7:$V$7+$M$8:$V$8&gt;B74)*$M$9:$V$9)*(1+$D$3)^(D74-1)</f>
        <v>0</v>
      </c>
      <c r="R74" s="10">
        <f>$J$3*(1+$D$3)^(D74-1)</f>
        <v>17436</v>
      </c>
      <c r="S74" s="10">
        <f>IF(D74&lt;=$J$5,$J$4*12,0)+IF(D74&lt;=$J$7,$J$6*12,0)+SUMPRODUCT(($M$22:$V$22&gt;=B74)*$M$21:$V$21)*12</f>
        <v>0</v>
      </c>
      <c r="T74" s="10">
        <f>SUM(P74:S74)</f>
        <v>401018</v>
      </c>
      <c r="U74" s="10">
        <f>($J$8+SUMPRODUCT(($M$19:$V$19=1)*($M$17:$V$17=B74)*$M$18:$V$18)+SUMPRODUCT(($M$19:$V$19=2)*($M$17:$V$17&lt;=B74)*$M$18:$V$18))*(1+$D$3)^(D74-1)</f>
        <v>34871</v>
      </c>
      <c r="V74" s="10">
        <f>T74+U74</f>
        <v>435890</v>
      </c>
      <c r="W74" s="10">
        <f>O74-V74</f>
        <v>-287779</v>
      </c>
      <c r="X74" s="10">
        <f>MAX(0,W74)</f>
        <v>0</v>
      </c>
      <c r="Y74" s="10">
        <f>X74</f>
        <v>0</v>
      </c>
      <c r="Z74" s="10">
        <f>SUMPRODUCT(($M$4:$V$4=B74)*($M$6:$V$6=1)*$M$5:$V$5)*(1+$D$3)^(D74-1)</f>
        <v>0</v>
      </c>
      <c r="AA74" s="10">
        <f>SUMPRODUCT(($M$4:$V$4=B74)*($M$6:$V$6=2)*$M$5:$V$5)*(1+$D$3)^(D74-1)</f>
        <v>0</v>
      </c>
      <c r="AB74" s="10">
        <f>SUMPRODUCT(($M$4:$V$4=B74)*($M$6:$V$6=3)*$M$5:$V$5)*(1+$D$3)^(D74-1)</f>
        <v>0</v>
      </c>
      <c r="AC74" s="10">
        <f>SUM(Z74:AB74)</f>
        <v>0</v>
      </c>
      <c r="AD74" s="10">
        <f>MIN(0,W74)</f>
        <v>-287779</v>
      </c>
      <c r="AE74" s="10">
        <f>-SUMIF($M$12:$V$12,B74,$M$13:$V$13)*(1+$D$3)^(D74-1)</f>
        <v>0</v>
      </c>
      <c r="AF74" s="10">
        <f>IF(B74=$M$14,-$M$15*(1+$D$3)^(D74-1),0)</f>
        <v>0</v>
      </c>
      <c r="AG74" s="10">
        <f>SUM(AD74:AF74)</f>
        <v>-287779</v>
      </c>
      <c r="AH74" s="10">
        <f>AK73</f>
        <v>0</v>
      </c>
      <c r="AI74" s="10">
        <f>AH74*$D$7</f>
        <v>0</v>
      </c>
      <c r="AJ74" s="10">
        <f>MAX(0,-(AH74+AI74+Y74+AC74+AG74))</f>
        <v>287779</v>
      </c>
      <c r="AK74" s="10">
        <f>AH74+AI74+Y74+AC74+AG74+AJ74</f>
        <v>0</v>
      </c>
      <c r="AL74" s="10">
        <f>AK74/(1+$D$3)^D74</f>
        <v>0</v>
      </c>
      <c r="AM74" s="4">
        <f>IF(AH74&lt;=0,0,-AG74/AH74)</f>
        <v>0</v>
      </c>
    </row>
    <row r="75">
      <c r="B75" s="9">
        <f>B74+1</f>
        <v>2073</v>
      </c>
      <c r="C75" s="9">
        <f>C74+1</f>
        <v>93</v>
      </c>
      <c r="D75" s="9">
        <f>D74+1</f>
        <v>48</v>
      </c>
      <c r="E75" t="str">
        <f>IF(D75&lt;=$G$7,"Acumulación","Retiro")</f>
        <v>Retiro</v>
      </c>
      <c r="F75" s="10">
        <f>IF(D75&lt;=$G$8,$G$1*12*(1+$D$3)^(D75-1),0)</f>
        <v>0</v>
      </c>
      <c r="G75" s="10">
        <f>IF(AND($G$2&gt;0,D75&gt;=$G$3),$G$2*12*(1+$D$3)^(D75-1),0)</f>
        <v>80514</v>
      </c>
      <c r="H75" s="10">
        <f>SUMPRODUCT(($M$11:$V$11&gt;=B75)*$M$10:$V$10)*12*(1+$D$3)^(D75-1)</f>
        <v>0</v>
      </c>
      <c r="I75" s="10">
        <f>IF(AND($G$4&gt;0,D75&gt;=$G$6),$G$4*12*(1+$D$3)^($G$6-1)*(1+$D$4)^(D75-$G$6),0)</f>
        <v>58311</v>
      </c>
      <c r="J75" s="10">
        <f>'Fondos de pensión'!T66</f>
        <v>12885</v>
      </c>
      <c r="K75" s="10">
        <f>SUM(F75:J75)</f>
        <v>151710</v>
      </c>
      <c r="L75" s="10">
        <f>SUMIF($M$2:$V$2,B75,$M$3:$V$3)*(1+$D$3)^(D75-1)</f>
        <v>0</v>
      </c>
      <c r="M75" s="10">
        <f>'Fondos de pensión'!S66</f>
        <v>0</v>
      </c>
      <c r="N75" s="10">
        <f>SUM(L75:M75)</f>
        <v>0</v>
      </c>
      <c r="O75" s="10">
        <f>K75+N75</f>
        <v>151710</v>
      </c>
      <c r="P75" s="10">
        <f>$J$1*12*(1+$D$3)^(D75-1)*IF(D75&gt;$G$7,$J$2,1)</f>
        <v>398543</v>
      </c>
      <c r="Q75" s="10">
        <f>SUMPRODUCT(($M$7:$V$7&lt;=B75)*($M$7:$V$7+$M$8:$V$8&gt;B75)*$M$9:$V$9)*(1+$D$3)^(D75-1)</f>
        <v>0</v>
      </c>
      <c r="R75" s="10">
        <f>$J$3*(1+$D$3)^(D75-1)</f>
        <v>18116</v>
      </c>
      <c r="S75" s="10">
        <f>IF(D75&lt;=$J$5,$J$4*12,0)+IF(D75&lt;=$J$7,$J$6*12,0)+SUMPRODUCT(($M$22:$V$22&gt;=B75)*$M$21:$V$21)*12</f>
        <v>0</v>
      </c>
      <c r="T75" s="10">
        <f>SUM(P75:S75)</f>
        <v>416658</v>
      </c>
      <c r="U75" s="10">
        <f>($J$8+SUMPRODUCT(($M$19:$V$19=1)*($M$17:$V$17=B75)*$M$18:$V$18)+SUMPRODUCT(($M$19:$V$19=2)*($M$17:$V$17&lt;=B75)*$M$18:$V$18))*(1+$D$3)^(D75-1)</f>
        <v>36231</v>
      </c>
      <c r="V75" s="10">
        <f>T75+U75</f>
        <v>452889</v>
      </c>
      <c r="W75" s="10">
        <f>O75-V75</f>
        <v>-301179</v>
      </c>
      <c r="X75" s="10">
        <f>MAX(0,W75)</f>
        <v>0</v>
      </c>
      <c r="Y75" s="10">
        <f>X75</f>
        <v>0</v>
      </c>
      <c r="Z75" s="10">
        <f>SUMPRODUCT(($M$4:$V$4=B75)*($M$6:$V$6=1)*$M$5:$V$5)*(1+$D$3)^(D75-1)</f>
        <v>0</v>
      </c>
      <c r="AA75" s="10">
        <f>SUMPRODUCT(($M$4:$V$4=B75)*($M$6:$V$6=2)*$M$5:$V$5)*(1+$D$3)^(D75-1)</f>
        <v>0</v>
      </c>
      <c r="AB75" s="10">
        <f>SUMPRODUCT(($M$4:$V$4=B75)*($M$6:$V$6=3)*$M$5:$V$5)*(1+$D$3)^(D75-1)</f>
        <v>0</v>
      </c>
      <c r="AC75" s="10">
        <f>SUM(Z75:AB75)</f>
        <v>0</v>
      </c>
      <c r="AD75" s="10">
        <f>MIN(0,W75)</f>
        <v>-301179</v>
      </c>
      <c r="AE75" s="10">
        <f>-SUMIF($M$12:$V$12,B75,$M$13:$V$13)*(1+$D$3)^(D75-1)</f>
        <v>0</v>
      </c>
      <c r="AF75" s="10">
        <f>IF(B75=$M$14,-$M$15*(1+$D$3)^(D75-1),0)</f>
        <v>0</v>
      </c>
      <c r="AG75" s="10">
        <f>SUM(AD75:AF75)</f>
        <v>-301179</v>
      </c>
      <c r="AH75" s="10">
        <f>AK74</f>
        <v>0</v>
      </c>
      <c r="AI75" s="10">
        <f>AH75*$D$7</f>
        <v>0</v>
      </c>
      <c r="AJ75" s="10">
        <f>MAX(0,-(AH75+AI75+Y75+AC75+AG75))</f>
        <v>301179</v>
      </c>
      <c r="AK75" s="10">
        <f>AH75+AI75+Y75+AC75+AG75+AJ75</f>
        <v>0</v>
      </c>
      <c r="AL75" s="10">
        <f>AK75/(1+$D$3)^D75</f>
        <v>0</v>
      </c>
      <c r="AM75" s="4">
        <f>IF(AH75&lt;=0,0,-AG75/AH75)</f>
        <v>0</v>
      </c>
    </row>
    <row r="76">
      <c r="B76" s="9">
        <f>B75+1</f>
        <v>2074</v>
      </c>
      <c r="C76" s="9">
        <f>C75+1</f>
        <v>94</v>
      </c>
      <c r="D76" s="9">
        <f>D75+1</f>
        <v>49</v>
      </c>
      <c r="E76" t="str">
        <f>IF(D76&lt;=$G$7,"Acumulación","Retiro")</f>
        <v>Retiro</v>
      </c>
      <c r="F76" s="10">
        <f>IF(D76&lt;=$G$8,$G$1*12*(1+$D$3)^(D76-1),0)</f>
        <v>0</v>
      </c>
      <c r="G76" s="10">
        <f>IF(AND($G$2&gt;0,D76&gt;=$G$3),$G$2*12*(1+$D$3)^(D76-1),0)</f>
        <v>83654</v>
      </c>
      <c r="H76" s="10">
        <f>SUMPRODUCT(($M$11:$V$11&gt;=B76)*$M$10:$V$10)*12*(1+$D$3)^(D76-1)</f>
        <v>0</v>
      </c>
      <c r="I76" s="10">
        <f>IF(AND($G$4&gt;0,D76&gt;=$G$6),$G$4*12*(1+$D$3)^($G$6-1)*(1+$D$4)^(D76-$G$6),0)</f>
        <v>58894</v>
      </c>
      <c r="J76" s="10">
        <f>'Fondos de pensión'!T67</f>
        <v>12885</v>
      </c>
      <c r="K76" s="10">
        <f>SUM(F76:J76)</f>
        <v>155434</v>
      </c>
      <c r="L76" s="10">
        <f>SUMIF($M$2:$V$2,B76,$M$3:$V$3)*(1+$D$3)^(D76-1)</f>
        <v>0</v>
      </c>
      <c r="M76" s="10">
        <f>'Fondos de pensión'!S67</f>
        <v>0</v>
      </c>
      <c r="N76" s="10">
        <f>SUM(L76:M76)</f>
        <v>0</v>
      </c>
      <c r="O76" s="10">
        <f>K76+N76</f>
        <v>155434</v>
      </c>
      <c r="P76" s="10">
        <f>$J$1*12*(1+$D$3)^(D76-1)*IF(D76&gt;$G$7,$J$2,1)</f>
        <v>414086</v>
      </c>
      <c r="Q76" s="10">
        <f>SUMPRODUCT(($M$7:$V$7&lt;=B76)*($M$7:$V$7+$M$8:$V$8&gt;B76)*$M$9:$V$9)*(1+$D$3)^(D76-1)</f>
        <v>0</v>
      </c>
      <c r="R76" s="10">
        <f>$J$3*(1+$D$3)^(D76-1)</f>
        <v>18822</v>
      </c>
      <c r="S76" s="10">
        <f>IF(D76&lt;=$J$5,$J$4*12,0)+IF(D76&lt;=$J$7,$J$6*12,0)+SUMPRODUCT(($M$22:$V$22&gt;=B76)*$M$21:$V$21)*12</f>
        <v>0</v>
      </c>
      <c r="T76" s="10">
        <f>SUM(P76:S76)</f>
        <v>432908</v>
      </c>
      <c r="U76" s="10">
        <f>($J$8+SUMPRODUCT(($M$19:$V$19=1)*($M$17:$V$17=B76)*$M$18:$V$18)+SUMPRODUCT(($M$19:$V$19=2)*($M$17:$V$17&lt;=B76)*$M$18:$V$18))*(1+$D$3)^(D76-1)</f>
        <v>37644</v>
      </c>
      <c r="V76" s="10">
        <f>T76+U76</f>
        <v>470552</v>
      </c>
      <c r="W76" s="10">
        <f>O76-V76</f>
        <v>-315118</v>
      </c>
      <c r="X76" s="10">
        <f>MAX(0,W76)</f>
        <v>0</v>
      </c>
      <c r="Y76" s="10">
        <f>X76</f>
        <v>0</v>
      </c>
      <c r="Z76" s="10">
        <f>SUMPRODUCT(($M$4:$V$4=B76)*($M$6:$V$6=1)*$M$5:$V$5)*(1+$D$3)^(D76-1)</f>
        <v>0</v>
      </c>
      <c r="AA76" s="10">
        <f>SUMPRODUCT(($M$4:$V$4=B76)*($M$6:$V$6=2)*$M$5:$V$5)*(1+$D$3)^(D76-1)</f>
        <v>0</v>
      </c>
      <c r="AB76" s="10">
        <f>SUMPRODUCT(($M$4:$V$4=B76)*($M$6:$V$6=3)*$M$5:$V$5)*(1+$D$3)^(D76-1)</f>
        <v>0</v>
      </c>
      <c r="AC76" s="10">
        <f>SUM(Z76:AB76)</f>
        <v>0</v>
      </c>
      <c r="AD76" s="10">
        <f>MIN(0,W76)</f>
        <v>-315118</v>
      </c>
      <c r="AE76" s="10">
        <f>-SUMIF($M$12:$V$12,B76,$M$13:$V$13)*(1+$D$3)^(D76-1)</f>
        <v>0</v>
      </c>
      <c r="AF76" s="10">
        <f>IF(B76=$M$14,-$M$15*(1+$D$3)^(D76-1),0)</f>
        <v>0</v>
      </c>
      <c r="AG76" s="10">
        <f>SUM(AD76:AF76)</f>
        <v>-315118</v>
      </c>
      <c r="AH76" s="10">
        <f>AK75</f>
        <v>0</v>
      </c>
      <c r="AI76" s="10">
        <f>AH76*$D$7</f>
        <v>0</v>
      </c>
      <c r="AJ76" s="10">
        <f>MAX(0,-(AH76+AI76+Y76+AC76+AG76))</f>
        <v>315118</v>
      </c>
      <c r="AK76" s="10">
        <f>AH76+AI76+Y76+AC76+AG76+AJ76</f>
        <v>0</v>
      </c>
      <c r="AL76" s="10">
        <f>AK76/(1+$D$3)^D76</f>
        <v>0</v>
      </c>
      <c r="AM76" s="4">
        <f>IF(AH76&lt;=0,0,-AG76/AH76)</f>
        <v>0</v>
      </c>
    </row>
    <row r="77">
      <c r="B77" s="9">
        <f>B76+1</f>
        <v>2075</v>
      </c>
      <c r="C77" s="9">
        <f>C76+1</f>
        <v>95</v>
      </c>
      <c r="D77" s="9">
        <f>D76+1</f>
        <v>50</v>
      </c>
      <c r="E77" t="str">
        <f>IF(D77&lt;=$G$7,"Acumulación","Retiro")</f>
        <v>Retiro</v>
      </c>
      <c r="F77" s="10">
        <f>IF(D77&lt;=$G$8,$G$1*12*(1+$D$3)^(D77-1),0)</f>
        <v>0</v>
      </c>
      <c r="G77" s="10">
        <f>IF(AND($G$2&gt;0,D77&gt;=$G$3),$G$2*12*(1+$D$3)^(D77-1),0)</f>
        <v>86916</v>
      </c>
      <c r="H77" s="10">
        <f>SUMPRODUCT(($M$11:$V$11&gt;=B77)*$M$10:$V$10)*12*(1+$D$3)^(D77-1)</f>
        <v>0</v>
      </c>
      <c r="I77" s="10">
        <f>IF(AND($G$4&gt;0,D77&gt;=$G$6),$G$4*12*(1+$D$3)^($G$6-1)*(1+$D$4)^(D77-$G$6),0)</f>
        <v>59483</v>
      </c>
      <c r="J77" s="10">
        <f>'Fondos de pensión'!T68</f>
        <v>12885</v>
      </c>
      <c r="K77" s="10">
        <f>SUM(F77:J77)</f>
        <v>159285</v>
      </c>
      <c r="L77" s="10">
        <f>SUMIF($M$2:$V$2,B77,$M$3:$V$3)*(1+$D$3)^(D77-1)</f>
        <v>0</v>
      </c>
      <c r="M77" s="10">
        <f>'Fondos de pensión'!S68</f>
        <v>0</v>
      </c>
      <c r="N77" s="10">
        <f>SUM(L77:M77)</f>
        <v>0</v>
      </c>
      <c r="O77" s="10">
        <f>K77+N77</f>
        <v>159285</v>
      </c>
      <c r="P77" s="10">
        <f>$J$1*12*(1+$D$3)^(D77-1)*IF(D77&gt;$G$7,$J$2,1)</f>
        <v>430235</v>
      </c>
      <c r="Q77" s="10">
        <f>SUMPRODUCT(($M$7:$V$7&lt;=B77)*($M$7:$V$7+$M$8:$V$8&gt;B77)*$M$9:$V$9)*(1+$D$3)^(D77-1)</f>
        <v>0</v>
      </c>
      <c r="R77" s="10">
        <f>$J$3*(1+$D$3)^(D77-1)</f>
        <v>19556</v>
      </c>
      <c r="S77" s="10">
        <f>IF(D77&lt;=$J$5,$J$4*12,0)+IF(D77&lt;=$J$7,$J$6*12,0)+SUMPRODUCT(($M$22:$V$22&gt;=B77)*$M$21:$V$21)*12</f>
        <v>0</v>
      </c>
      <c r="T77" s="10">
        <f>SUM(P77:S77)</f>
        <v>449791</v>
      </c>
      <c r="U77" s="10">
        <f>($J$8+SUMPRODUCT(($M$19:$V$19=1)*($M$17:$V$17=B77)*$M$18:$V$18)+SUMPRODUCT(($M$19:$V$19=2)*($M$17:$V$17&lt;=B77)*$M$18:$V$18))*(1+$D$3)^(D77-1)</f>
        <v>39112</v>
      </c>
      <c r="V77" s="10">
        <f>T77+U77</f>
        <v>488903</v>
      </c>
      <c r="W77" s="10">
        <f>O77-V77</f>
        <v>-329618</v>
      </c>
      <c r="X77" s="10">
        <f>MAX(0,W77)</f>
        <v>0</v>
      </c>
      <c r="Y77" s="10">
        <f>X77</f>
        <v>0</v>
      </c>
      <c r="Z77" s="10">
        <f>SUMPRODUCT(($M$4:$V$4=B77)*($M$6:$V$6=1)*$M$5:$V$5)*(1+$D$3)^(D77-1)</f>
        <v>0</v>
      </c>
      <c r="AA77" s="10">
        <f>SUMPRODUCT(($M$4:$V$4=B77)*($M$6:$V$6=2)*$M$5:$V$5)*(1+$D$3)^(D77-1)</f>
        <v>0</v>
      </c>
      <c r="AB77" s="10">
        <f>SUMPRODUCT(($M$4:$V$4=B77)*($M$6:$V$6=3)*$M$5:$V$5)*(1+$D$3)^(D77-1)</f>
        <v>0</v>
      </c>
      <c r="AC77" s="10">
        <f>SUM(Z77:AB77)</f>
        <v>0</v>
      </c>
      <c r="AD77" s="10">
        <f>MIN(0,W77)</f>
        <v>-329618</v>
      </c>
      <c r="AE77" s="10">
        <f>-SUMIF($M$12:$V$12,B77,$M$13:$V$13)*(1+$D$3)^(D77-1)</f>
        <v>0</v>
      </c>
      <c r="AF77" s="10">
        <f>IF(B77=$M$14,-$M$15*(1+$D$3)^(D77-1),0)</f>
        <v>0</v>
      </c>
      <c r="AG77" s="10">
        <f>SUM(AD77:AF77)</f>
        <v>-329618</v>
      </c>
      <c r="AH77" s="10">
        <f>AK76</f>
        <v>0</v>
      </c>
      <c r="AI77" s="10">
        <f>AH77*$D$7</f>
        <v>0</v>
      </c>
      <c r="AJ77" s="10">
        <f>MAX(0,-(AH77+AI77+Y77+AC77+AG77))</f>
        <v>329618</v>
      </c>
      <c r="AK77" s="10">
        <f>AH77+AI77+Y77+AC77+AG77+AJ77</f>
        <v>0</v>
      </c>
      <c r="AL77" s="10">
        <f>AK77/(1+$D$3)^D77</f>
        <v>0</v>
      </c>
      <c r="AM77" s="4">
        <f>IF(AH77&lt;=0,0,-AG77/AH77)</f>
        <v>0</v>
      </c>
    </row>
    <row r="80">
      <c r="K80" s="6" t="inlineStr">
        <is>
          <t>Resumen del plan (US$ nominales, toda la proyección)</t>
        </is>
      </c>
    </row>
    <row r="81">
      <c r="K81" s="1" t="inlineStr">
        <is>
          <t>Ingresos ordinarios</t>
        </is>
      </c>
      <c r="M81" s="10">
        <f>SUM(K28:K77)</f>
        <v>5290555</v>
      </c>
    </row>
    <row r="82">
      <c r="K82" s="1" t="inlineStr">
        <is>
          <t>Ingresos extraordinarios</t>
        </is>
      </c>
      <c r="M82" s="10">
        <f>SUM(N28:N77)</f>
        <v>437728</v>
      </c>
    </row>
    <row r="83">
      <c r="K83" s="1" t="inlineStr">
        <is>
          <t>Gastos ordinarios</t>
        </is>
      </c>
      <c r="M83" s="10">
        <f>-SUM(T28:T77)</f>
        <v>-10525660</v>
      </c>
    </row>
    <row r="84">
      <c r="K84" s="1" t="inlineStr">
        <is>
          <t>Gastos extraordinarios</t>
        </is>
      </c>
      <c r="M84" s="10">
        <f>-SUM(U28:U77)</f>
        <v>-922933</v>
      </c>
    </row>
    <row r="85">
      <c r="K85" s="1" t="inlineStr">
        <is>
          <t>Flujo neto</t>
        </is>
      </c>
      <c r="M85" s="10">
        <f>SUM(W28:W77)</f>
        <v>-5720310</v>
      </c>
    </row>
    <row r="86">
      <c r="K86" s="1" t="inlineStr">
        <is>
          <t>Capital inicial</t>
        </is>
      </c>
      <c r="M86" s="10">
        <f>AH28</f>
        <v>250000</v>
      </c>
    </row>
    <row r="87">
      <c r="K87" s="1" t="inlineStr">
        <is>
          <t>Inversiones (superávit invertido)</t>
        </is>
      </c>
      <c r="M87" s="10">
        <f>SUM(Y28:Y77)</f>
        <v>312352</v>
      </c>
    </row>
    <row r="88">
      <c r="K88" s="1" t="inlineStr">
        <is>
          <t>Desinversiones (venta de activos)</t>
        </is>
      </c>
      <c r="M88" s="10">
        <f>SUM(AC28:AC77)</f>
        <v>414012</v>
      </c>
    </row>
    <row r="89">
      <c r="K89" s="1" t="inlineStr">
        <is>
          <t>Retiros del portafolio</t>
        </is>
      </c>
      <c r="M89" s="10">
        <f>SUM(AG28:AG77)</f>
        <v>-6141635</v>
      </c>
    </row>
    <row r="90">
      <c r="K90" s="1" t="inlineStr">
        <is>
          <t>Rendimientos del portafolio</t>
        </is>
      </c>
      <c r="M90" s="10">
        <f>SUM(AI28:AI77)</f>
        <v>1817319</v>
      </c>
    </row>
    <row r="91">
      <c r="K91" s="1" t="inlineStr">
        <is>
          <t>Gasto no cubierto por el portafolio</t>
        </is>
      </c>
      <c r="M91" s="10">
        <f>SUM(AJ28:AJ77)</f>
        <v>3347953</v>
      </c>
    </row>
    <row r="92">
      <c r="K92" s="1" t="inlineStr">
        <is>
          <t>Saldo final nominal</t>
        </is>
      </c>
      <c r="M92" s="10">
        <f>M86+M87+M88+M89+M90+M91</f>
        <v>0</v>
      </c>
    </row>
    <row r="93">
      <c r="K93" s="1" t="inlineStr">
        <is>
          <t>Saldo final en dólares de hoy</t>
        </is>
      </c>
      <c r="M93" s="10">
        <f>AL77</f>
        <v>0</v>
      </c>
    </row>
    <row r="94">
      <c r="K94" s="1" t="inlineStr">
        <is>
          <t>Gasto no cubierto, en dólares de hoy</t>
        </is>
      </c>
      <c r="M94" s="10">
        <f>SUMPRODUCT(AJ28:AJ77/(1+$D$3)^D28:D77)</f>
        <v>615673</v>
      </c>
    </row>
    <row r="95">
      <c r="K95" s="1" t="inlineStr">
        <is>
          <t>Saldo del ROP al final (fuera del portafolio)</t>
        </is>
      </c>
      <c r="M95" s="10">
        <f>'Fondos de pensión'!H68</f>
        <v>54278</v>
      </c>
    </row>
    <row r="96">
      <c r="K96" s="1" t="inlineStr">
        <is>
          <t>Herencia deseada (US$ de hoy)</t>
        </is>
      </c>
      <c r="M96" s="10">
        <v>0</v>
      </c>
    </row>
    <row r="97">
      <c r="K97" s="1" t="inlineStr">
        <is>
          <t>Edad a la que se agota el portafolio</t>
        </is>
      </c>
      <c r="M97" s="9">
        <f>IF(M94&gt;0,SUMPRODUCT(MIN((AJ28:AJ77&gt;0)*C28:C77+(AJ28:AJ77&lt;=0)*1000)),"No se agota")</f>
        <v>82</v>
      </c>
    </row>
    <row r="98">
      <c r="K98" s="6" t="inlineStr">
        <is>
          <t>¿Alcanza el plan?</t>
        </is>
      </c>
      <c r="M98" s="6" t="str">
        <f>IF(AND(M94&lt;=0,M93&gt;=M96),"Sí alcanza","No alcanza")</f>
        <v>No alcanza</v>
      </c>
    </row>
    <row r="99">
      <c r="K99" t="inlineStr">
        <is>
          <t>Flujo neto = ingresos ordinarios + extraordinarios − gastos ordinarios − extraordinarios. El superávit se invierte en el portafolio (inversiones) y el déficit se retira de él. Las desinversiones (ventas de activos) entran al portafolio; las metas pagadas con el portafolio y el primer retiro salen de él. Alcanza cuando no queda gasto no cubierto y el saldo final en dólares de hoy cubre la herencia deseada.</t>
        </is>
      </c>
    </row>
  </sheetData>
  <mergeCells count="19">
    <mergeCell ref="K81:L81"/>
    <mergeCell ref="K82:L82"/>
    <mergeCell ref="K83:L83"/>
    <mergeCell ref="K84:L84"/>
    <mergeCell ref="K85:L85"/>
    <mergeCell ref="K86:L86"/>
    <mergeCell ref="K87:L87"/>
    <mergeCell ref="K88:L88"/>
    <mergeCell ref="K89:L89"/>
    <mergeCell ref="K90:L90"/>
    <mergeCell ref="K91:L91"/>
    <mergeCell ref="K92:L92"/>
    <mergeCell ref="K93:L93"/>
    <mergeCell ref="K94:L94"/>
    <mergeCell ref="K95:L95"/>
    <mergeCell ref="K96:L96"/>
    <mergeCell ref="K97:L97"/>
    <mergeCell ref="K98:L98"/>
    <mergeCell ref="K99:R99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Componente</t>
        </is>
      </c>
      <c r="V1" t="inlineStr">
        <is>
          <t>Cliente</t>
        </is>
      </c>
      <c r="W1" t="inlineStr">
        <is>
          <t>Capacidad financiera</t>
        </is>
      </c>
    </row>
    <row r="2">
      <c r="A2" t="inlineStr">
        <is>
          <t>Renta variable</t>
        </is>
      </c>
      <c r="B2" s="4">
        <v>0.4</v>
      </c>
      <c r="C2" s="4">
        <v>0.802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Perfil de riesgo</t>
        </is>
      </c>
      <c r="V2" s="8">
        <v>3.9</v>
      </c>
      <c r="W2" s="8">
        <v>3.1</v>
      </c>
    </row>
    <row r="3">
      <c r="A3" t="inlineStr">
        <is>
          <t>Renta fija</t>
        </is>
      </c>
      <c r="B3" s="4">
        <v>0.425</v>
      </c>
      <c r="C3" s="4">
        <v>0.14800000000000002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Ingresos totales</t>
        </is>
      </c>
      <c r="V3" s="8">
        <v>5</v>
      </c>
      <c r="W3" s="8">
        <v>3.1</v>
      </c>
    </row>
    <row r="4">
      <c r="A4" t="inlineStr">
        <is>
          <t>Efectivo</t>
        </is>
      </c>
      <c r="B4" s="4">
        <v>0.175</v>
      </c>
      <c r="C4" s="4">
        <v>0.05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Gastos totales</t>
        </is>
      </c>
      <c r="V4" s="8">
        <v>3.3</v>
      </c>
      <c r="W4" s="8">
        <v>3.1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Inversiones</t>
        </is>
      </c>
      <c r="V5" s="8">
        <v>6.7</v>
      </c>
      <c r="W5" s="8">
        <v>3.1</v>
      </c>
    </row>
    <row r="6">
      <c r="A6" t="inlineStr">
        <is>
          <t>Perfil de riesgo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Desinversiones</t>
        </is>
      </c>
      <c r="V6" s="8">
        <v>3.3</v>
      </c>
      <c r="W6" s="8">
        <v>3.1</v>
      </c>
    </row>
    <row r="7">
      <c r="A7" t="inlineStr">
        <is>
          <t>Cliente de ejemplo · Moderado conservador</t>
        </is>
      </c>
      <c r="B7" s="8">
        <v>3.09</v>
      </c>
      <c r="C7" s="8">
        <v>4.69</v>
      </c>
      <c r="E7" s="4">
        <v>0.060962</v>
      </c>
      <c r="F7" s="4">
        <v>0.05125</v>
      </c>
      <c r="H7" t="inlineStr">
        <is>
          <t>Cartera asignada</t>
        </is>
      </c>
      <c r="I7" s="4">
        <v>0.085777</v>
      </c>
      <c r="J7" s="4">
        <v>0.06</v>
      </c>
      <c r="U7" t="inlineStr">
        <is>
          <t>Tamaño del portafolio</t>
        </is>
      </c>
      <c r="V7" s="8">
        <v>0</v>
      </c>
      <c r="W7" s="8">
        <v>3.1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0.156271</v>
      </c>
      <c r="J8" s="4">
        <v>0.07577</v>
      </c>
      <c r="U8" t="inlineStr">
        <is>
          <t>Horizonte</t>
        </is>
      </c>
      <c r="V8" s="8">
        <v>0</v>
      </c>
      <c r="W8" s="8">
        <v>3.1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0.07577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0.156271</v>
      </c>
      <c r="J10" s="4">
        <v>0.07577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0.156271</v>
      </c>
      <c r="J11" s="4">
        <v>0</v>
      </c>
    </row>
    <row r="12">
      <c r="A12" t="inlineStr">
        <is>
          <t>Moderado agresivo</t>
        </is>
      </c>
      <c r="B12">
        <v>7</v>
      </c>
      <c r="C12">
        <v>7</v>
      </c>
      <c r="E12" s="4">
        <v>0.063951</v>
      </c>
      <c r="F12" s="4">
        <v>0.0525</v>
      </c>
    </row>
    <row r="13">
      <c r="A13" t="inlineStr">
        <is>
          <t>Agresivo</t>
        </is>
      </c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18" topLeftCell="A19" activePane="bottomLeft" state="frozen"/>
    </sheetView>
  </sheetViews>
  <cols>
    <col width="2" customWidth="1" min="1" max="1"/>
    <col width="34" customWidth="1" min="2" max="2"/>
    <col width="16" customWidth="1" min="3" max="3"/>
    <col width="16" customWidth="1" min="4" max="4"/>
    <col width="22" customWidth="1" min="5" max="5"/>
    <col width="16" customWidth="1" min="6" max="6"/>
    <col width="10" customWidth="1" min="7" max="7"/>
    <col width="4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>
      <c r="B4" s="6" t="inlineStr">
        <is>
          <t>Supuestos</t>
        </is>
      </c>
    </row>
    <row r="5">
      <c r="B5" s="1" t="inlineStr">
        <is>
          <t>Rendimiento anual de los fondos</t>
        </is>
      </c>
      <c r="E5" s="4">
        <v>0.06</v>
      </c>
    </row>
    <row r="6">
      <c r="B6" s="1" t="inlineStr">
        <is>
          <t>Crecimiento anual de los aportes (inflación)</t>
        </is>
      </c>
      <c r="E6" s="4">
        <f>'Proyección'!$D$3</f>
        <v>0.039</v>
      </c>
    </row>
    <row r="7">
      <c r="B7" s="1" t="inlineStr">
        <is>
          <t>Años de aportes, hasta la independencia financiera</t>
        </is>
      </c>
      <c r="E7" s="9">
        <v>14</v>
      </c>
    </row>
    <row r="8">
      <c r="B8" s="1" t="inlineStr">
        <is>
          <t>Período de la independencia financiera</t>
        </is>
      </c>
      <c r="E8" s="9">
        <f>E7+1</f>
        <v>15</v>
      </c>
    </row>
    <row r="9">
      <c r="B9" s="1" t="inlineStr">
        <is>
          <t>Edad actual del cliente</t>
        </is>
      </c>
      <c r="E9" s="9">
        <f>'Proyección'!$C$28</f>
        <v>46</v>
      </c>
    </row>
    <row r="11" ht="34" customHeight="1">
      <c r="B11" s="5" t="inlineStr">
        <is>
          <t>Fondo</t>
        </is>
      </c>
      <c r="C11" s="5" t="inlineStr">
        <is>
          <t>Saldo actual (US$)</t>
        </is>
      </c>
      <c r="D11" s="5" t="inlineStr">
        <is>
          <t>Aporte mensual (US$)</t>
        </is>
      </c>
      <c r="E11" s="5" t="inlineStr">
        <is>
          <t>Origen del aporte</t>
        </is>
      </c>
      <c r="F11" s="5" t="inlineStr">
        <is>
          <t>Período de traslado o de inicio de la pensión</t>
        </is>
      </c>
      <c r="G11" s="5" t="inlineStr">
        <is>
          <t>Año</t>
        </is>
      </c>
      <c r="H11" s="5" t="inlineStr">
        <is>
          <t>Regla de la ley</t>
        </is>
      </c>
      <c r="I11" s="5" t="inlineStr">
        <is>
          <t>Edad final de la renta</t>
        </is>
      </c>
      <c r="J11" s="5" t="inlineStr">
        <is>
          <t>Aportes acumulados</t>
        </is>
      </c>
      <c r="K11" s="5" t="inlineStr">
        <is>
          <t>Rendimientos acumulados</t>
        </is>
      </c>
      <c r="L11" s="5" t="inlineStr">
        <is>
          <t>Trasladado al portafolio</t>
        </is>
      </c>
      <c r="M11" s="5" t="inlineStr">
        <is>
          <t>Pensión del ROP pagada</t>
        </is>
      </c>
    </row>
    <row r="12">
      <c r="B12" s="1" t="inlineStr">
        <is>
          <t>ROP</t>
        </is>
      </c>
      <c r="C12" s="10">
        <f>12000000/'Proyección'!$D$1</f>
        <v>26666.666666666668</v>
      </c>
      <c r="D12" s="10">
        <f>'Proyección'!$G$1*0.0425</f>
        <v>255.00000000000003</v>
      </c>
      <c r="E12" t="inlineStr">
        <is>
          <t>Estimado: 4.25% del salario</t>
        </is>
      </c>
      <c r="F12" s="9">
        <f>'Proyección'!$G$6</f>
        <v>20</v>
      </c>
      <c r="G12" s="9">
        <f>'Proyección'!$B$28+F12-1</f>
        <v>2045</v>
      </c>
      <c r="H12" t="inlineStr">
        <is>
          <t>Pensión mensual: retiro programado</t>
        </is>
      </c>
      <c r="I12" s="9">
        <v>100</v>
      </c>
      <c r="J12" s="10">
        <f>SUM(E19:E68)</f>
        <v>55591</v>
      </c>
      <c r="K12" s="10">
        <f>SUM(F19:F68)</f>
        <v>371471</v>
      </c>
      <c r="L12" s="10">
        <v>0</v>
      </c>
      <c r="M12" s="10">
        <f>SUM(G19:G68)</f>
        <v>399450</v>
      </c>
    </row>
    <row r="13">
      <c r="B13" s="1" t="inlineStr">
        <is>
          <t>FCL</t>
        </is>
      </c>
      <c r="C13" s="10">
        <f>12000000/'Proyección'!$D$1</f>
        <v>26666.666666666668</v>
      </c>
      <c r="D13" s="10">
        <f>'Proyección'!$G$1*0.015</f>
        <v>90</v>
      </c>
      <c r="E13" t="inlineStr">
        <is>
          <t>Estimado: 1.5% del salario</t>
        </is>
      </c>
      <c r="F13" s="9">
        <f>$E$8</f>
        <v>15</v>
      </c>
      <c r="G13" s="9">
        <f>'Proyección'!$B$28+F13-1</f>
        <v>2040</v>
      </c>
      <c r="H13" t="inlineStr">
        <is>
          <t>Al terminar la relación laboral</t>
        </is>
      </c>
      <c r="J13" s="10">
        <f>SUM(J19:J68)</f>
        <v>19620</v>
      </c>
      <c r="K13" s="10">
        <f>SUM(K19:K68)</f>
        <v>47735</v>
      </c>
      <c r="L13" s="10">
        <f>SUM(L19:L68)</f>
        <v>94022</v>
      </c>
      <c r="M13" s="10">
        <v>0</v>
      </c>
    </row>
    <row r="14">
      <c r="B14" s="1" t="inlineStr">
        <is>
          <t>Pensión voluntaria</t>
        </is>
      </c>
      <c r="C14" s="10">
        <f>12000000/'Proyección'!$D$1</f>
        <v>26666.666666666668</v>
      </c>
      <c r="D14" s="10">
        <f>150000/'Proyección'!$D$1</f>
        <v>333.3333333333333</v>
      </c>
      <c r="E14" t="inlineStr">
        <is>
          <t>Declarado por el cliente</t>
        </is>
      </c>
      <c r="F14" s="9">
        <f>MAX(6,57-$E$9+1)</f>
        <v>12</v>
      </c>
      <c r="G14" s="9">
        <f>'Proyección'!$B$28+F14-1</f>
        <v>2037</v>
      </c>
      <c r="H14" t="inlineStr">
        <is>
          <t>Desde los 57 años</t>
        </is>
      </c>
      <c r="J14" s="10">
        <f>SUM(O19:O68)</f>
        <v>72668</v>
      </c>
      <c r="K14" s="10">
        <f>SUM(P19:P68)</f>
        <v>50227</v>
      </c>
      <c r="L14" s="10">
        <f>SUM(Q19:Q68)</f>
        <v>149561</v>
      </c>
      <c r="M14" s="10">
        <v>0</v>
      </c>
    </row>
    <row r="17">
      <c r="B17" s="6" t="inlineStr">
        <is>
          <t>Evolución anual</t>
        </is>
      </c>
      <c r="D17" s="6" t="inlineStr">
        <is>
          <t>ROP</t>
        </is>
      </c>
      <c r="I17" s="6" t="inlineStr">
        <is>
          <t>FCL</t>
        </is>
      </c>
      <c r="N17" s="6" t="inlineStr">
        <is>
          <t>Pensión voluntaria</t>
        </is>
      </c>
      <c r="S17" s="6" t="inlineStr">
        <is>
          <t>Total</t>
        </is>
      </c>
    </row>
    <row r="18" ht="34" customHeight="1">
      <c r="B18" s="5" t="inlineStr">
        <is>
          <t>Período</t>
        </is>
      </c>
      <c r="C18" s="5" t="inlineStr">
        <is>
          <t>Año</t>
        </is>
      </c>
      <c r="D18" s="5" t="inlineStr">
        <is>
          <t>Saldo inicial</t>
        </is>
      </c>
      <c r="E18" s="5" t="inlineStr">
        <is>
          <t>Aportes</t>
        </is>
      </c>
      <c r="F18" s="5" t="inlineStr">
        <is>
          <t>Rendimiento</t>
        </is>
      </c>
      <c r="G18" s="5" t="inlineStr">
        <is>
          <t>Pensión pagada</t>
        </is>
      </c>
      <c r="H18" s="5" t="inlineStr">
        <is>
          <t>Saldo final</t>
        </is>
      </c>
      <c r="I18" s="5" t="inlineStr">
        <is>
          <t>Saldo inicial</t>
        </is>
      </c>
      <c r="J18" s="5" t="inlineStr">
        <is>
          <t>Aportes</t>
        </is>
      </c>
      <c r="K18" s="5" t="inlineStr">
        <is>
          <t>Rendimiento</t>
        </is>
      </c>
      <c r="L18" s="5" t="inlineStr">
        <is>
          <t>Traslado al portafolio</t>
        </is>
      </c>
      <c r="M18" s="5" t="inlineStr">
        <is>
          <t>Saldo final</t>
        </is>
      </c>
      <c r="N18" s="5" t="inlineStr">
        <is>
          <t>Saldo inicial</t>
        </is>
      </c>
      <c r="O18" s="5" t="inlineStr">
        <is>
          <t>Aportes</t>
        </is>
      </c>
      <c r="P18" s="5" t="inlineStr">
        <is>
          <t>Rendimiento</t>
        </is>
      </c>
      <c r="Q18" s="5" t="inlineStr">
        <is>
          <t>Traslado al portafolio</t>
        </is>
      </c>
      <c r="R18" s="5" t="inlineStr">
        <is>
          <t>Saldo final</t>
        </is>
      </c>
      <c r="S18" s="5" t="inlineStr">
        <is>
          <t>Traslado total al portafolio</t>
        </is>
      </c>
      <c r="T18" s="5" t="inlineStr">
        <is>
          <t>Pensión del ROP</t>
        </is>
      </c>
    </row>
    <row r="19">
      <c r="B19" s="9">
        <v>1</v>
      </c>
      <c r="C19" s="9">
        <f>'Proyección'!B28</f>
        <v>2026</v>
      </c>
      <c r="D19" s="10">
        <f>C12</f>
        <v>26667</v>
      </c>
      <c r="E19" s="10">
        <f>IF(B19&lt;=$E$7,$D$12*12*(1+$E$6)^(B19-1),0)</f>
        <v>3060</v>
      </c>
      <c r="F19" s="10">
        <f>D19*$E$5</f>
        <v>1600</v>
      </c>
      <c r="G19" s="10">
        <f>IF(B19&gt;=$F$12,IF(($I$12-$E$9-B19+2)&lt;=1,D19+F19,IF($E$5=0,D19/($I$12-$E$9-B19+2),D19*$E$5/(1-(1+$E$5)^(-($I$12-$E$9-B19+2))))),0)</f>
        <v>0</v>
      </c>
      <c r="H19" s="10">
        <f>D19+E19+F19-G19</f>
        <v>31327</v>
      </c>
      <c r="I19" s="10">
        <f>C13</f>
        <v>26667</v>
      </c>
      <c r="J19" s="10">
        <f>IF(B19&lt;=$E$7,$D$13*12*(1+$E$6)^(B19-1),0)</f>
        <v>1080</v>
      </c>
      <c r="K19" s="10">
        <f>I19*$E$5</f>
        <v>1600</v>
      </c>
      <c r="L19" s="10">
        <f>IF(OR(B19=$F$13,B19=$E$8,B19=50),I19+J19+K19,0)</f>
        <v>0</v>
      </c>
      <c r="M19" s="10">
        <f>I19+J19+K19-L19</f>
        <v>29347</v>
      </c>
      <c r="N19" s="10">
        <f>C14</f>
        <v>26667</v>
      </c>
      <c r="O19" s="10">
        <f>IF(B19&lt;=$E$7,$D$14*12*(1+$E$6)^(B19-1),0)</f>
        <v>4000</v>
      </c>
      <c r="P19" s="10">
        <f>N19*$E$5</f>
        <v>1600</v>
      </c>
      <c r="Q19" s="10">
        <f>IF(OR(B19=$F$14,AND(B19&gt;$F$14,B19=$E$8),B19=50),N19+O19+P19,0)</f>
        <v>0</v>
      </c>
      <c r="R19" s="10">
        <f>N19+O19+P19-Q19</f>
        <v>32267</v>
      </c>
      <c r="S19" s="10">
        <f>L19+Q19</f>
        <v>0</v>
      </c>
      <c r="T19" s="10">
        <f>G19</f>
        <v>0</v>
      </c>
    </row>
    <row r="20">
      <c r="B20" s="9">
        <v>2</v>
      </c>
      <c r="C20" s="9">
        <f>'Proyección'!B29</f>
        <v>2027</v>
      </c>
      <c r="D20" s="10">
        <f>H19</f>
        <v>31327</v>
      </c>
      <c r="E20" s="10">
        <f>IF(B20&lt;=$E$7,$D$12*12*(1+$E$6)^(B20-1),0)</f>
        <v>3179</v>
      </c>
      <c r="F20" s="10">
        <f>D20*$E$5</f>
        <v>1880</v>
      </c>
      <c r="G20" s="10">
        <f>IF(B20&gt;=$F$12,IF(($I$12-$E$9-B20+2)&lt;=1,D20+F20,IF($E$5=0,D20/($I$12-$E$9-B20+2),D20*$E$5/(1-(1+$E$5)^(-($I$12-$E$9-B20+2))))),0)</f>
        <v>0</v>
      </c>
      <c r="H20" s="10">
        <f>D20+E20+F20-G20</f>
        <v>36386</v>
      </c>
      <c r="I20" s="10">
        <f>M19</f>
        <v>29347</v>
      </c>
      <c r="J20" s="10">
        <f>IF(B20&lt;=$E$7,$D$13*12*(1+$E$6)^(B20-1),0)</f>
        <v>1122</v>
      </c>
      <c r="K20" s="10">
        <f>I20*$E$5</f>
        <v>1761</v>
      </c>
      <c r="L20" s="10">
        <f>IF(OR(B20=$F$13,B20=$E$8,B20=50),I20+J20+K20,0)</f>
        <v>0</v>
      </c>
      <c r="M20" s="10">
        <f>I20+J20+K20-L20</f>
        <v>32230</v>
      </c>
      <c r="N20" s="10">
        <f>R19</f>
        <v>32267</v>
      </c>
      <c r="O20" s="10">
        <f>IF(B20&lt;=$E$7,$D$14*12*(1+$E$6)^(B20-1),0)</f>
        <v>4156</v>
      </c>
      <c r="P20" s="10">
        <f>N20*$E$5</f>
        <v>1936</v>
      </c>
      <c r="Q20" s="10">
        <f>IF(OR(B20=$F$14,AND(B20&gt;$F$14,B20=$E$8),B20=50),N20+O20+P20,0)</f>
        <v>0</v>
      </c>
      <c r="R20" s="10">
        <f>N20+O20+P20-Q20</f>
        <v>38359</v>
      </c>
      <c r="S20" s="10">
        <f>L20+Q20</f>
        <v>0</v>
      </c>
      <c r="T20" s="10">
        <f>G20</f>
        <v>0</v>
      </c>
    </row>
    <row r="21">
      <c r="B21" s="9">
        <v>3</v>
      </c>
      <c r="C21" s="9">
        <f>'Proyección'!B30</f>
        <v>2028</v>
      </c>
      <c r="D21" s="10">
        <f>H20</f>
        <v>36386</v>
      </c>
      <c r="E21" s="10">
        <f>IF(B21&lt;=$E$7,$D$12*12*(1+$E$6)^(B21-1),0)</f>
        <v>3303</v>
      </c>
      <c r="F21" s="10">
        <f>D21*$E$5</f>
        <v>2183</v>
      </c>
      <c r="G21" s="10">
        <f>IF(B21&gt;=$F$12,IF(($I$12-$E$9-B21+2)&lt;=1,D21+F21,IF($E$5=0,D21/($I$12-$E$9-B21+2),D21*$E$5/(1-(1+$E$5)^(-($I$12-$E$9-B21+2))))),0)</f>
        <v>0</v>
      </c>
      <c r="H21" s="10">
        <f>D21+E21+F21-G21</f>
        <v>41872</v>
      </c>
      <c r="I21" s="10">
        <f>M20</f>
        <v>32230</v>
      </c>
      <c r="J21" s="10">
        <f>IF(B21&lt;=$E$7,$D$13*12*(1+$E$6)^(B21-1),0)</f>
        <v>1166</v>
      </c>
      <c r="K21" s="10">
        <f>I21*$E$5</f>
        <v>1934</v>
      </c>
      <c r="L21" s="10">
        <f>IF(OR(B21=$F$13,B21=$E$8,B21=50),I21+J21+K21,0)</f>
        <v>0</v>
      </c>
      <c r="M21" s="10">
        <f>I21+J21+K21-L21</f>
        <v>35329</v>
      </c>
      <c r="N21" s="10">
        <f>R20</f>
        <v>38359</v>
      </c>
      <c r="O21" s="10">
        <f>IF(B21&lt;=$E$7,$D$14*12*(1+$E$6)^(B21-1),0)</f>
        <v>4318</v>
      </c>
      <c r="P21" s="10">
        <f>N21*$E$5</f>
        <v>2302</v>
      </c>
      <c r="Q21" s="10">
        <f>IF(OR(B21=$F$14,AND(B21&gt;$F$14,B21=$E$8),B21=50),N21+O21+P21,0)</f>
        <v>0</v>
      </c>
      <c r="R21" s="10">
        <f>N21+O21+P21-Q21</f>
        <v>44978</v>
      </c>
      <c r="S21" s="10">
        <f>L21+Q21</f>
        <v>0</v>
      </c>
      <c r="T21" s="10">
        <f>G21</f>
        <v>0</v>
      </c>
    </row>
    <row r="22">
      <c r="B22" s="9">
        <v>4</v>
      </c>
      <c r="C22" s="9">
        <f>'Proyección'!B31</f>
        <v>2029</v>
      </c>
      <c r="D22" s="10">
        <f>H21</f>
        <v>41872</v>
      </c>
      <c r="E22" s="10">
        <f>IF(B22&lt;=$E$7,$D$12*12*(1+$E$6)^(B22-1),0)</f>
        <v>3432</v>
      </c>
      <c r="F22" s="10">
        <f>D22*$E$5</f>
        <v>2512</v>
      </c>
      <c r="G22" s="10">
        <f>IF(B22&gt;=$F$12,IF(($I$12-$E$9-B22+2)&lt;=1,D22+F22,IF($E$5=0,D22/($I$12-$E$9-B22+2),D22*$E$5/(1-(1+$E$5)^(-($I$12-$E$9-B22+2))))),0)</f>
        <v>0</v>
      </c>
      <c r="H22" s="10">
        <f>D22+E22+F22-G22</f>
        <v>47817</v>
      </c>
      <c r="I22" s="10">
        <f>M21</f>
        <v>35329</v>
      </c>
      <c r="J22" s="10">
        <f>IF(B22&lt;=$E$7,$D$13*12*(1+$E$6)^(B22-1),0)</f>
        <v>1211</v>
      </c>
      <c r="K22" s="10">
        <f>I22*$E$5</f>
        <v>2120</v>
      </c>
      <c r="L22" s="10">
        <f>IF(OR(B22=$F$13,B22=$E$8,B22=50),I22+J22+K22,0)</f>
        <v>0</v>
      </c>
      <c r="M22" s="10">
        <f>I22+J22+K22-L22</f>
        <v>38660</v>
      </c>
      <c r="N22" s="10">
        <f>R21</f>
        <v>44978</v>
      </c>
      <c r="O22" s="10">
        <f>IF(B22&lt;=$E$7,$D$14*12*(1+$E$6)^(B22-1),0)</f>
        <v>4486</v>
      </c>
      <c r="P22" s="10">
        <f>N22*$E$5</f>
        <v>2699</v>
      </c>
      <c r="Q22" s="10">
        <f>IF(OR(B22=$F$14,AND(B22&gt;$F$14,B22=$E$8),B22=50),N22+O22+P22,0)</f>
        <v>0</v>
      </c>
      <c r="R22" s="10">
        <f>N22+O22+P22-Q22</f>
        <v>52163</v>
      </c>
      <c r="S22" s="10">
        <f>L22+Q22</f>
        <v>0</v>
      </c>
      <c r="T22" s="10">
        <f>G22</f>
        <v>0</v>
      </c>
    </row>
    <row r="23">
      <c r="B23" s="9">
        <v>5</v>
      </c>
      <c r="C23" s="9">
        <f>'Proyección'!B32</f>
        <v>2030</v>
      </c>
      <c r="D23" s="10">
        <f>H22</f>
        <v>47817</v>
      </c>
      <c r="E23" s="10">
        <f>IF(B23&lt;=$E$7,$D$12*12*(1+$E$6)^(B23-1),0)</f>
        <v>3566</v>
      </c>
      <c r="F23" s="10">
        <f>D23*$E$5</f>
        <v>2869</v>
      </c>
      <c r="G23" s="10">
        <f>IF(B23&gt;=$F$12,IF(($I$12-$E$9-B23+2)&lt;=1,D23+F23,IF($E$5=0,D23/($I$12-$E$9-B23+2),D23*$E$5/(1-(1+$E$5)^(-($I$12-$E$9-B23+2))))),0)</f>
        <v>0</v>
      </c>
      <c r="H23" s="10">
        <f>D23+E23+F23-G23</f>
        <v>54252</v>
      </c>
      <c r="I23" s="10">
        <f>M22</f>
        <v>38660</v>
      </c>
      <c r="J23" s="10">
        <f>IF(B23&lt;=$E$7,$D$13*12*(1+$E$6)^(B23-1),0)</f>
        <v>1259</v>
      </c>
      <c r="K23" s="10">
        <f>I23*$E$5</f>
        <v>2320</v>
      </c>
      <c r="L23" s="10">
        <f>IF(OR(B23=$F$13,B23=$E$8,B23=50),I23+J23+K23,0)</f>
        <v>0</v>
      </c>
      <c r="M23" s="10">
        <f>I23+J23+K23-L23</f>
        <v>42239</v>
      </c>
      <c r="N23" s="10">
        <f>R22</f>
        <v>52163</v>
      </c>
      <c r="O23" s="10">
        <f>IF(B23&lt;=$E$7,$D$14*12*(1+$E$6)^(B23-1),0)</f>
        <v>4661</v>
      </c>
      <c r="P23" s="10">
        <f>N23*$E$5</f>
        <v>3130</v>
      </c>
      <c r="Q23" s="10">
        <f>IF(OR(B23=$F$14,AND(B23&gt;$F$14,B23=$E$8),B23=50),N23+O23+P23,0)</f>
        <v>0</v>
      </c>
      <c r="R23" s="10">
        <f>N23+O23+P23-Q23</f>
        <v>59955</v>
      </c>
      <c r="S23" s="10">
        <f>L23+Q23</f>
        <v>0</v>
      </c>
      <c r="T23" s="10">
        <f>G23</f>
        <v>0</v>
      </c>
    </row>
    <row r="24">
      <c r="B24" s="9">
        <v>6</v>
      </c>
      <c r="C24" s="9">
        <f>'Proyección'!B33</f>
        <v>2031</v>
      </c>
      <c r="D24" s="10">
        <f>H23</f>
        <v>54252</v>
      </c>
      <c r="E24" s="10">
        <f>IF(B24&lt;=$E$7,$D$12*12*(1+$E$6)^(B24-1),0)</f>
        <v>3705</v>
      </c>
      <c r="F24" s="10">
        <f>D24*$E$5</f>
        <v>3255</v>
      </c>
      <c r="G24" s="10">
        <f>IF(B24&gt;=$F$12,IF(($I$12-$E$9-B24+2)&lt;=1,D24+F24,IF($E$5=0,D24/($I$12-$E$9-B24+2),D24*$E$5/(1-(1+$E$5)^(-($I$12-$E$9-B24+2))))),0)</f>
        <v>0</v>
      </c>
      <c r="H24" s="10">
        <f>D24+E24+F24-G24</f>
        <v>61212</v>
      </c>
      <c r="I24" s="10">
        <f>M23</f>
        <v>42239</v>
      </c>
      <c r="J24" s="10">
        <f>IF(B24&lt;=$E$7,$D$13*12*(1+$E$6)^(B24-1),0)</f>
        <v>1308</v>
      </c>
      <c r="K24" s="10">
        <f>I24*$E$5</f>
        <v>2534</v>
      </c>
      <c r="L24" s="10">
        <f>IF(OR(B24=$F$13,B24=$E$8,B24=50),I24+J24+K24,0)</f>
        <v>0</v>
      </c>
      <c r="M24" s="10">
        <f>I24+J24+K24-L24</f>
        <v>46081</v>
      </c>
      <c r="N24" s="10">
        <f>R23</f>
        <v>59955</v>
      </c>
      <c r="O24" s="10">
        <f>IF(B24&lt;=$E$7,$D$14*12*(1+$E$6)^(B24-1),0)</f>
        <v>4843</v>
      </c>
      <c r="P24" s="10">
        <f>N24*$E$5</f>
        <v>3597</v>
      </c>
      <c r="Q24" s="10">
        <f>IF(OR(B24=$F$14,AND(B24&gt;$F$14,B24=$E$8),B24=50),N24+O24+P24,0)</f>
        <v>0</v>
      </c>
      <c r="R24" s="10">
        <f>N24+O24+P24-Q24</f>
        <v>68395</v>
      </c>
      <c r="S24" s="10">
        <f>L24+Q24</f>
        <v>0</v>
      </c>
      <c r="T24" s="10">
        <f>G24</f>
        <v>0</v>
      </c>
    </row>
    <row r="25">
      <c r="B25" s="9">
        <v>7</v>
      </c>
      <c r="C25" s="9">
        <f>'Proyección'!B34</f>
        <v>2032</v>
      </c>
      <c r="D25" s="10">
        <f>H24</f>
        <v>61212</v>
      </c>
      <c r="E25" s="10">
        <f>IF(B25&lt;=$E$7,$D$12*12*(1+$E$6)^(B25-1),0)</f>
        <v>3850</v>
      </c>
      <c r="F25" s="10">
        <f>D25*$E$5</f>
        <v>3673</v>
      </c>
      <c r="G25" s="10">
        <f>IF(B25&gt;=$F$12,IF(($I$12-$E$9-B25+2)&lt;=1,D25+F25,IF($E$5=0,D25/($I$12-$E$9-B25+2),D25*$E$5/(1-(1+$E$5)^(-($I$12-$E$9-B25+2))))),0)</f>
        <v>0</v>
      </c>
      <c r="H25" s="10">
        <f>D25+E25+F25-G25</f>
        <v>68734</v>
      </c>
      <c r="I25" s="10">
        <f>M24</f>
        <v>46081</v>
      </c>
      <c r="J25" s="10">
        <f>IF(B25&lt;=$E$7,$D$13*12*(1+$E$6)^(B25-1),0)</f>
        <v>1359</v>
      </c>
      <c r="K25" s="10">
        <f>I25*$E$5</f>
        <v>2765</v>
      </c>
      <c r="L25" s="10">
        <f>IF(OR(B25=$F$13,B25=$E$8,B25=50),I25+J25+K25,0)</f>
        <v>0</v>
      </c>
      <c r="M25" s="10">
        <f>I25+J25+K25-L25</f>
        <v>50204</v>
      </c>
      <c r="N25" s="10">
        <f>R24</f>
        <v>68395</v>
      </c>
      <c r="O25" s="10">
        <f>IF(B25&lt;=$E$7,$D$14*12*(1+$E$6)^(B25-1),0)</f>
        <v>5032</v>
      </c>
      <c r="P25" s="10">
        <f>N25*$E$5</f>
        <v>4104</v>
      </c>
      <c r="Q25" s="10">
        <f>IF(OR(B25=$F$14,AND(B25&gt;$F$14,B25=$E$8),B25=50),N25+O25+P25,0)</f>
        <v>0</v>
      </c>
      <c r="R25" s="10">
        <f>N25+O25+P25-Q25</f>
        <v>77531</v>
      </c>
      <c r="S25" s="10">
        <f>L25+Q25</f>
        <v>0</v>
      </c>
      <c r="T25" s="10">
        <f>G25</f>
        <v>0</v>
      </c>
    </row>
    <row r="26">
      <c r="B26" s="9">
        <v>8</v>
      </c>
      <c r="C26" s="9">
        <f>'Proyección'!B35</f>
        <v>2033</v>
      </c>
      <c r="D26" s="10">
        <f>H25</f>
        <v>68734</v>
      </c>
      <c r="E26" s="10">
        <f>IF(B26&lt;=$E$7,$D$12*12*(1+$E$6)^(B26-1),0)</f>
        <v>4000</v>
      </c>
      <c r="F26" s="10">
        <f>D26*$E$5</f>
        <v>4124</v>
      </c>
      <c r="G26" s="10">
        <f>IF(B26&gt;=$F$12,IF(($I$12-$E$9-B26+2)&lt;=1,D26+F26,IF($E$5=0,D26/($I$12-$E$9-B26+2),D26*$E$5/(1-(1+$E$5)^(-($I$12-$E$9-B26+2))))),0)</f>
        <v>0</v>
      </c>
      <c r="H26" s="10">
        <f>D26+E26+F26-G26</f>
        <v>76858</v>
      </c>
      <c r="I26" s="10">
        <f>M25</f>
        <v>50204</v>
      </c>
      <c r="J26" s="10">
        <f>IF(B26&lt;=$E$7,$D$13*12*(1+$E$6)^(B26-1),0)</f>
        <v>1412</v>
      </c>
      <c r="K26" s="10">
        <f>I26*$E$5</f>
        <v>3012</v>
      </c>
      <c r="L26" s="10">
        <f>IF(OR(B26=$F$13,B26=$E$8,B26=50),I26+J26+K26,0)</f>
        <v>0</v>
      </c>
      <c r="M26" s="10">
        <f>I26+J26+K26-L26</f>
        <v>54628</v>
      </c>
      <c r="N26" s="10">
        <f>R25</f>
        <v>77531</v>
      </c>
      <c r="O26" s="10">
        <f>IF(B26&lt;=$E$7,$D$14*12*(1+$E$6)^(B26-1),0)</f>
        <v>5228</v>
      </c>
      <c r="P26" s="10">
        <f>N26*$E$5</f>
        <v>4652</v>
      </c>
      <c r="Q26" s="10">
        <f>IF(OR(B26=$F$14,AND(B26&gt;$F$14,B26=$E$8),B26=50),N26+O26+P26,0)</f>
        <v>0</v>
      </c>
      <c r="R26" s="10">
        <f>N26+O26+P26-Q26</f>
        <v>87411</v>
      </c>
      <c r="S26" s="10">
        <f>L26+Q26</f>
        <v>0</v>
      </c>
      <c r="T26" s="10">
        <f>G26</f>
        <v>0</v>
      </c>
    </row>
    <row r="27">
      <c r="B27" s="9">
        <v>9</v>
      </c>
      <c r="C27" s="9">
        <f>'Proyección'!B36</f>
        <v>2034</v>
      </c>
      <c r="D27" s="10">
        <f>H26</f>
        <v>76858</v>
      </c>
      <c r="E27" s="10">
        <f>IF(B27&lt;=$E$7,$D$12*12*(1+$E$6)^(B27-1),0)</f>
        <v>4156</v>
      </c>
      <c r="F27" s="10">
        <f>D27*$E$5</f>
        <v>4611</v>
      </c>
      <c r="G27" s="10">
        <f>IF(B27&gt;=$F$12,IF(($I$12-$E$9-B27+2)&lt;=1,D27+F27,IF($E$5=0,D27/($I$12-$E$9-B27+2),D27*$E$5/(1-(1+$E$5)^(-($I$12-$E$9-B27+2))))),0)</f>
        <v>0</v>
      </c>
      <c r="H27" s="10">
        <f>D27+E27+F27-G27</f>
        <v>85625</v>
      </c>
      <c r="I27" s="10">
        <f>M26</f>
        <v>54628</v>
      </c>
      <c r="J27" s="10">
        <f>IF(B27&lt;=$E$7,$D$13*12*(1+$E$6)^(B27-1),0)</f>
        <v>1467</v>
      </c>
      <c r="K27" s="10">
        <f>I27*$E$5</f>
        <v>3278</v>
      </c>
      <c r="L27" s="10">
        <f>IF(OR(B27=$F$13,B27=$E$8,B27=50),I27+J27+K27,0)</f>
        <v>0</v>
      </c>
      <c r="M27" s="10">
        <f>I27+J27+K27-L27</f>
        <v>59372</v>
      </c>
      <c r="N27" s="10">
        <f>R26</f>
        <v>87411</v>
      </c>
      <c r="O27" s="10">
        <f>IF(B27&lt;=$E$7,$D$14*12*(1+$E$6)^(B27-1),0)</f>
        <v>5432</v>
      </c>
      <c r="P27" s="10">
        <f>N27*$E$5</f>
        <v>5245</v>
      </c>
      <c r="Q27" s="10">
        <f>IF(OR(B27=$F$14,AND(B27&gt;$F$14,B27=$E$8),B27=50),N27+O27+P27,0)</f>
        <v>0</v>
      </c>
      <c r="R27" s="10">
        <f>N27+O27+P27-Q27</f>
        <v>98088</v>
      </c>
      <c r="S27" s="10">
        <f>L27+Q27</f>
        <v>0</v>
      </c>
      <c r="T27" s="10">
        <f>G27</f>
        <v>0</v>
      </c>
    </row>
    <row r="28">
      <c r="B28" s="9">
        <v>10</v>
      </c>
      <c r="C28" s="9">
        <f>'Proyección'!B37</f>
        <v>2035</v>
      </c>
      <c r="D28" s="10">
        <f>H27</f>
        <v>85625</v>
      </c>
      <c r="E28" s="10">
        <f>IF(B28&lt;=$E$7,$D$12*12*(1+$E$6)^(B28-1),0)</f>
        <v>4318</v>
      </c>
      <c r="F28" s="10">
        <f>D28*$E$5</f>
        <v>5138</v>
      </c>
      <c r="G28" s="10">
        <f>IF(B28&gt;=$F$12,IF(($I$12-$E$9-B28+2)&lt;=1,D28+F28,IF($E$5=0,D28/($I$12-$E$9-B28+2),D28*$E$5/(1-(1+$E$5)^(-($I$12-$E$9-B28+2))))),0)</f>
        <v>0</v>
      </c>
      <c r="H28" s="10">
        <f>D28+E28+F28-G28</f>
        <v>95080</v>
      </c>
      <c r="I28" s="10">
        <f>M27</f>
        <v>59372</v>
      </c>
      <c r="J28" s="10">
        <f>IF(B28&lt;=$E$7,$D$13*12*(1+$E$6)^(B28-1),0)</f>
        <v>1524</v>
      </c>
      <c r="K28" s="10">
        <f>I28*$E$5</f>
        <v>3562</v>
      </c>
      <c r="L28" s="10">
        <f>IF(OR(B28=$F$13,B28=$E$8,B28=50),I28+J28+K28,0)</f>
        <v>0</v>
      </c>
      <c r="M28" s="10">
        <f>I28+J28+K28-L28</f>
        <v>64459</v>
      </c>
      <c r="N28" s="10">
        <f>R27</f>
        <v>98088</v>
      </c>
      <c r="O28" s="10">
        <f>IF(B28&lt;=$E$7,$D$14*12*(1+$E$6)^(B28-1),0)</f>
        <v>5644</v>
      </c>
      <c r="P28" s="10">
        <f>N28*$E$5</f>
        <v>5885</v>
      </c>
      <c r="Q28" s="10">
        <f>IF(OR(B28=$F$14,AND(B28&gt;$F$14,B28=$E$8),B28=50),N28+O28+P28,0)</f>
        <v>0</v>
      </c>
      <c r="R28" s="10">
        <f>N28+O28+P28-Q28</f>
        <v>109618</v>
      </c>
      <c r="S28" s="10">
        <f>L28+Q28</f>
        <v>0</v>
      </c>
      <c r="T28" s="10">
        <f>G28</f>
        <v>0</v>
      </c>
    </row>
    <row r="29">
      <c r="B29" s="9">
        <v>11</v>
      </c>
      <c r="C29" s="9">
        <f>'Proyección'!B38</f>
        <v>2036</v>
      </c>
      <c r="D29" s="10">
        <f>H28</f>
        <v>95080</v>
      </c>
      <c r="E29" s="10">
        <f>IF(B29&lt;=$E$7,$D$12*12*(1+$E$6)^(B29-1),0)</f>
        <v>4486</v>
      </c>
      <c r="F29" s="10">
        <f>D29*$E$5</f>
        <v>5705</v>
      </c>
      <c r="G29" s="10">
        <f>IF(B29&gt;=$F$12,IF(($I$12-$E$9-B29+2)&lt;=1,D29+F29,IF($E$5=0,D29/($I$12-$E$9-B29+2),D29*$E$5/(1-(1+$E$5)^(-($I$12-$E$9-B29+2))))),0)</f>
        <v>0</v>
      </c>
      <c r="H29" s="10">
        <f>D29+E29+F29-G29</f>
        <v>105271</v>
      </c>
      <c r="I29" s="10">
        <f>M28</f>
        <v>64459</v>
      </c>
      <c r="J29" s="10">
        <f>IF(B29&lt;=$E$7,$D$13*12*(1+$E$6)^(B29-1),0)</f>
        <v>1583</v>
      </c>
      <c r="K29" s="10">
        <f>I29*$E$5</f>
        <v>3868</v>
      </c>
      <c r="L29" s="10">
        <f>IF(OR(B29=$F$13,B29=$E$8,B29=50),I29+J29+K29,0)</f>
        <v>0</v>
      </c>
      <c r="M29" s="10">
        <f>I29+J29+K29-L29</f>
        <v>69910</v>
      </c>
      <c r="N29" s="10">
        <f>R28</f>
        <v>109618</v>
      </c>
      <c r="O29" s="10">
        <f>IF(B29&lt;=$E$7,$D$14*12*(1+$E$6)^(B29-1),0)</f>
        <v>5864</v>
      </c>
      <c r="P29" s="10">
        <f>N29*$E$5</f>
        <v>6577</v>
      </c>
      <c r="Q29" s="10">
        <f>IF(OR(B29=$F$14,AND(B29&gt;$F$14,B29=$E$8),B29=50),N29+O29+P29,0)</f>
        <v>0</v>
      </c>
      <c r="R29" s="10">
        <f>N29+O29+P29-Q29</f>
        <v>122059</v>
      </c>
      <c r="S29" s="10">
        <f>L29+Q29</f>
        <v>0</v>
      </c>
      <c r="T29" s="10">
        <f>G29</f>
        <v>0</v>
      </c>
    </row>
    <row r="30">
      <c r="B30" s="9">
        <v>12</v>
      </c>
      <c r="C30" s="9">
        <f>'Proyección'!B39</f>
        <v>2037</v>
      </c>
      <c r="D30" s="10">
        <f>H29</f>
        <v>105271</v>
      </c>
      <c r="E30" s="10">
        <f>IF(B30&lt;=$E$7,$D$12*12*(1+$E$6)^(B30-1),0)</f>
        <v>4661</v>
      </c>
      <c r="F30" s="10">
        <f>D30*$E$5</f>
        <v>6316</v>
      </c>
      <c r="G30" s="10">
        <f>IF(B30&gt;=$F$12,IF(($I$12-$E$9-B30+2)&lt;=1,D30+F30,IF($E$5=0,D30/($I$12-$E$9-B30+2),D30*$E$5/(1-(1+$E$5)^(-($I$12-$E$9-B30+2))))),0)</f>
        <v>0</v>
      </c>
      <c r="H30" s="10">
        <f>D30+E30+F30-G30</f>
        <v>116249</v>
      </c>
      <c r="I30" s="10">
        <f>M29</f>
        <v>69910</v>
      </c>
      <c r="J30" s="10">
        <f>IF(B30&lt;=$E$7,$D$13*12*(1+$E$6)^(B30-1),0)</f>
        <v>1645</v>
      </c>
      <c r="K30" s="10">
        <f>I30*$E$5</f>
        <v>4195</v>
      </c>
      <c r="L30" s="10">
        <f>IF(OR(B30=$F$13,B30=$E$8,B30=50),I30+J30+K30,0)</f>
        <v>0</v>
      </c>
      <c r="M30" s="10">
        <f>I30+J30+K30-L30</f>
        <v>75749</v>
      </c>
      <c r="N30" s="10">
        <f>R29</f>
        <v>122059</v>
      </c>
      <c r="O30" s="10">
        <f>IF(B30&lt;=$E$7,$D$14*12*(1+$E$6)^(B30-1),0)</f>
        <v>6093</v>
      </c>
      <c r="P30" s="10">
        <f>N30*$E$5</f>
        <v>7324</v>
      </c>
      <c r="Q30" s="10">
        <f>IF(OR(B30=$F$14,AND(B30&gt;$F$14,B30=$E$8),B30=50),N30+O30+P30,0)</f>
        <v>135476</v>
      </c>
      <c r="R30" s="10">
        <f>N30+O30+P30-Q30</f>
        <v>0</v>
      </c>
      <c r="S30" s="10">
        <f>L30+Q30</f>
        <v>135476</v>
      </c>
      <c r="T30" s="10">
        <f>G30</f>
        <v>0</v>
      </c>
    </row>
    <row r="31">
      <c r="B31" s="9">
        <v>13</v>
      </c>
      <c r="C31" s="9">
        <f>'Proyección'!B40</f>
        <v>2038</v>
      </c>
      <c r="D31" s="10">
        <f>H30</f>
        <v>116249</v>
      </c>
      <c r="E31" s="10">
        <f>IF(B31&lt;=$E$7,$D$12*12*(1+$E$6)^(B31-1),0)</f>
        <v>4843</v>
      </c>
      <c r="F31" s="10">
        <f>D31*$E$5</f>
        <v>6975</v>
      </c>
      <c r="G31" s="10">
        <f>IF(B31&gt;=$F$12,IF(($I$12-$E$9-B31+2)&lt;=1,D31+F31,IF($E$5=0,D31/($I$12-$E$9-B31+2),D31*$E$5/(1-(1+$E$5)^(-($I$12-$E$9-B31+2))))),0)</f>
        <v>0</v>
      </c>
      <c r="H31" s="10">
        <f>D31+E31+F31-G31</f>
        <v>128067</v>
      </c>
      <c r="I31" s="10">
        <f>M30</f>
        <v>75749</v>
      </c>
      <c r="J31" s="10">
        <f>IF(B31&lt;=$E$7,$D$13*12*(1+$E$6)^(B31-1),0)</f>
        <v>1709</v>
      </c>
      <c r="K31" s="10">
        <f>I31*$E$5</f>
        <v>4545</v>
      </c>
      <c r="L31" s="10">
        <f>IF(OR(B31=$F$13,B31=$E$8,B31=50),I31+J31+K31,0)</f>
        <v>0</v>
      </c>
      <c r="M31" s="10">
        <f>I31+J31+K31-L31</f>
        <v>82003</v>
      </c>
      <c r="N31" s="10">
        <f>R30</f>
        <v>0</v>
      </c>
      <c r="O31" s="10">
        <f>IF(B31&lt;=$E$7,$D$14*12*(1+$E$6)^(B31-1),0)</f>
        <v>6331</v>
      </c>
      <c r="P31" s="10">
        <f>N31*$E$5</f>
        <v>0</v>
      </c>
      <c r="Q31" s="10">
        <f>IF(OR(B31=$F$14,AND(B31&gt;$F$14,B31=$E$8),B31=50),N31+O31+P31,0)</f>
        <v>0</v>
      </c>
      <c r="R31" s="10">
        <f>N31+O31+P31-Q31</f>
        <v>6331</v>
      </c>
      <c r="S31" s="10">
        <f>L31+Q31</f>
        <v>0</v>
      </c>
      <c r="T31" s="10">
        <f>G31</f>
        <v>0</v>
      </c>
    </row>
    <row r="32">
      <c r="B32" s="9">
        <v>14</v>
      </c>
      <c r="C32" s="9">
        <f>'Proyección'!B41</f>
        <v>2039</v>
      </c>
      <c r="D32" s="10">
        <f>H31</f>
        <v>128067</v>
      </c>
      <c r="E32" s="10">
        <f>IF(B32&lt;=$E$7,$D$12*12*(1+$E$6)^(B32-1),0)</f>
        <v>5032</v>
      </c>
      <c r="F32" s="10">
        <f>D32*$E$5</f>
        <v>7684</v>
      </c>
      <c r="G32" s="10">
        <f>IF(B32&gt;=$F$12,IF(($I$12-$E$9-B32+2)&lt;=1,D32+F32,IF($E$5=0,D32/($I$12-$E$9-B32+2),D32*$E$5/(1-(1+$E$5)^(-($I$12-$E$9-B32+2))))),0)</f>
        <v>0</v>
      </c>
      <c r="H32" s="10">
        <f>D32+E32+F32-G32</f>
        <v>140782</v>
      </c>
      <c r="I32" s="10">
        <f>M31</f>
        <v>82003</v>
      </c>
      <c r="J32" s="10">
        <f>IF(B32&lt;=$E$7,$D$13*12*(1+$E$6)^(B32-1),0)</f>
        <v>1776</v>
      </c>
      <c r="K32" s="10">
        <f>I32*$E$5</f>
        <v>4920</v>
      </c>
      <c r="L32" s="10">
        <f>IF(OR(B32=$F$13,B32=$E$8,B32=50),I32+J32+K32,0)</f>
        <v>0</v>
      </c>
      <c r="M32" s="10">
        <f>I32+J32+K32-L32</f>
        <v>88700</v>
      </c>
      <c r="N32" s="10">
        <f>R31</f>
        <v>6331</v>
      </c>
      <c r="O32" s="10">
        <f>IF(B32&lt;=$E$7,$D$14*12*(1+$E$6)^(B32-1),0)</f>
        <v>6578</v>
      </c>
      <c r="P32" s="10">
        <f>N32*$E$5</f>
        <v>380</v>
      </c>
      <c r="Q32" s="10">
        <f>IF(OR(B32=$F$14,AND(B32&gt;$F$14,B32=$E$8),B32=50),N32+O32+P32,0)</f>
        <v>0</v>
      </c>
      <c r="R32" s="10">
        <f>N32+O32+P32-Q32</f>
        <v>13288</v>
      </c>
      <c r="S32" s="10">
        <f>L32+Q32</f>
        <v>0</v>
      </c>
      <c r="T32" s="10">
        <f>G32</f>
        <v>0</v>
      </c>
    </row>
    <row r="33">
      <c r="B33" s="9">
        <v>15</v>
      </c>
      <c r="C33" s="9">
        <f>'Proyección'!B42</f>
        <v>2040</v>
      </c>
      <c r="D33" s="10">
        <f>H32</f>
        <v>140782</v>
      </c>
      <c r="E33" s="10">
        <f>IF(B33&lt;=$E$7,$D$12*12*(1+$E$6)^(B33-1),0)</f>
        <v>0</v>
      </c>
      <c r="F33" s="10">
        <f>D33*$E$5</f>
        <v>8447</v>
      </c>
      <c r="G33" s="10">
        <f>IF(B33&gt;=$F$12,IF(($I$12-$E$9-B33+2)&lt;=1,D33+F33,IF($E$5=0,D33/($I$12-$E$9-B33+2),D33*$E$5/(1-(1+$E$5)^(-($I$12-$E$9-B33+2))))),0)</f>
        <v>0</v>
      </c>
      <c r="H33" s="10">
        <f>D33+E33+F33-G33</f>
        <v>149229</v>
      </c>
      <c r="I33" s="10">
        <f>M32</f>
        <v>88700</v>
      </c>
      <c r="J33" s="10">
        <f>IF(B33&lt;=$E$7,$D$13*12*(1+$E$6)^(B33-1),0)</f>
        <v>0</v>
      </c>
      <c r="K33" s="10">
        <f>I33*$E$5</f>
        <v>5322</v>
      </c>
      <c r="L33" s="10">
        <f>IF(OR(B33=$F$13,B33=$E$8,B33=50),I33+J33+K33,0)</f>
        <v>94022</v>
      </c>
      <c r="M33" s="10">
        <f>I33+J33+K33-L33</f>
        <v>0</v>
      </c>
      <c r="N33" s="10">
        <f>R32</f>
        <v>13288</v>
      </c>
      <c r="O33" s="10">
        <f>IF(B33&lt;=$E$7,$D$14*12*(1+$E$6)^(B33-1),0)</f>
        <v>0</v>
      </c>
      <c r="P33" s="10">
        <f>N33*$E$5</f>
        <v>797</v>
      </c>
      <c r="Q33" s="10">
        <f>IF(OR(B33=$F$14,AND(B33&gt;$F$14,B33=$E$8),B33=50),N33+O33+P33,0)</f>
        <v>14085</v>
      </c>
      <c r="R33" s="10">
        <f>N33+O33+P33-Q33</f>
        <v>0</v>
      </c>
      <c r="S33" s="10">
        <f>L33+Q33</f>
        <v>108107</v>
      </c>
      <c r="T33" s="10">
        <f>G33</f>
        <v>0</v>
      </c>
    </row>
    <row r="34">
      <c r="B34" s="9">
        <v>16</v>
      </c>
      <c r="C34" s="9">
        <f>'Proyección'!B43</f>
        <v>2041</v>
      </c>
      <c r="D34" s="10">
        <f>H33</f>
        <v>149229</v>
      </c>
      <c r="E34" s="10">
        <f>IF(B34&lt;=$E$7,$D$12*12*(1+$E$6)^(B34-1),0)</f>
        <v>0</v>
      </c>
      <c r="F34" s="10">
        <f>D34*$E$5</f>
        <v>8954</v>
      </c>
      <c r="G34" s="10">
        <f>IF(B34&gt;=$F$12,IF(($I$12-$E$9-B34+2)&lt;=1,D34+F34,IF($E$5=0,D34/($I$12-$E$9-B34+2),D34*$E$5/(1-(1+$E$5)^(-($I$12-$E$9-B34+2))))),0)</f>
        <v>0</v>
      </c>
      <c r="H34" s="10">
        <f>D34+E34+F34-G34</f>
        <v>158183</v>
      </c>
      <c r="I34" s="10">
        <f>M33</f>
        <v>0</v>
      </c>
      <c r="J34" s="10">
        <f>IF(B34&lt;=$E$7,$D$13*12*(1+$E$6)^(B34-1),0)</f>
        <v>0</v>
      </c>
      <c r="K34" s="10">
        <f>I34*$E$5</f>
        <v>0</v>
      </c>
      <c r="L34" s="10">
        <f>IF(OR(B34=$F$13,B34=$E$8,B34=50),I34+J34+K34,0)</f>
        <v>0</v>
      </c>
      <c r="M34" s="10">
        <f>I34+J34+K34-L34</f>
        <v>0</v>
      </c>
      <c r="N34" s="10">
        <f>R33</f>
        <v>0</v>
      </c>
      <c r="O34" s="10">
        <f>IF(B34&lt;=$E$7,$D$14*12*(1+$E$6)^(B34-1),0)</f>
        <v>0</v>
      </c>
      <c r="P34" s="10">
        <f>N34*$E$5</f>
        <v>0</v>
      </c>
      <c r="Q34" s="10">
        <f>IF(OR(B34=$F$14,AND(B34&gt;$F$14,B34=$E$8),B34=50),N34+O34+P34,0)</f>
        <v>0</v>
      </c>
      <c r="R34" s="10">
        <f>N34+O34+P34-Q34</f>
        <v>0</v>
      </c>
      <c r="S34" s="10">
        <f>L34+Q34</f>
        <v>0</v>
      </c>
      <c r="T34" s="10">
        <f>G34</f>
        <v>0</v>
      </c>
    </row>
    <row r="35">
      <c r="B35" s="9">
        <v>17</v>
      </c>
      <c r="C35" s="9">
        <f>'Proyección'!B44</f>
        <v>2042</v>
      </c>
      <c r="D35" s="10">
        <f>H34</f>
        <v>158183</v>
      </c>
      <c r="E35" s="10">
        <f>IF(B35&lt;=$E$7,$D$12*12*(1+$E$6)^(B35-1),0)</f>
        <v>0</v>
      </c>
      <c r="F35" s="10">
        <f>D35*$E$5</f>
        <v>9491</v>
      </c>
      <c r="G35" s="10">
        <f>IF(B35&gt;=$F$12,IF(($I$12-$E$9-B35+2)&lt;=1,D35+F35,IF($E$5=0,D35/($I$12-$E$9-B35+2),D35*$E$5/(1-(1+$E$5)^(-($I$12-$E$9-B35+2))))),0)</f>
        <v>0</v>
      </c>
      <c r="H35" s="10">
        <f>D35+E35+F35-G35</f>
        <v>167674</v>
      </c>
      <c r="I35" s="10">
        <f>M34</f>
        <v>0</v>
      </c>
      <c r="J35" s="10">
        <f>IF(B35&lt;=$E$7,$D$13*12*(1+$E$6)^(B35-1),0)</f>
        <v>0</v>
      </c>
      <c r="K35" s="10">
        <f>I35*$E$5</f>
        <v>0</v>
      </c>
      <c r="L35" s="10">
        <f>IF(OR(B35=$F$13,B35=$E$8,B35=50),I35+J35+K35,0)</f>
        <v>0</v>
      </c>
      <c r="M35" s="10">
        <f>I35+J35+K35-L35</f>
        <v>0</v>
      </c>
      <c r="N35" s="10">
        <f>R34</f>
        <v>0</v>
      </c>
      <c r="O35" s="10">
        <f>IF(B35&lt;=$E$7,$D$14*12*(1+$E$6)^(B35-1),0)</f>
        <v>0</v>
      </c>
      <c r="P35" s="10">
        <f>N35*$E$5</f>
        <v>0</v>
      </c>
      <c r="Q35" s="10">
        <f>IF(OR(B35=$F$14,AND(B35&gt;$F$14,B35=$E$8),B35=50),N35+O35+P35,0)</f>
        <v>0</v>
      </c>
      <c r="R35" s="10">
        <f>N35+O35+P35-Q35</f>
        <v>0</v>
      </c>
      <c r="S35" s="10">
        <f>L35+Q35</f>
        <v>0</v>
      </c>
      <c r="T35" s="10">
        <f>G35</f>
        <v>0</v>
      </c>
    </row>
    <row r="36">
      <c r="B36" s="9">
        <v>18</v>
      </c>
      <c r="C36" s="9">
        <f>'Proyección'!B45</f>
        <v>2043</v>
      </c>
      <c r="D36" s="10">
        <f>H35</f>
        <v>167674</v>
      </c>
      <c r="E36" s="10">
        <f>IF(B36&lt;=$E$7,$D$12*12*(1+$E$6)^(B36-1),0)</f>
        <v>0</v>
      </c>
      <c r="F36" s="10">
        <f>D36*$E$5</f>
        <v>10060</v>
      </c>
      <c r="G36" s="10">
        <f>IF(B36&gt;=$F$12,IF(($I$12-$E$9-B36+2)&lt;=1,D36+F36,IF($E$5=0,D36/($I$12-$E$9-B36+2),D36*$E$5/(1-(1+$E$5)^(-($I$12-$E$9-B36+2))))),0)</f>
        <v>0</v>
      </c>
      <c r="H36" s="10">
        <f>D36+E36+F36-G36</f>
        <v>177735</v>
      </c>
      <c r="I36" s="10">
        <f>M35</f>
        <v>0</v>
      </c>
      <c r="J36" s="10">
        <f>IF(B36&lt;=$E$7,$D$13*12*(1+$E$6)^(B36-1),0)</f>
        <v>0</v>
      </c>
      <c r="K36" s="10">
        <f>I36*$E$5</f>
        <v>0</v>
      </c>
      <c r="L36" s="10">
        <f>IF(OR(B36=$F$13,B36=$E$8,B36=50),I36+J36+K36,0)</f>
        <v>0</v>
      </c>
      <c r="M36" s="10">
        <f>I36+J36+K36-L36</f>
        <v>0</v>
      </c>
      <c r="N36" s="10">
        <f>R35</f>
        <v>0</v>
      </c>
      <c r="O36" s="10">
        <f>IF(B36&lt;=$E$7,$D$14*12*(1+$E$6)^(B36-1),0)</f>
        <v>0</v>
      </c>
      <c r="P36" s="10">
        <f>N36*$E$5</f>
        <v>0</v>
      </c>
      <c r="Q36" s="10">
        <f>IF(OR(B36=$F$14,AND(B36&gt;$F$14,B36=$E$8),B36=50),N36+O36+P36,0)</f>
        <v>0</v>
      </c>
      <c r="R36" s="10">
        <f>N36+O36+P36-Q36</f>
        <v>0</v>
      </c>
      <c r="S36" s="10">
        <f>L36+Q36</f>
        <v>0</v>
      </c>
      <c r="T36" s="10">
        <f>G36</f>
        <v>0</v>
      </c>
    </row>
    <row r="37">
      <c r="B37" s="9">
        <v>19</v>
      </c>
      <c r="C37" s="9">
        <f>'Proyección'!B46</f>
        <v>2044</v>
      </c>
      <c r="D37" s="10">
        <f>H36</f>
        <v>177735</v>
      </c>
      <c r="E37" s="10">
        <f>IF(B37&lt;=$E$7,$D$12*12*(1+$E$6)^(B37-1),0)</f>
        <v>0</v>
      </c>
      <c r="F37" s="10">
        <f>D37*$E$5</f>
        <v>10664</v>
      </c>
      <c r="G37" s="10">
        <f>IF(B37&gt;=$F$12,IF(($I$12-$E$9-B37+2)&lt;=1,D37+F37,IF($E$5=0,D37/($I$12-$E$9-B37+2),D37*$E$5/(1-(1+$E$5)^(-($I$12-$E$9-B37+2))))),0)</f>
        <v>0</v>
      </c>
      <c r="H37" s="10">
        <f>D37+E37+F37-G37</f>
        <v>188399</v>
      </c>
      <c r="I37" s="10">
        <f>M36</f>
        <v>0</v>
      </c>
      <c r="J37" s="10">
        <f>IF(B37&lt;=$E$7,$D$13*12*(1+$E$6)^(B37-1),0)</f>
        <v>0</v>
      </c>
      <c r="K37" s="10">
        <f>I37*$E$5</f>
        <v>0</v>
      </c>
      <c r="L37" s="10">
        <f>IF(OR(B37=$F$13,B37=$E$8,B37=50),I37+J37+K37,0)</f>
        <v>0</v>
      </c>
      <c r="M37" s="10">
        <f>I37+J37+K37-L37</f>
        <v>0</v>
      </c>
      <c r="N37" s="10">
        <f>R36</f>
        <v>0</v>
      </c>
      <c r="O37" s="10">
        <f>IF(B37&lt;=$E$7,$D$14*12*(1+$E$6)^(B37-1),0)</f>
        <v>0</v>
      </c>
      <c r="P37" s="10">
        <f>N37*$E$5</f>
        <v>0</v>
      </c>
      <c r="Q37" s="10">
        <f>IF(OR(B37=$F$14,AND(B37&gt;$F$14,B37=$E$8),B37=50),N37+O37+P37,0)</f>
        <v>0</v>
      </c>
      <c r="R37" s="10">
        <f>N37+O37+P37-Q37</f>
        <v>0</v>
      </c>
      <c r="S37" s="10">
        <f>L37+Q37</f>
        <v>0</v>
      </c>
      <c r="T37" s="10">
        <f>G37</f>
        <v>0</v>
      </c>
    </row>
    <row r="38">
      <c r="B38" s="9">
        <v>20</v>
      </c>
      <c r="C38" s="9">
        <f>'Proyección'!B47</f>
        <v>2045</v>
      </c>
      <c r="D38" s="10">
        <f>H37</f>
        <v>188399</v>
      </c>
      <c r="E38" s="10">
        <f>IF(B38&lt;=$E$7,$D$12*12*(1+$E$6)^(B38-1),0)</f>
        <v>0</v>
      </c>
      <c r="F38" s="10">
        <f>D38*$E$5</f>
        <v>11304</v>
      </c>
      <c r="G38" s="10">
        <f>IF(B38&gt;=$F$12,IF(($I$12-$E$9-B38+2)&lt;=1,D38+F38,IF($E$5=0,D38/($I$12-$E$9-B38+2),D38*$E$5/(1-(1+$E$5)^(-($I$12-$E$9-B38+2))))),0)</f>
        <v>12885</v>
      </c>
      <c r="H38" s="10">
        <f>D38+E38+F38-G38</f>
        <v>186817</v>
      </c>
      <c r="I38" s="10">
        <f>M37</f>
        <v>0</v>
      </c>
      <c r="J38" s="10">
        <f>IF(B38&lt;=$E$7,$D$13*12*(1+$E$6)^(B38-1),0)</f>
        <v>0</v>
      </c>
      <c r="K38" s="10">
        <f>I38*$E$5</f>
        <v>0</v>
      </c>
      <c r="L38" s="10">
        <f>IF(OR(B38=$F$13,B38=$E$8,B38=50),I38+J38+K38,0)</f>
        <v>0</v>
      </c>
      <c r="M38" s="10">
        <f>I38+J38+K38-L38</f>
        <v>0</v>
      </c>
      <c r="N38" s="10">
        <f>R37</f>
        <v>0</v>
      </c>
      <c r="O38" s="10">
        <f>IF(B38&lt;=$E$7,$D$14*12*(1+$E$6)^(B38-1),0)</f>
        <v>0</v>
      </c>
      <c r="P38" s="10">
        <f>N38*$E$5</f>
        <v>0</v>
      </c>
      <c r="Q38" s="10">
        <f>IF(OR(B38=$F$14,AND(B38&gt;$F$14,B38=$E$8),B38=50),N38+O38+P38,0)</f>
        <v>0</v>
      </c>
      <c r="R38" s="10">
        <f>N38+O38+P38-Q38</f>
        <v>0</v>
      </c>
      <c r="S38" s="10">
        <f>L38+Q38</f>
        <v>0</v>
      </c>
      <c r="T38" s="10">
        <f>G38</f>
        <v>12885</v>
      </c>
    </row>
    <row r="39">
      <c r="B39" s="9">
        <v>21</v>
      </c>
      <c r="C39" s="9">
        <f>'Proyección'!B48</f>
        <v>2046</v>
      </c>
      <c r="D39" s="10">
        <f>H38</f>
        <v>186817</v>
      </c>
      <c r="E39" s="10">
        <f>IF(B39&lt;=$E$7,$D$12*12*(1+$E$6)^(B39-1),0)</f>
        <v>0</v>
      </c>
      <c r="F39" s="10">
        <f>D39*$E$5</f>
        <v>11209</v>
      </c>
      <c r="G39" s="10">
        <f>IF(B39&gt;=$F$12,IF(($I$12-$E$9-B39+2)&lt;=1,D39+F39,IF($E$5=0,D39/($I$12-$E$9-B39+2),D39*$E$5/(1-(1+$E$5)^(-($I$12-$E$9-B39+2))))),0)</f>
        <v>12885</v>
      </c>
      <c r="H39" s="10">
        <f>D39+E39+F39-G39</f>
        <v>185141</v>
      </c>
      <c r="I39" s="10">
        <f>M38</f>
        <v>0</v>
      </c>
      <c r="J39" s="10">
        <f>IF(B39&lt;=$E$7,$D$13*12*(1+$E$6)^(B39-1),0)</f>
        <v>0</v>
      </c>
      <c r="K39" s="10">
        <f>I39*$E$5</f>
        <v>0</v>
      </c>
      <c r="L39" s="10">
        <f>IF(OR(B39=$F$13,B39=$E$8,B39=50),I39+J39+K39,0)</f>
        <v>0</v>
      </c>
      <c r="M39" s="10">
        <f>I39+J39+K39-L39</f>
        <v>0</v>
      </c>
      <c r="N39" s="10">
        <f>R38</f>
        <v>0</v>
      </c>
      <c r="O39" s="10">
        <f>IF(B39&lt;=$E$7,$D$14*12*(1+$E$6)^(B39-1),0)</f>
        <v>0</v>
      </c>
      <c r="P39" s="10">
        <f>N39*$E$5</f>
        <v>0</v>
      </c>
      <c r="Q39" s="10">
        <f>IF(OR(B39=$F$14,AND(B39&gt;$F$14,B39=$E$8),B39=50),N39+O39+P39,0)</f>
        <v>0</v>
      </c>
      <c r="R39" s="10">
        <f>N39+O39+P39-Q39</f>
        <v>0</v>
      </c>
      <c r="S39" s="10">
        <f>L39+Q39</f>
        <v>0</v>
      </c>
      <c r="T39" s="10">
        <f>G39</f>
        <v>12885</v>
      </c>
    </row>
    <row r="40">
      <c r="B40" s="9">
        <v>22</v>
      </c>
      <c r="C40" s="9">
        <f>'Proyección'!B49</f>
        <v>2047</v>
      </c>
      <c r="D40" s="10">
        <f>H39</f>
        <v>185141</v>
      </c>
      <c r="E40" s="10">
        <f>IF(B40&lt;=$E$7,$D$12*12*(1+$E$6)^(B40-1),0)</f>
        <v>0</v>
      </c>
      <c r="F40" s="10">
        <f>D40*$E$5</f>
        <v>11108</v>
      </c>
      <c r="G40" s="10">
        <f>IF(B40&gt;=$F$12,IF(($I$12-$E$9-B40+2)&lt;=1,D40+F40,IF($E$5=0,D40/($I$12-$E$9-B40+2),D40*$E$5/(1-(1+$E$5)^(-($I$12-$E$9-B40+2))))),0)</f>
        <v>12885</v>
      </c>
      <c r="H40" s="10">
        <f>D40+E40+F40-G40</f>
        <v>183363</v>
      </c>
      <c r="I40" s="10">
        <f>M39</f>
        <v>0</v>
      </c>
      <c r="J40" s="10">
        <f>IF(B40&lt;=$E$7,$D$13*12*(1+$E$6)^(B40-1),0)</f>
        <v>0</v>
      </c>
      <c r="K40" s="10">
        <f>I40*$E$5</f>
        <v>0</v>
      </c>
      <c r="L40" s="10">
        <f>IF(OR(B40=$F$13,B40=$E$8,B40=50),I40+J40+K40,0)</f>
        <v>0</v>
      </c>
      <c r="M40" s="10">
        <f>I40+J40+K40-L40</f>
        <v>0</v>
      </c>
      <c r="N40" s="10">
        <f>R39</f>
        <v>0</v>
      </c>
      <c r="O40" s="10">
        <f>IF(B40&lt;=$E$7,$D$14*12*(1+$E$6)^(B40-1),0)</f>
        <v>0</v>
      </c>
      <c r="P40" s="10">
        <f>N40*$E$5</f>
        <v>0</v>
      </c>
      <c r="Q40" s="10">
        <f>IF(OR(B40=$F$14,AND(B40&gt;$F$14,B40=$E$8),B40=50),N40+O40+P40,0)</f>
        <v>0</v>
      </c>
      <c r="R40" s="10">
        <f>N40+O40+P40-Q40</f>
        <v>0</v>
      </c>
      <c r="S40" s="10">
        <f>L40+Q40</f>
        <v>0</v>
      </c>
      <c r="T40" s="10">
        <f>G40</f>
        <v>12885</v>
      </c>
    </row>
    <row r="41">
      <c r="B41" s="9">
        <v>23</v>
      </c>
      <c r="C41" s="9">
        <f>'Proyección'!B50</f>
        <v>2048</v>
      </c>
      <c r="D41" s="10">
        <f>H40</f>
        <v>183363</v>
      </c>
      <c r="E41" s="10">
        <f>IF(B41&lt;=$E$7,$D$12*12*(1+$E$6)^(B41-1),0)</f>
        <v>0</v>
      </c>
      <c r="F41" s="10">
        <f>D41*$E$5</f>
        <v>11002</v>
      </c>
      <c r="G41" s="10">
        <f>IF(B41&gt;=$F$12,IF(($I$12-$E$9-B41+2)&lt;=1,D41+F41,IF($E$5=0,D41/($I$12-$E$9-B41+2),D41*$E$5/(1-(1+$E$5)^(-($I$12-$E$9-B41+2))))),0)</f>
        <v>12885</v>
      </c>
      <c r="H41" s="10">
        <f>D41+E41+F41-G41</f>
        <v>181480</v>
      </c>
      <c r="I41" s="10">
        <f>M40</f>
        <v>0</v>
      </c>
      <c r="J41" s="10">
        <f>IF(B41&lt;=$E$7,$D$13*12*(1+$E$6)^(B41-1),0)</f>
        <v>0</v>
      </c>
      <c r="K41" s="10">
        <f>I41*$E$5</f>
        <v>0</v>
      </c>
      <c r="L41" s="10">
        <f>IF(OR(B41=$F$13,B41=$E$8,B41=50),I41+J41+K41,0)</f>
        <v>0</v>
      </c>
      <c r="M41" s="10">
        <f>I41+J41+K41-L41</f>
        <v>0</v>
      </c>
      <c r="N41" s="10">
        <f>R40</f>
        <v>0</v>
      </c>
      <c r="O41" s="10">
        <f>IF(B41&lt;=$E$7,$D$14*12*(1+$E$6)^(B41-1),0)</f>
        <v>0</v>
      </c>
      <c r="P41" s="10">
        <f>N41*$E$5</f>
        <v>0</v>
      </c>
      <c r="Q41" s="10">
        <f>IF(OR(B41=$F$14,AND(B41&gt;$F$14,B41=$E$8),B41=50),N41+O41+P41,0)</f>
        <v>0</v>
      </c>
      <c r="R41" s="10">
        <f>N41+O41+P41-Q41</f>
        <v>0</v>
      </c>
      <c r="S41" s="10">
        <f>L41+Q41</f>
        <v>0</v>
      </c>
      <c r="T41" s="10">
        <f>G41</f>
        <v>12885</v>
      </c>
    </row>
    <row r="42">
      <c r="B42" s="9">
        <v>24</v>
      </c>
      <c r="C42" s="9">
        <f>'Proyección'!B51</f>
        <v>2049</v>
      </c>
      <c r="D42" s="10">
        <f>H41</f>
        <v>181480</v>
      </c>
      <c r="E42" s="10">
        <f>IF(B42&lt;=$E$7,$D$12*12*(1+$E$6)^(B42-1),0)</f>
        <v>0</v>
      </c>
      <c r="F42" s="10">
        <f>D42*$E$5</f>
        <v>10889</v>
      </c>
      <c r="G42" s="10">
        <f>IF(B42&gt;=$F$12,IF(($I$12-$E$9-B42+2)&lt;=1,D42+F42,IF($E$5=0,D42/($I$12-$E$9-B42+2),D42*$E$5/(1-(1+$E$5)^(-($I$12-$E$9-B42+2))))),0)</f>
        <v>12885</v>
      </c>
      <c r="H42" s="10">
        <f>D42+E42+F42-G42</f>
        <v>179483</v>
      </c>
      <c r="I42" s="10">
        <f>M41</f>
        <v>0</v>
      </c>
      <c r="J42" s="10">
        <f>IF(B42&lt;=$E$7,$D$13*12*(1+$E$6)^(B42-1),0)</f>
        <v>0</v>
      </c>
      <c r="K42" s="10">
        <f>I42*$E$5</f>
        <v>0</v>
      </c>
      <c r="L42" s="10">
        <f>IF(OR(B42=$F$13,B42=$E$8,B42=50),I42+J42+K42,0)</f>
        <v>0</v>
      </c>
      <c r="M42" s="10">
        <f>I42+J42+K42-L42</f>
        <v>0</v>
      </c>
      <c r="N42" s="10">
        <f>R41</f>
        <v>0</v>
      </c>
      <c r="O42" s="10">
        <f>IF(B42&lt;=$E$7,$D$14*12*(1+$E$6)^(B42-1),0)</f>
        <v>0</v>
      </c>
      <c r="P42" s="10">
        <f>N42*$E$5</f>
        <v>0</v>
      </c>
      <c r="Q42" s="10">
        <f>IF(OR(B42=$F$14,AND(B42&gt;$F$14,B42=$E$8),B42=50),N42+O42+P42,0)</f>
        <v>0</v>
      </c>
      <c r="R42" s="10">
        <f>N42+O42+P42-Q42</f>
        <v>0</v>
      </c>
      <c r="S42" s="10">
        <f>L42+Q42</f>
        <v>0</v>
      </c>
      <c r="T42" s="10">
        <f>G42</f>
        <v>12885</v>
      </c>
    </row>
    <row r="43">
      <c r="B43" s="9">
        <v>25</v>
      </c>
      <c r="C43" s="9">
        <f>'Proyección'!B52</f>
        <v>2050</v>
      </c>
      <c r="D43" s="10">
        <f>H42</f>
        <v>179483</v>
      </c>
      <c r="E43" s="10">
        <f>IF(B43&lt;=$E$7,$D$12*12*(1+$E$6)^(B43-1),0)</f>
        <v>0</v>
      </c>
      <c r="F43" s="10">
        <f>D43*$E$5</f>
        <v>10769</v>
      </c>
      <c r="G43" s="10">
        <f>IF(B43&gt;=$F$12,IF(($I$12-$E$9-B43+2)&lt;=1,D43+F43,IF($E$5=0,D43/($I$12-$E$9-B43+2),D43*$E$5/(1-(1+$E$5)^(-($I$12-$E$9-B43+2))))),0)</f>
        <v>12885</v>
      </c>
      <c r="H43" s="10">
        <f>D43+E43+F43-G43</f>
        <v>177367</v>
      </c>
      <c r="I43" s="10">
        <f>M42</f>
        <v>0</v>
      </c>
      <c r="J43" s="10">
        <f>IF(B43&lt;=$E$7,$D$13*12*(1+$E$6)^(B43-1),0)</f>
        <v>0</v>
      </c>
      <c r="K43" s="10">
        <f>I43*$E$5</f>
        <v>0</v>
      </c>
      <c r="L43" s="10">
        <f>IF(OR(B43=$F$13,B43=$E$8,B43=50),I43+J43+K43,0)</f>
        <v>0</v>
      </c>
      <c r="M43" s="10">
        <f>I43+J43+K43-L43</f>
        <v>0</v>
      </c>
      <c r="N43" s="10">
        <f>R42</f>
        <v>0</v>
      </c>
      <c r="O43" s="10">
        <f>IF(B43&lt;=$E$7,$D$14*12*(1+$E$6)^(B43-1),0)</f>
        <v>0</v>
      </c>
      <c r="P43" s="10">
        <f>N43*$E$5</f>
        <v>0</v>
      </c>
      <c r="Q43" s="10">
        <f>IF(OR(B43=$F$14,AND(B43&gt;$F$14,B43=$E$8),B43=50),N43+O43+P43,0)</f>
        <v>0</v>
      </c>
      <c r="R43" s="10">
        <f>N43+O43+P43-Q43</f>
        <v>0</v>
      </c>
      <c r="S43" s="10">
        <f>L43+Q43</f>
        <v>0</v>
      </c>
      <c r="T43" s="10">
        <f>G43</f>
        <v>12885</v>
      </c>
    </row>
    <row r="44">
      <c r="B44" s="9">
        <v>26</v>
      </c>
      <c r="C44" s="9">
        <f>'Proyección'!B53</f>
        <v>2051</v>
      </c>
      <c r="D44" s="10">
        <f>H43</f>
        <v>177367</v>
      </c>
      <c r="E44" s="10">
        <f>IF(B44&lt;=$E$7,$D$12*12*(1+$E$6)^(B44-1),0)</f>
        <v>0</v>
      </c>
      <c r="F44" s="10">
        <f>D44*$E$5</f>
        <v>10642</v>
      </c>
      <c r="G44" s="10">
        <f>IF(B44&gt;=$F$12,IF(($I$12-$E$9-B44+2)&lt;=1,D44+F44,IF($E$5=0,D44/($I$12-$E$9-B44+2),D44*$E$5/(1-(1+$E$5)^(-($I$12-$E$9-B44+2))))),0)</f>
        <v>12885</v>
      </c>
      <c r="H44" s="10">
        <f>D44+E44+F44-G44</f>
        <v>175123</v>
      </c>
      <c r="I44" s="10">
        <f>M43</f>
        <v>0</v>
      </c>
      <c r="J44" s="10">
        <f>IF(B44&lt;=$E$7,$D$13*12*(1+$E$6)^(B44-1),0)</f>
        <v>0</v>
      </c>
      <c r="K44" s="10">
        <f>I44*$E$5</f>
        <v>0</v>
      </c>
      <c r="L44" s="10">
        <f>IF(OR(B44=$F$13,B44=$E$8,B44=50),I44+J44+K44,0)</f>
        <v>0</v>
      </c>
      <c r="M44" s="10">
        <f>I44+J44+K44-L44</f>
        <v>0</v>
      </c>
      <c r="N44" s="10">
        <f>R43</f>
        <v>0</v>
      </c>
      <c r="O44" s="10">
        <f>IF(B44&lt;=$E$7,$D$14*12*(1+$E$6)^(B44-1),0)</f>
        <v>0</v>
      </c>
      <c r="P44" s="10">
        <f>N44*$E$5</f>
        <v>0</v>
      </c>
      <c r="Q44" s="10">
        <f>IF(OR(B44=$F$14,AND(B44&gt;$F$14,B44=$E$8),B44=50),N44+O44+P44,0)</f>
        <v>0</v>
      </c>
      <c r="R44" s="10">
        <f>N44+O44+P44-Q44</f>
        <v>0</v>
      </c>
      <c r="S44" s="10">
        <f>L44+Q44</f>
        <v>0</v>
      </c>
      <c r="T44" s="10">
        <f>G44</f>
        <v>12885</v>
      </c>
    </row>
    <row r="45">
      <c r="B45" s="9">
        <v>27</v>
      </c>
      <c r="C45" s="9">
        <f>'Proyección'!B54</f>
        <v>2052</v>
      </c>
      <c r="D45" s="10">
        <f>H44</f>
        <v>175123</v>
      </c>
      <c r="E45" s="10">
        <f>IF(B45&lt;=$E$7,$D$12*12*(1+$E$6)^(B45-1),0)</f>
        <v>0</v>
      </c>
      <c r="F45" s="10">
        <f>D45*$E$5</f>
        <v>10507</v>
      </c>
      <c r="G45" s="10">
        <f>IF(B45&gt;=$F$12,IF(($I$12-$E$9-B45+2)&lt;=1,D45+F45,IF($E$5=0,D45/($I$12-$E$9-B45+2),D45*$E$5/(1-(1+$E$5)^(-($I$12-$E$9-B45+2))))),0)</f>
        <v>12885</v>
      </c>
      <c r="H45" s="10">
        <f>D45+E45+F45-G45</f>
        <v>172745</v>
      </c>
      <c r="I45" s="10">
        <f>M44</f>
        <v>0</v>
      </c>
      <c r="J45" s="10">
        <f>IF(B45&lt;=$E$7,$D$13*12*(1+$E$6)^(B45-1),0)</f>
        <v>0</v>
      </c>
      <c r="K45" s="10">
        <f>I45*$E$5</f>
        <v>0</v>
      </c>
      <c r="L45" s="10">
        <f>IF(OR(B45=$F$13,B45=$E$8,B45=50),I45+J45+K45,0)</f>
        <v>0</v>
      </c>
      <c r="M45" s="10">
        <f>I45+J45+K45-L45</f>
        <v>0</v>
      </c>
      <c r="N45" s="10">
        <f>R44</f>
        <v>0</v>
      </c>
      <c r="O45" s="10">
        <f>IF(B45&lt;=$E$7,$D$14*12*(1+$E$6)^(B45-1),0)</f>
        <v>0</v>
      </c>
      <c r="P45" s="10">
        <f>N45*$E$5</f>
        <v>0</v>
      </c>
      <c r="Q45" s="10">
        <f>IF(OR(B45=$F$14,AND(B45&gt;$F$14,B45=$E$8),B45=50),N45+O45+P45,0)</f>
        <v>0</v>
      </c>
      <c r="R45" s="10">
        <f>N45+O45+P45-Q45</f>
        <v>0</v>
      </c>
      <c r="S45" s="10">
        <f>L45+Q45</f>
        <v>0</v>
      </c>
      <c r="T45" s="10">
        <f>G45</f>
        <v>12885</v>
      </c>
    </row>
    <row r="46">
      <c r="B46" s="9">
        <v>28</v>
      </c>
      <c r="C46" s="9">
        <f>'Proyección'!B55</f>
        <v>2053</v>
      </c>
      <c r="D46" s="10">
        <f>H45</f>
        <v>172745</v>
      </c>
      <c r="E46" s="10">
        <f>IF(B46&lt;=$E$7,$D$12*12*(1+$E$6)^(B46-1),0)</f>
        <v>0</v>
      </c>
      <c r="F46" s="10">
        <f>D46*$E$5</f>
        <v>10365</v>
      </c>
      <c r="G46" s="10">
        <f>IF(B46&gt;=$F$12,IF(($I$12-$E$9-B46+2)&lt;=1,D46+F46,IF($E$5=0,D46/($I$12-$E$9-B46+2),D46*$E$5/(1-(1+$E$5)^(-($I$12-$E$9-B46+2))))),0)</f>
        <v>12885</v>
      </c>
      <c r="H46" s="10">
        <f>D46+E46+F46-G46</f>
        <v>170224</v>
      </c>
      <c r="I46" s="10">
        <f>M45</f>
        <v>0</v>
      </c>
      <c r="J46" s="10">
        <f>IF(B46&lt;=$E$7,$D$13*12*(1+$E$6)^(B46-1),0)</f>
        <v>0</v>
      </c>
      <c r="K46" s="10">
        <f>I46*$E$5</f>
        <v>0</v>
      </c>
      <c r="L46" s="10">
        <f>IF(OR(B46=$F$13,B46=$E$8,B46=50),I46+J46+K46,0)</f>
        <v>0</v>
      </c>
      <c r="M46" s="10">
        <f>I46+J46+K46-L46</f>
        <v>0</v>
      </c>
      <c r="N46" s="10">
        <f>R45</f>
        <v>0</v>
      </c>
      <c r="O46" s="10">
        <f>IF(B46&lt;=$E$7,$D$14*12*(1+$E$6)^(B46-1),0)</f>
        <v>0</v>
      </c>
      <c r="P46" s="10">
        <f>N46*$E$5</f>
        <v>0</v>
      </c>
      <c r="Q46" s="10">
        <f>IF(OR(B46=$F$14,AND(B46&gt;$F$14,B46=$E$8),B46=50),N46+O46+P46,0)</f>
        <v>0</v>
      </c>
      <c r="R46" s="10">
        <f>N46+O46+P46-Q46</f>
        <v>0</v>
      </c>
      <c r="S46" s="10">
        <f>L46+Q46</f>
        <v>0</v>
      </c>
      <c r="T46" s="10">
        <f>G46</f>
        <v>12885</v>
      </c>
    </row>
    <row r="47">
      <c r="B47" s="9">
        <v>29</v>
      </c>
      <c r="C47" s="9">
        <f>'Proyección'!B56</f>
        <v>2054</v>
      </c>
      <c r="D47" s="10">
        <f>H46</f>
        <v>170224</v>
      </c>
      <c r="E47" s="10">
        <f>IF(B47&lt;=$E$7,$D$12*12*(1+$E$6)^(B47-1),0)</f>
        <v>0</v>
      </c>
      <c r="F47" s="10">
        <f>D47*$E$5</f>
        <v>10213</v>
      </c>
      <c r="G47" s="10">
        <f>IF(B47&gt;=$F$12,IF(($I$12-$E$9-B47+2)&lt;=1,D47+F47,IF($E$5=0,D47/($I$12-$E$9-B47+2),D47*$E$5/(1-(1+$E$5)^(-($I$12-$E$9-B47+2))))),0)</f>
        <v>12885</v>
      </c>
      <c r="H47" s="10">
        <f>D47+E47+F47-G47</f>
        <v>167552</v>
      </c>
      <c r="I47" s="10">
        <f>M46</f>
        <v>0</v>
      </c>
      <c r="J47" s="10">
        <f>IF(B47&lt;=$E$7,$D$13*12*(1+$E$6)^(B47-1),0)</f>
        <v>0</v>
      </c>
      <c r="K47" s="10">
        <f>I47*$E$5</f>
        <v>0</v>
      </c>
      <c r="L47" s="10">
        <f>IF(OR(B47=$F$13,B47=$E$8,B47=50),I47+J47+K47,0)</f>
        <v>0</v>
      </c>
      <c r="M47" s="10">
        <f>I47+J47+K47-L47</f>
        <v>0</v>
      </c>
      <c r="N47" s="10">
        <f>R46</f>
        <v>0</v>
      </c>
      <c r="O47" s="10">
        <f>IF(B47&lt;=$E$7,$D$14*12*(1+$E$6)^(B47-1),0)</f>
        <v>0</v>
      </c>
      <c r="P47" s="10">
        <f>N47*$E$5</f>
        <v>0</v>
      </c>
      <c r="Q47" s="10">
        <f>IF(OR(B47=$F$14,AND(B47&gt;$F$14,B47=$E$8),B47=50),N47+O47+P47,0)</f>
        <v>0</v>
      </c>
      <c r="R47" s="10">
        <f>N47+O47+P47-Q47</f>
        <v>0</v>
      </c>
      <c r="S47" s="10">
        <f>L47+Q47</f>
        <v>0</v>
      </c>
      <c r="T47" s="10">
        <f>G47</f>
        <v>12885</v>
      </c>
    </row>
    <row r="48">
      <c r="B48" s="9">
        <v>30</v>
      </c>
      <c r="C48" s="9">
        <f>'Proyección'!B57</f>
        <v>2055</v>
      </c>
      <c r="D48" s="10">
        <f>H47</f>
        <v>167552</v>
      </c>
      <c r="E48" s="10">
        <f>IF(B48&lt;=$E$7,$D$12*12*(1+$E$6)^(B48-1),0)</f>
        <v>0</v>
      </c>
      <c r="F48" s="10">
        <f>D48*$E$5</f>
        <v>10053</v>
      </c>
      <c r="G48" s="10">
        <f>IF(B48&gt;=$F$12,IF(($I$12-$E$9-B48+2)&lt;=1,D48+F48,IF($E$5=0,D48/($I$12-$E$9-B48+2),D48*$E$5/(1-(1+$E$5)^(-($I$12-$E$9-B48+2))))),0)</f>
        <v>12885</v>
      </c>
      <c r="H48" s="10">
        <f>D48+E48+F48-G48</f>
        <v>164720</v>
      </c>
      <c r="I48" s="10">
        <f>M47</f>
        <v>0</v>
      </c>
      <c r="J48" s="10">
        <f>IF(B48&lt;=$E$7,$D$13*12*(1+$E$6)^(B48-1),0)</f>
        <v>0</v>
      </c>
      <c r="K48" s="10">
        <f>I48*$E$5</f>
        <v>0</v>
      </c>
      <c r="L48" s="10">
        <f>IF(OR(B48=$F$13,B48=$E$8,B48=50),I48+J48+K48,0)</f>
        <v>0</v>
      </c>
      <c r="M48" s="10">
        <f>I48+J48+K48-L48</f>
        <v>0</v>
      </c>
      <c r="N48" s="10">
        <f>R47</f>
        <v>0</v>
      </c>
      <c r="O48" s="10">
        <f>IF(B48&lt;=$E$7,$D$14*12*(1+$E$6)^(B48-1),0)</f>
        <v>0</v>
      </c>
      <c r="P48" s="10">
        <f>N48*$E$5</f>
        <v>0</v>
      </c>
      <c r="Q48" s="10">
        <f>IF(OR(B48=$F$14,AND(B48&gt;$F$14,B48=$E$8),B48=50),N48+O48+P48,0)</f>
        <v>0</v>
      </c>
      <c r="R48" s="10">
        <f>N48+O48+P48-Q48</f>
        <v>0</v>
      </c>
      <c r="S48" s="10">
        <f>L48+Q48</f>
        <v>0</v>
      </c>
      <c r="T48" s="10">
        <f>G48</f>
        <v>12885</v>
      </c>
    </row>
    <row r="49">
      <c r="B49" s="9">
        <v>31</v>
      </c>
      <c r="C49" s="9">
        <f>'Proyección'!B58</f>
        <v>2056</v>
      </c>
      <c r="D49" s="10">
        <f>H48</f>
        <v>164720</v>
      </c>
      <c r="E49" s="10">
        <f>IF(B49&lt;=$E$7,$D$12*12*(1+$E$6)^(B49-1),0)</f>
        <v>0</v>
      </c>
      <c r="F49" s="10">
        <f>D49*$E$5</f>
        <v>9883</v>
      </c>
      <c r="G49" s="10">
        <f>IF(B49&gt;=$F$12,IF(($I$12-$E$9-B49+2)&lt;=1,D49+F49,IF($E$5=0,D49/($I$12-$E$9-B49+2),D49*$E$5/(1-(1+$E$5)^(-($I$12-$E$9-B49+2))))),0)</f>
        <v>12885</v>
      </c>
      <c r="H49" s="10">
        <f>D49+E49+F49-G49</f>
        <v>161718</v>
      </c>
      <c r="I49" s="10">
        <f>M48</f>
        <v>0</v>
      </c>
      <c r="J49" s="10">
        <f>IF(B49&lt;=$E$7,$D$13*12*(1+$E$6)^(B49-1),0)</f>
        <v>0</v>
      </c>
      <c r="K49" s="10">
        <f>I49*$E$5</f>
        <v>0</v>
      </c>
      <c r="L49" s="10">
        <f>IF(OR(B49=$F$13,B49=$E$8,B49=50),I49+J49+K49,0)</f>
        <v>0</v>
      </c>
      <c r="M49" s="10">
        <f>I49+J49+K49-L49</f>
        <v>0</v>
      </c>
      <c r="N49" s="10">
        <f>R48</f>
        <v>0</v>
      </c>
      <c r="O49" s="10">
        <f>IF(B49&lt;=$E$7,$D$14*12*(1+$E$6)^(B49-1),0)</f>
        <v>0</v>
      </c>
      <c r="P49" s="10">
        <f>N49*$E$5</f>
        <v>0</v>
      </c>
      <c r="Q49" s="10">
        <f>IF(OR(B49=$F$14,AND(B49&gt;$F$14,B49=$E$8),B49=50),N49+O49+P49,0)</f>
        <v>0</v>
      </c>
      <c r="R49" s="10">
        <f>N49+O49+P49-Q49</f>
        <v>0</v>
      </c>
      <c r="S49" s="10">
        <f>L49+Q49</f>
        <v>0</v>
      </c>
      <c r="T49" s="10">
        <f>G49</f>
        <v>12885</v>
      </c>
    </row>
    <row r="50">
      <c r="B50" s="9">
        <v>32</v>
      </c>
      <c r="C50" s="9">
        <f>'Proyección'!B59</f>
        <v>2057</v>
      </c>
      <c r="D50" s="10">
        <f>H49</f>
        <v>161718</v>
      </c>
      <c r="E50" s="10">
        <f>IF(B50&lt;=$E$7,$D$12*12*(1+$E$6)^(B50-1),0)</f>
        <v>0</v>
      </c>
      <c r="F50" s="10">
        <f>D50*$E$5</f>
        <v>9703</v>
      </c>
      <c r="G50" s="10">
        <f>IF(B50&gt;=$F$12,IF(($I$12-$E$9-B50+2)&lt;=1,D50+F50,IF($E$5=0,D50/($I$12-$E$9-B50+2),D50*$E$5/(1-(1+$E$5)^(-($I$12-$E$9-B50+2))))),0)</f>
        <v>12885</v>
      </c>
      <c r="H50" s="10">
        <f>D50+E50+F50-G50</f>
        <v>158535</v>
      </c>
      <c r="I50" s="10">
        <f>M49</f>
        <v>0</v>
      </c>
      <c r="J50" s="10">
        <f>IF(B50&lt;=$E$7,$D$13*12*(1+$E$6)^(B50-1),0)</f>
        <v>0</v>
      </c>
      <c r="K50" s="10">
        <f>I50*$E$5</f>
        <v>0</v>
      </c>
      <c r="L50" s="10">
        <f>IF(OR(B50=$F$13,B50=$E$8,B50=50),I50+J50+K50,0)</f>
        <v>0</v>
      </c>
      <c r="M50" s="10">
        <f>I50+J50+K50-L50</f>
        <v>0</v>
      </c>
      <c r="N50" s="10">
        <f>R49</f>
        <v>0</v>
      </c>
      <c r="O50" s="10">
        <f>IF(B50&lt;=$E$7,$D$14*12*(1+$E$6)^(B50-1),0)</f>
        <v>0</v>
      </c>
      <c r="P50" s="10">
        <f>N50*$E$5</f>
        <v>0</v>
      </c>
      <c r="Q50" s="10">
        <f>IF(OR(B50=$F$14,AND(B50&gt;$F$14,B50=$E$8),B50=50),N50+O50+P50,0)</f>
        <v>0</v>
      </c>
      <c r="R50" s="10">
        <f>N50+O50+P50-Q50</f>
        <v>0</v>
      </c>
      <c r="S50" s="10">
        <f>L50+Q50</f>
        <v>0</v>
      </c>
      <c r="T50" s="10">
        <f>G50</f>
        <v>12885</v>
      </c>
    </row>
    <row r="51">
      <c r="B51" s="9">
        <v>33</v>
      </c>
      <c r="C51" s="9">
        <f>'Proyección'!B60</f>
        <v>2058</v>
      </c>
      <c r="D51" s="10">
        <f>H50</f>
        <v>158535</v>
      </c>
      <c r="E51" s="10">
        <f>IF(B51&lt;=$E$7,$D$12*12*(1+$E$6)^(B51-1),0)</f>
        <v>0</v>
      </c>
      <c r="F51" s="10">
        <f>D51*$E$5</f>
        <v>9512</v>
      </c>
      <c r="G51" s="10">
        <f>IF(B51&gt;=$F$12,IF(($I$12-$E$9-B51+2)&lt;=1,D51+F51,IF($E$5=0,D51/($I$12-$E$9-B51+2),D51*$E$5/(1-(1+$E$5)^(-($I$12-$E$9-B51+2))))),0)</f>
        <v>12885</v>
      </c>
      <c r="H51" s="10">
        <f>D51+E51+F51-G51</f>
        <v>155162</v>
      </c>
      <c r="I51" s="10">
        <f>M50</f>
        <v>0</v>
      </c>
      <c r="J51" s="10">
        <f>IF(B51&lt;=$E$7,$D$13*12*(1+$E$6)^(B51-1),0)</f>
        <v>0</v>
      </c>
      <c r="K51" s="10">
        <f>I51*$E$5</f>
        <v>0</v>
      </c>
      <c r="L51" s="10">
        <f>IF(OR(B51=$F$13,B51=$E$8,B51=50),I51+J51+K51,0)</f>
        <v>0</v>
      </c>
      <c r="M51" s="10">
        <f>I51+J51+K51-L51</f>
        <v>0</v>
      </c>
      <c r="N51" s="10">
        <f>R50</f>
        <v>0</v>
      </c>
      <c r="O51" s="10">
        <f>IF(B51&lt;=$E$7,$D$14*12*(1+$E$6)^(B51-1),0)</f>
        <v>0</v>
      </c>
      <c r="P51" s="10">
        <f>N51*$E$5</f>
        <v>0</v>
      </c>
      <c r="Q51" s="10">
        <f>IF(OR(B51=$F$14,AND(B51&gt;$F$14,B51=$E$8),B51=50),N51+O51+P51,0)</f>
        <v>0</v>
      </c>
      <c r="R51" s="10">
        <f>N51+O51+P51-Q51</f>
        <v>0</v>
      </c>
      <c r="S51" s="10">
        <f>L51+Q51</f>
        <v>0</v>
      </c>
      <c r="T51" s="10">
        <f>G51</f>
        <v>12885</v>
      </c>
    </row>
    <row r="52">
      <c r="B52" s="9">
        <v>34</v>
      </c>
      <c r="C52" s="9">
        <f>'Proyección'!B61</f>
        <v>2059</v>
      </c>
      <c r="D52" s="10">
        <f>H51</f>
        <v>155162</v>
      </c>
      <c r="E52" s="10">
        <f>IF(B52&lt;=$E$7,$D$12*12*(1+$E$6)^(B52-1),0)</f>
        <v>0</v>
      </c>
      <c r="F52" s="10">
        <f>D52*$E$5</f>
        <v>9310</v>
      </c>
      <c r="G52" s="10">
        <f>IF(B52&gt;=$F$12,IF(($I$12-$E$9-B52+2)&lt;=1,D52+F52,IF($E$5=0,D52/($I$12-$E$9-B52+2),D52*$E$5/(1-(1+$E$5)^(-($I$12-$E$9-B52+2))))),0)</f>
        <v>12885</v>
      </c>
      <c r="H52" s="10">
        <f>D52+E52+F52-G52</f>
        <v>151586</v>
      </c>
      <c r="I52" s="10">
        <f>M51</f>
        <v>0</v>
      </c>
      <c r="J52" s="10">
        <f>IF(B52&lt;=$E$7,$D$13*12*(1+$E$6)^(B52-1),0)</f>
        <v>0</v>
      </c>
      <c r="K52" s="10">
        <f>I52*$E$5</f>
        <v>0</v>
      </c>
      <c r="L52" s="10">
        <f>IF(OR(B52=$F$13,B52=$E$8,B52=50),I52+J52+K52,0)</f>
        <v>0</v>
      </c>
      <c r="M52" s="10">
        <f>I52+J52+K52-L52</f>
        <v>0</v>
      </c>
      <c r="N52" s="10">
        <f>R51</f>
        <v>0</v>
      </c>
      <c r="O52" s="10">
        <f>IF(B52&lt;=$E$7,$D$14*12*(1+$E$6)^(B52-1),0)</f>
        <v>0</v>
      </c>
      <c r="P52" s="10">
        <f>N52*$E$5</f>
        <v>0</v>
      </c>
      <c r="Q52" s="10">
        <f>IF(OR(B52=$F$14,AND(B52&gt;$F$14,B52=$E$8),B52=50),N52+O52+P52,0)</f>
        <v>0</v>
      </c>
      <c r="R52" s="10">
        <f>N52+O52+P52-Q52</f>
        <v>0</v>
      </c>
      <c r="S52" s="10">
        <f>L52+Q52</f>
        <v>0</v>
      </c>
      <c r="T52" s="10">
        <f>G52</f>
        <v>12885</v>
      </c>
    </row>
    <row r="53">
      <c r="B53" s="9">
        <v>35</v>
      </c>
      <c r="C53" s="9">
        <f>'Proyección'!B62</f>
        <v>2060</v>
      </c>
      <c r="D53" s="10">
        <f>H52</f>
        <v>151586</v>
      </c>
      <c r="E53" s="10">
        <f>IF(B53&lt;=$E$7,$D$12*12*(1+$E$6)^(B53-1),0)</f>
        <v>0</v>
      </c>
      <c r="F53" s="10">
        <f>D53*$E$5</f>
        <v>9095</v>
      </c>
      <c r="G53" s="10">
        <f>IF(B53&gt;=$F$12,IF(($I$12-$E$9-B53+2)&lt;=1,D53+F53,IF($E$5=0,D53/($I$12-$E$9-B53+2),D53*$E$5/(1-(1+$E$5)^(-($I$12-$E$9-B53+2))))),0)</f>
        <v>12885</v>
      </c>
      <c r="H53" s="10">
        <f>D53+E53+F53-G53</f>
        <v>147796</v>
      </c>
      <c r="I53" s="10">
        <f>M52</f>
        <v>0</v>
      </c>
      <c r="J53" s="10">
        <f>IF(B53&lt;=$E$7,$D$13*12*(1+$E$6)^(B53-1),0)</f>
        <v>0</v>
      </c>
      <c r="K53" s="10">
        <f>I53*$E$5</f>
        <v>0</v>
      </c>
      <c r="L53" s="10">
        <f>IF(OR(B53=$F$13,B53=$E$8,B53=50),I53+J53+K53,0)</f>
        <v>0</v>
      </c>
      <c r="M53" s="10">
        <f>I53+J53+K53-L53</f>
        <v>0</v>
      </c>
      <c r="N53" s="10">
        <f>R52</f>
        <v>0</v>
      </c>
      <c r="O53" s="10">
        <f>IF(B53&lt;=$E$7,$D$14*12*(1+$E$6)^(B53-1),0)</f>
        <v>0</v>
      </c>
      <c r="P53" s="10">
        <f>N53*$E$5</f>
        <v>0</v>
      </c>
      <c r="Q53" s="10">
        <f>IF(OR(B53=$F$14,AND(B53&gt;$F$14,B53=$E$8),B53=50),N53+O53+P53,0)</f>
        <v>0</v>
      </c>
      <c r="R53" s="10">
        <f>N53+O53+P53-Q53</f>
        <v>0</v>
      </c>
      <c r="S53" s="10">
        <f>L53+Q53</f>
        <v>0</v>
      </c>
      <c r="T53" s="10">
        <f>G53</f>
        <v>12885</v>
      </c>
    </row>
    <row r="54">
      <c r="B54" s="9">
        <v>36</v>
      </c>
      <c r="C54" s="9">
        <f>'Proyección'!B63</f>
        <v>2061</v>
      </c>
      <c r="D54" s="10">
        <f>H53</f>
        <v>147796</v>
      </c>
      <c r="E54" s="10">
        <f>IF(B54&lt;=$E$7,$D$12*12*(1+$E$6)^(B54-1),0)</f>
        <v>0</v>
      </c>
      <c r="F54" s="10">
        <f>D54*$E$5</f>
        <v>8868</v>
      </c>
      <c r="G54" s="10">
        <f>IF(B54&gt;=$F$12,IF(($I$12-$E$9-B54+2)&lt;=1,D54+F54,IF($E$5=0,D54/($I$12-$E$9-B54+2),D54*$E$5/(1-(1+$E$5)^(-($I$12-$E$9-B54+2))))),0)</f>
        <v>12885</v>
      </c>
      <c r="H54" s="10">
        <f>D54+E54+F54-G54</f>
        <v>143778</v>
      </c>
      <c r="I54" s="10">
        <f>M53</f>
        <v>0</v>
      </c>
      <c r="J54" s="10">
        <f>IF(B54&lt;=$E$7,$D$13*12*(1+$E$6)^(B54-1),0)</f>
        <v>0</v>
      </c>
      <c r="K54" s="10">
        <f>I54*$E$5</f>
        <v>0</v>
      </c>
      <c r="L54" s="10">
        <f>IF(OR(B54=$F$13,B54=$E$8,B54=50),I54+J54+K54,0)</f>
        <v>0</v>
      </c>
      <c r="M54" s="10">
        <f>I54+J54+K54-L54</f>
        <v>0</v>
      </c>
      <c r="N54" s="10">
        <f>R53</f>
        <v>0</v>
      </c>
      <c r="O54" s="10">
        <f>IF(B54&lt;=$E$7,$D$14*12*(1+$E$6)^(B54-1),0)</f>
        <v>0</v>
      </c>
      <c r="P54" s="10">
        <f>N54*$E$5</f>
        <v>0</v>
      </c>
      <c r="Q54" s="10">
        <f>IF(OR(B54=$F$14,AND(B54&gt;$F$14,B54=$E$8),B54=50),N54+O54+P54,0)</f>
        <v>0</v>
      </c>
      <c r="R54" s="10">
        <f>N54+O54+P54-Q54</f>
        <v>0</v>
      </c>
      <c r="S54" s="10">
        <f>L54+Q54</f>
        <v>0</v>
      </c>
      <c r="T54" s="10">
        <f>G54</f>
        <v>12885</v>
      </c>
    </row>
    <row r="55">
      <c r="B55" s="9">
        <v>37</v>
      </c>
      <c r="C55" s="9">
        <f>'Proyección'!B64</f>
        <v>2062</v>
      </c>
      <c r="D55" s="10">
        <f>H54</f>
        <v>143778</v>
      </c>
      <c r="E55" s="10">
        <f>IF(B55&lt;=$E$7,$D$12*12*(1+$E$6)^(B55-1),0)</f>
        <v>0</v>
      </c>
      <c r="F55" s="10">
        <f>D55*$E$5</f>
        <v>8627</v>
      </c>
      <c r="G55" s="10">
        <f>IF(B55&gt;=$F$12,IF(($I$12-$E$9-B55+2)&lt;=1,D55+F55,IF($E$5=0,D55/($I$12-$E$9-B55+2),D55*$E$5/(1-(1+$E$5)^(-($I$12-$E$9-B55+2))))),0)</f>
        <v>12885</v>
      </c>
      <c r="H55" s="10">
        <f>D55+E55+F55-G55</f>
        <v>139519</v>
      </c>
      <c r="I55" s="10">
        <f>M54</f>
        <v>0</v>
      </c>
      <c r="J55" s="10">
        <f>IF(B55&lt;=$E$7,$D$13*12*(1+$E$6)^(B55-1),0)</f>
        <v>0</v>
      </c>
      <c r="K55" s="10">
        <f>I55*$E$5</f>
        <v>0</v>
      </c>
      <c r="L55" s="10">
        <f>IF(OR(B55=$F$13,B55=$E$8,B55=50),I55+J55+K55,0)</f>
        <v>0</v>
      </c>
      <c r="M55" s="10">
        <f>I55+J55+K55-L55</f>
        <v>0</v>
      </c>
      <c r="N55" s="10">
        <f>R54</f>
        <v>0</v>
      </c>
      <c r="O55" s="10">
        <f>IF(B55&lt;=$E$7,$D$14*12*(1+$E$6)^(B55-1),0)</f>
        <v>0</v>
      </c>
      <c r="P55" s="10">
        <f>N55*$E$5</f>
        <v>0</v>
      </c>
      <c r="Q55" s="10">
        <f>IF(OR(B55=$F$14,AND(B55&gt;$F$14,B55=$E$8),B55=50),N55+O55+P55,0)</f>
        <v>0</v>
      </c>
      <c r="R55" s="10">
        <f>N55+O55+P55-Q55</f>
        <v>0</v>
      </c>
      <c r="S55" s="10">
        <f>L55+Q55</f>
        <v>0</v>
      </c>
      <c r="T55" s="10">
        <f>G55</f>
        <v>12885</v>
      </c>
    </row>
    <row r="56">
      <c r="B56" s="9">
        <v>38</v>
      </c>
      <c r="C56" s="9">
        <f>'Proyección'!B65</f>
        <v>2063</v>
      </c>
      <c r="D56" s="10">
        <f>H55</f>
        <v>139519</v>
      </c>
      <c r="E56" s="10">
        <f>IF(B56&lt;=$E$7,$D$12*12*(1+$E$6)^(B56-1),0)</f>
        <v>0</v>
      </c>
      <c r="F56" s="10">
        <f>D56*$E$5</f>
        <v>8371</v>
      </c>
      <c r="G56" s="10">
        <f>IF(B56&gt;=$F$12,IF(($I$12-$E$9-B56+2)&lt;=1,D56+F56,IF($E$5=0,D56/($I$12-$E$9-B56+2),D56*$E$5/(1-(1+$E$5)^(-($I$12-$E$9-B56+2))))),0)</f>
        <v>12885</v>
      </c>
      <c r="H56" s="10">
        <f>D56+E56+F56-G56</f>
        <v>135005</v>
      </c>
      <c r="I56" s="10">
        <f>M55</f>
        <v>0</v>
      </c>
      <c r="J56" s="10">
        <f>IF(B56&lt;=$E$7,$D$13*12*(1+$E$6)^(B56-1),0)</f>
        <v>0</v>
      </c>
      <c r="K56" s="10">
        <f>I56*$E$5</f>
        <v>0</v>
      </c>
      <c r="L56" s="10">
        <f>IF(OR(B56=$F$13,B56=$E$8,B56=50),I56+J56+K56,0)</f>
        <v>0</v>
      </c>
      <c r="M56" s="10">
        <f>I56+J56+K56-L56</f>
        <v>0</v>
      </c>
      <c r="N56" s="10">
        <f>R55</f>
        <v>0</v>
      </c>
      <c r="O56" s="10">
        <f>IF(B56&lt;=$E$7,$D$14*12*(1+$E$6)^(B56-1),0)</f>
        <v>0</v>
      </c>
      <c r="P56" s="10">
        <f>N56*$E$5</f>
        <v>0</v>
      </c>
      <c r="Q56" s="10">
        <f>IF(OR(B56=$F$14,AND(B56&gt;$F$14,B56=$E$8),B56=50),N56+O56+P56,0)</f>
        <v>0</v>
      </c>
      <c r="R56" s="10">
        <f>N56+O56+P56-Q56</f>
        <v>0</v>
      </c>
      <c r="S56" s="10">
        <f>L56+Q56</f>
        <v>0</v>
      </c>
      <c r="T56" s="10">
        <f>G56</f>
        <v>12885</v>
      </c>
    </row>
    <row r="57">
      <c r="B57" s="9">
        <v>39</v>
      </c>
      <c r="C57" s="9">
        <f>'Proyección'!B66</f>
        <v>2064</v>
      </c>
      <c r="D57" s="10">
        <f>H56</f>
        <v>135005</v>
      </c>
      <c r="E57" s="10">
        <f>IF(B57&lt;=$E$7,$D$12*12*(1+$E$6)^(B57-1),0)</f>
        <v>0</v>
      </c>
      <c r="F57" s="10">
        <f>D57*$E$5</f>
        <v>8100</v>
      </c>
      <c r="G57" s="10">
        <f>IF(B57&gt;=$F$12,IF(($I$12-$E$9-B57+2)&lt;=1,D57+F57,IF($E$5=0,D57/($I$12-$E$9-B57+2),D57*$E$5/(1-(1+$E$5)^(-($I$12-$E$9-B57+2))))),0)</f>
        <v>12885</v>
      </c>
      <c r="H57" s="10">
        <f>D57+E57+F57-G57</f>
        <v>130219</v>
      </c>
      <c r="I57" s="10">
        <f>M56</f>
        <v>0</v>
      </c>
      <c r="J57" s="10">
        <f>IF(B57&lt;=$E$7,$D$13*12*(1+$E$6)^(B57-1),0)</f>
        <v>0</v>
      </c>
      <c r="K57" s="10">
        <f>I57*$E$5</f>
        <v>0</v>
      </c>
      <c r="L57" s="10">
        <f>IF(OR(B57=$F$13,B57=$E$8,B57=50),I57+J57+K57,0)</f>
        <v>0</v>
      </c>
      <c r="M57" s="10">
        <f>I57+J57+K57-L57</f>
        <v>0</v>
      </c>
      <c r="N57" s="10">
        <f>R56</f>
        <v>0</v>
      </c>
      <c r="O57" s="10">
        <f>IF(B57&lt;=$E$7,$D$14*12*(1+$E$6)^(B57-1),0)</f>
        <v>0</v>
      </c>
      <c r="P57" s="10">
        <f>N57*$E$5</f>
        <v>0</v>
      </c>
      <c r="Q57" s="10">
        <f>IF(OR(B57=$F$14,AND(B57&gt;$F$14,B57=$E$8),B57=50),N57+O57+P57,0)</f>
        <v>0</v>
      </c>
      <c r="R57" s="10">
        <f>N57+O57+P57-Q57</f>
        <v>0</v>
      </c>
      <c r="S57" s="10">
        <f>L57+Q57</f>
        <v>0</v>
      </c>
      <c r="T57" s="10">
        <f>G57</f>
        <v>12885</v>
      </c>
    </row>
    <row r="58">
      <c r="B58" s="9">
        <v>40</v>
      </c>
      <c r="C58" s="9">
        <f>'Proyección'!B67</f>
        <v>2065</v>
      </c>
      <c r="D58" s="10">
        <f>H57</f>
        <v>130219</v>
      </c>
      <c r="E58" s="10">
        <f>IF(B58&lt;=$E$7,$D$12*12*(1+$E$6)^(B58-1),0)</f>
        <v>0</v>
      </c>
      <c r="F58" s="10">
        <f>D58*$E$5</f>
        <v>7813</v>
      </c>
      <c r="G58" s="10">
        <f>IF(B58&gt;=$F$12,IF(($I$12-$E$9-B58+2)&lt;=1,D58+F58,IF($E$5=0,D58/($I$12-$E$9-B58+2),D58*$E$5/(1-(1+$E$5)^(-($I$12-$E$9-B58+2))))),0)</f>
        <v>12885</v>
      </c>
      <c r="H58" s="10">
        <f>D58+E58+F58-G58</f>
        <v>125147</v>
      </c>
      <c r="I58" s="10">
        <f>M57</f>
        <v>0</v>
      </c>
      <c r="J58" s="10">
        <f>IF(B58&lt;=$E$7,$D$13*12*(1+$E$6)^(B58-1),0)</f>
        <v>0</v>
      </c>
      <c r="K58" s="10">
        <f>I58*$E$5</f>
        <v>0</v>
      </c>
      <c r="L58" s="10">
        <f>IF(OR(B58=$F$13,B58=$E$8,B58=50),I58+J58+K58,0)</f>
        <v>0</v>
      </c>
      <c r="M58" s="10">
        <f>I58+J58+K58-L58</f>
        <v>0</v>
      </c>
      <c r="N58" s="10">
        <f>R57</f>
        <v>0</v>
      </c>
      <c r="O58" s="10">
        <f>IF(B58&lt;=$E$7,$D$14*12*(1+$E$6)^(B58-1),0)</f>
        <v>0</v>
      </c>
      <c r="P58" s="10">
        <f>N58*$E$5</f>
        <v>0</v>
      </c>
      <c r="Q58" s="10">
        <f>IF(OR(B58=$F$14,AND(B58&gt;$F$14,B58=$E$8),B58=50),N58+O58+P58,0)</f>
        <v>0</v>
      </c>
      <c r="R58" s="10">
        <f>N58+O58+P58-Q58</f>
        <v>0</v>
      </c>
      <c r="S58" s="10">
        <f>L58+Q58</f>
        <v>0</v>
      </c>
      <c r="T58" s="10">
        <f>G58</f>
        <v>12885</v>
      </c>
    </row>
    <row r="59">
      <c r="B59" s="9">
        <v>41</v>
      </c>
      <c r="C59" s="9">
        <f>'Proyección'!B68</f>
        <v>2066</v>
      </c>
      <c r="D59" s="10">
        <f>H58</f>
        <v>125147</v>
      </c>
      <c r="E59" s="10">
        <f>IF(B59&lt;=$E$7,$D$12*12*(1+$E$6)^(B59-1),0)</f>
        <v>0</v>
      </c>
      <c r="F59" s="10">
        <f>D59*$E$5</f>
        <v>7509</v>
      </c>
      <c r="G59" s="10">
        <f>IF(B59&gt;=$F$12,IF(($I$12-$E$9-B59+2)&lt;=1,D59+F59,IF($E$5=0,D59/($I$12-$E$9-B59+2),D59*$E$5/(1-(1+$E$5)^(-($I$12-$E$9-B59+2))))),0)</f>
        <v>12885</v>
      </c>
      <c r="H59" s="10">
        <f>D59+E59+F59-G59</f>
        <v>119770</v>
      </c>
      <c r="I59" s="10">
        <f>M58</f>
        <v>0</v>
      </c>
      <c r="J59" s="10">
        <f>IF(B59&lt;=$E$7,$D$13*12*(1+$E$6)^(B59-1),0)</f>
        <v>0</v>
      </c>
      <c r="K59" s="10">
        <f>I59*$E$5</f>
        <v>0</v>
      </c>
      <c r="L59" s="10">
        <f>IF(OR(B59=$F$13,B59=$E$8,B59=50),I59+J59+K59,0)</f>
        <v>0</v>
      </c>
      <c r="M59" s="10">
        <f>I59+J59+K59-L59</f>
        <v>0</v>
      </c>
      <c r="N59" s="10">
        <f>R58</f>
        <v>0</v>
      </c>
      <c r="O59" s="10">
        <f>IF(B59&lt;=$E$7,$D$14*12*(1+$E$6)^(B59-1),0)</f>
        <v>0</v>
      </c>
      <c r="P59" s="10">
        <f>N59*$E$5</f>
        <v>0</v>
      </c>
      <c r="Q59" s="10">
        <f>IF(OR(B59=$F$14,AND(B59&gt;$F$14,B59=$E$8),B59=50),N59+O59+P59,0)</f>
        <v>0</v>
      </c>
      <c r="R59" s="10">
        <f>N59+O59+P59-Q59</f>
        <v>0</v>
      </c>
      <c r="S59" s="10">
        <f>L59+Q59</f>
        <v>0</v>
      </c>
      <c r="T59" s="10">
        <f>G59</f>
        <v>12885</v>
      </c>
    </row>
    <row r="60">
      <c r="B60" s="9">
        <v>42</v>
      </c>
      <c r="C60" s="9">
        <f>'Proyección'!B69</f>
        <v>2067</v>
      </c>
      <c r="D60" s="10">
        <f>H59</f>
        <v>119770</v>
      </c>
      <c r="E60" s="10">
        <f>IF(B60&lt;=$E$7,$D$12*12*(1+$E$6)^(B60-1),0)</f>
        <v>0</v>
      </c>
      <c r="F60" s="10">
        <f>D60*$E$5</f>
        <v>7186</v>
      </c>
      <c r="G60" s="10">
        <f>IF(B60&gt;=$F$12,IF(($I$12-$E$9-B60+2)&lt;=1,D60+F60,IF($E$5=0,D60/($I$12-$E$9-B60+2),D60*$E$5/(1-(1+$E$5)^(-($I$12-$E$9-B60+2))))),0)</f>
        <v>12885</v>
      </c>
      <c r="H60" s="10">
        <f>D60+E60+F60-G60</f>
        <v>114071</v>
      </c>
      <c r="I60" s="10">
        <f>M59</f>
        <v>0</v>
      </c>
      <c r="J60" s="10">
        <f>IF(B60&lt;=$E$7,$D$13*12*(1+$E$6)^(B60-1),0)</f>
        <v>0</v>
      </c>
      <c r="K60" s="10">
        <f>I60*$E$5</f>
        <v>0</v>
      </c>
      <c r="L60" s="10">
        <f>IF(OR(B60=$F$13,B60=$E$8,B60=50),I60+J60+K60,0)</f>
        <v>0</v>
      </c>
      <c r="M60" s="10">
        <f>I60+J60+K60-L60</f>
        <v>0</v>
      </c>
      <c r="N60" s="10">
        <f>R59</f>
        <v>0</v>
      </c>
      <c r="O60" s="10">
        <f>IF(B60&lt;=$E$7,$D$14*12*(1+$E$6)^(B60-1),0)</f>
        <v>0</v>
      </c>
      <c r="P60" s="10">
        <f>N60*$E$5</f>
        <v>0</v>
      </c>
      <c r="Q60" s="10">
        <f>IF(OR(B60=$F$14,AND(B60&gt;$F$14,B60=$E$8),B60=50),N60+O60+P60,0)</f>
        <v>0</v>
      </c>
      <c r="R60" s="10">
        <f>N60+O60+P60-Q60</f>
        <v>0</v>
      </c>
      <c r="S60" s="10">
        <f>L60+Q60</f>
        <v>0</v>
      </c>
      <c r="T60" s="10">
        <f>G60</f>
        <v>12885</v>
      </c>
    </row>
    <row r="61">
      <c r="B61" s="9">
        <v>43</v>
      </c>
      <c r="C61" s="9">
        <f>'Proyección'!B70</f>
        <v>2068</v>
      </c>
      <c r="D61" s="10">
        <f>H60</f>
        <v>114071</v>
      </c>
      <c r="E61" s="10">
        <f>IF(B61&lt;=$E$7,$D$12*12*(1+$E$6)^(B61-1),0)</f>
        <v>0</v>
      </c>
      <c r="F61" s="10">
        <f>D61*$E$5</f>
        <v>6844</v>
      </c>
      <c r="G61" s="10">
        <f>IF(B61&gt;=$F$12,IF(($I$12-$E$9-B61+2)&lt;=1,D61+F61,IF($E$5=0,D61/($I$12-$E$9-B61+2),D61*$E$5/(1-(1+$E$5)^(-($I$12-$E$9-B61+2))))),0)</f>
        <v>12885</v>
      </c>
      <c r="H61" s="10">
        <f>D61+E61+F61-G61</f>
        <v>108030</v>
      </c>
      <c r="I61" s="10">
        <f>M60</f>
        <v>0</v>
      </c>
      <c r="J61" s="10">
        <f>IF(B61&lt;=$E$7,$D$13*12*(1+$E$6)^(B61-1),0)</f>
        <v>0</v>
      </c>
      <c r="K61" s="10">
        <f>I61*$E$5</f>
        <v>0</v>
      </c>
      <c r="L61" s="10">
        <f>IF(OR(B61=$F$13,B61=$E$8,B61=50),I61+J61+K61,0)</f>
        <v>0</v>
      </c>
      <c r="M61" s="10">
        <f>I61+J61+K61-L61</f>
        <v>0</v>
      </c>
      <c r="N61" s="10">
        <f>R60</f>
        <v>0</v>
      </c>
      <c r="O61" s="10">
        <f>IF(B61&lt;=$E$7,$D$14*12*(1+$E$6)^(B61-1),0)</f>
        <v>0</v>
      </c>
      <c r="P61" s="10">
        <f>N61*$E$5</f>
        <v>0</v>
      </c>
      <c r="Q61" s="10">
        <f>IF(OR(B61=$F$14,AND(B61&gt;$F$14,B61=$E$8),B61=50),N61+O61+P61,0)</f>
        <v>0</v>
      </c>
      <c r="R61" s="10">
        <f>N61+O61+P61-Q61</f>
        <v>0</v>
      </c>
      <c r="S61" s="10">
        <f>L61+Q61</f>
        <v>0</v>
      </c>
      <c r="T61" s="10">
        <f>G61</f>
        <v>12885</v>
      </c>
    </row>
    <row r="62">
      <c r="B62" s="9">
        <v>44</v>
      </c>
      <c r="C62" s="9">
        <f>'Proyección'!B71</f>
        <v>2069</v>
      </c>
      <c r="D62" s="10">
        <f>H61</f>
        <v>108030</v>
      </c>
      <c r="E62" s="10">
        <f>IF(B62&lt;=$E$7,$D$12*12*(1+$E$6)^(B62-1),0)</f>
        <v>0</v>
      </c>
      <c r="F62" s="10">
        <f>D62*$E$5</f>
        <v>6482</v>
      </c>
      <c r="G62" s="10">
        <f>IF(B62&gt;=$F$12,IF(($I$12-$E$9-B62+2)&lt;=1,D62+F62,IF($E$5=0,D62/($I$12-$E$9-B62+2),D62*$E$5/(1-(1+$E$5)^(-($I$12-$E$9-B62+2))))),0)</f>
        <v>12885</v>
      </c>
      <c r="H62" s="10">
        <f>D62+E62+F62-G62</f>
        <v>101626</v>
      </c>
      <c r="I62" s="10">
        <f>M61</f>
        <v>0</v>
      </c>
      <c r="J62" s="10">
        <f>IF(B62&lt;=$E$7,$D$13*12*(1+$E$6)^(B62-1),0)</f>
        <v>0</v>
      </c>
      <c r="K62" s="10">
        <f>I62*$E$5</f>
        <v>0</v>
      </c>
      <c r="L62" s="10">
        <f>IF(OR(B62=$F$13,B62=$E$8,B62=50),I62+J62+K62,0)</f>
        <v>0</v>
      </c>
      <c r="M62" s="10">
        <f>I62+J62+K62-L62</f>
        <v>0</v>
      </c>
      <c r="N62" s="10">
        <f>R61</f>
        <v>0</v>
      </c>
      <c r="O62" s="10">
        <f>IF(B62&lt;=$E$7,$D$14*12*(1+$E$6)^(B62-1),0)</f>
        <v>0</v>
      </c>
      <c r="P62" s="10">
        <f>N62*$E$5</f>
        <v>0</v>
      </c>
      <c r="Q62" s="10">
        <f>IF(OR(B62=$F$14,AND(B62&gt;$F$14,B62=$E$8),B62=50),N62+O62+P62,0)</f>
        <v>0</v>
      </c>
      <c r="R62" s="10">
        <f>N62+O62+P62-Q62</f>
        <v>0</v>
      </c>
      <c r="S62" s="10">
        <f>L62+Q62</f>
        <v>0</v>
      </c>
      <c r="T62" s="10">
        <f>G62</f>
        <v>12885</v>
      </c>
    </row>
    <row r="63">
      <c r="B63" s="9">
        <v>45</v>
      </c>
      <c r="C63" s="9">
        <f>'Proyección'!B72</f>
        <v>2070</v>
      </c>
      <c r="D63" s="10">
        <f>H62</f>
        <v>101626</v>
      </c>
      <c r="E63" s="10">
        <f>IF(B63&lt;=$E$7,$D$12*12*(1+$E$6)^(B63-1),0)</f>
        <v>0</v>
      </c>
      <c r="F63" s="10">
        <f>D63*$E$5</f>
        <v>6098</v>
      </c>
      <c r="G63" s="10">
        <f>IF(B63&gt;=$F$12,IF(($I$12-$E$9-B63+2)&lt;=1,D63+F63,IF($E$5=0,D63/($I$12-$E$9-B63+2),D63*$E$5/(1-(1+$E$5)^(-($I$12-$E$9-B63+2))))),0)</f>
        <v>12885</v>
      </c>
      <c r="H63" s="10">
        <f>D63+E63+F63-G63</f>
        <v>94838</v>
      </c>
      <c r="I63" s="10">
        <f>M62</f>
        <v>0</v>
      </c>
      <c r="J63" s="10">
        <f>IF(B63&lt;=$E$7,$D$13*12*(1+$E$6)^(B63-1),0)</f>
        <v>0</v>
      </c>
      <c r="K63" s="10">
        <f>I63*$E$5</f>
        <v>0</v>
      </c>
      <c r="L63" s="10">
        <f>IF(OR(B63=$F$13,B63=$E$8,B63=50),I63+J63+K63,0)</f>
        <v>0</v>
      </c>
      <c r="M63" s="10">
        <f>I63+J63+K63-L63</f>
        <v>0</v>
      </c>
      <c r="N63" s="10">
        <f>R62</f>
        <v>0</v>
      </c>
      <c r="O63" s="10">
        <f>IF(B63&lt;=$E$7,$D$14*12*(1+$E$6)^(B63-1),0)</f>
        <v>0</v>
      </c>
      <c r="P63" s="10">
        <f>N63*$E$5</f>
        <v>0</v>
      </c>
      <c r="Q63" s="10">
        <f>IF(OR(B63=$F$14,AND(B63&gt;$F$14,B63=$E$8),B63=50),N63+O63+P63,0)</f>
        <v>0</v>
      </c>
      <c r="R63" s="10">
        <f>N63+O63+P63-Q63</f>
        <v>0</v>
      </c>
      <c r="S63" s="10">
        <f>L63+Q63</f>
        <v>0</v>
      </c>
      <c r="T63" s="10">
        <f>G63</f>
        <v>12885</v>
      </c>
    </row>
    <row r="64">
      <c r="B64" s="9">
        <v>46</v>
      </c>
      <c r="C64" s="9">
        <f>'Proyección'!B73</f>
        <v>2071</v>
      </c>
      <c r="D64" s="10">
        <f>H63</f>
        <v>94838</v>
      </c>
      <c r="E64" s="10">
        <f>IF(B64&lt;=$E$7,$D$12*12*(1+$E$6)^(B64-1),0)</f>
        <v>0</v>
      </c>
      <c r="F64" s="10">
        <f>D64*$E$5</f>
        <v>5690</v>
      </c>
      <c r="G64" s="10">
        <f>IF(B64&gt;=$F$12,IF(($I$12-$E$9-B64+2)&lt;=1,D64+F64,IF($E$5=0,D64/($I$12-$E$9-B64+2),D64*$E$5/(1-(1+$E$5)^(-($I$12-$E$9-B64+2))))),0)</f>
        <v>12885</v>
      </c>
      <c r="H64" s="10">
        <f>D64+E64+F64-G64</f>
        <v>87643</v>
      </c>
      <c r="I64" s="10">
        <f>M63</f>
        <v>0</v>
      </c>
      <c r="J64" s="10">
        <f>IF(B64&lt;=$E$7,$D$13*12*(1+$E$6)^(B64-1),0)</f>
        <v>0</v>
      </c>
      <c r="K64" s="10">
        <f>I64*$E$5</f>
        <v>0</v>
      </c>
      <c r="L64" s="10">
        <f>IF(OR(B64=$F$13,B64=$E$8,B64=50),I64+J64+K64,0)</f>
        <v>0</v>
      </c>
      <c r="M64" s="10">
        <f>I64+J64+K64-L64</f>
        <v>0</v>
      </c>
      <c r="N64" s="10">
        <f>R63</f>
        <v>0</v>
      </c>
      <c r="O64" s="10">
        <f>IF(B64&lt;=$E$7,$D$14*12*(1+$E$6)^(B64-1),0)</f>
        <v>0</v>
      </c>
      <c r="P64" s="10">
        <f>N64*$E$5</f>
        <v>0</v>
      </c>
      <c r="Q64" s="10">
        <f>IF(OR(B64=$F$14,AND(B64&gt;$F$14,B64=$E$8),B64=50),N64+O64+P64,0)</f>
        <v>0</v>
      </c>
      <c r="R64" s="10">
        <f>N64+O64+P64-Q64</f>
        <v>0</v>
      </c>
      <c r="S64" s="10">
        <f>L64+Q64</f>
        <v>0</v>
      </c>
      <c r="T64" s="10">
        <f>G64</f>
        <v>12885</v>
      </c>
    </row>
    <row r="65">
      <c r="B65" s="9">
        <v>47</v>
      </c>
      <c r="C65" s="9">
        <f>'Proyección'!B74</f>
        <v>2072</v>
      </c>
      <c r="D65" s="10">
        <f>H64</f>
        <v>87643</v>
      </c>
      <c r="E65" s="10">
        <f>IF(B65&lt;=$E$7,$D$12*12*(1+$E$6)^(B65-1),0)</f>
        <v>0</v>
      </c>
      <c r="F65" s="10">
        <f>D65*$E$5</f>
        <v>5259</v>
      </c>
      <c r="G65" s="10">
        <f>IF(B65&gt;=$F$12,IF(($I$12-$E$9-B65+2)&lt;=1,D65+F65,IF($E$5=0,D65/($I$12-$E$9-B65+2),D65*$E$5/(1-(1+$E$5)^(-($I$12-$E$9-B65+2))))),0)</f>
        <v>12885</v>
      </c>
      <c r="H65" s="10">
        <f>D65+E65+F65-G65</f>
        <v>80016</v>
      </c>
      <c r="I65" s="10">
        <f>M64</f>
        <v>0</v>
      </c>
      <c r="J65" s="10">
        <f>IF(B65&lt;=$E$7,$D$13*12*(1+$E$6)^(B65-1),0)</f>
        <v>0</v>
      </c>
      <c r="K65" s="10">
        <f>I65*$E$5</f>
        <v>0</v>
      </c>
      <c r="L65" s="10">
        <f>IF(OR(B65=$F$13,B65=$E$8,B65=50),I65+J65+K65,0)</f>
        <v>0</v>
      </c>
      <c r="M65" s="10">
        <f>I65+J65+K65-L65</f>
        <v>0</v>
      </c>
      <c r="N65" s="10">
        <f>R64</f>
        <v>0</v>
      </c>
      <c r="O65" s="10">
        <f>IF(B65&lt;=$E$7,$D$14*12*(1+$E$6)^(B65-1),0)</f>
        <v>0</v>
      </c>
      <c r="P65" s="10">
        <f>N65*$E$5</f>
        <v>0</v>
      </c>
      <c r="Q65" s="10">
        <f>IF(OR(B65=$F$14,AND(B65&gt;$F$14,B65=$E$8),B65=50),N65+O65+P65,0)</f>
        <v>0</v>
      </c>
      <c r="R65" s="10">
        <f>N65+O65+P65-Q65</f>
        <v>0</v>
      </c>
      <c r="S65" s="10">
        <f>L65+Q65</f>
        <v>0</v>
      </c>
      <c r="T65" s="10">
        <f>G65</f>
        <v>12885</v>
      </c>
    </row>
    <row r="66">
      <c r="B66" s="9">
        <v>48</v>
      </c>
      <c r="C66" s="9">
        <f>'Proyección'!B75</f>
        <v>2073</v>
      </c>
      <c r="D66" s="10">
        <f>H65</f>
        <v>80016</v>
      </c>
      <c r="E66" s="10">
        <f>IF(B66&lt;=$E$7,$D$12*12*(1+$E$6)^(B66-1),0)</f>
        <v>0</v>
      </c>
      <c r="F66" s="10">
        <f>D66*$E$5</f>
        <v>4801</v>
      </c>
      <c r="G66" s="10">
        <f>IF(B66&gt;=$F$12,IF(($I$12-$E$9-B66+2)&lt;=1,D66+F66,IF($E$5=0,D66/($I$12-$E$9-B66+2),D66*$E$5/(1-(1+$E$5)^(-($I$12-$E$9-B66+2))))),0)</f>
        <v>12885</v>
      </c>
      <c r="H66" s="10">
        <f>D66+E66+F66-G66</f>
        <v>71932</v>
      </c>
      <c r="I66" s="10">
        <f>M65</f>
        <v>0</v>
      </c>
      <c r="J66" s="10">
        <f>IF(B66&lt;=$E$7,$D$13*12*(1+$E$6)^(B66-1),0)</f>
        <v>0</v>
      </c>
      <c r="K66" s="10">
        <f>I66*$E$5</f>
        <v>0</v>
      </c>
      <c r="L66" s="10">
        <f>IF(OR(B66=$F$13,B66=$E$8,B66=50),I66+J66+K66,0)</f>
        <v>0</v>
      </c>
      <c r="M66" s="10">
        <f>I66+J66+K66-L66</f>
        <v>0</v>
      </c>
      <c r="N66" s="10">
        <f>R65</f>
        <v>0</v>
      </c>
      <c r="O66" s="10">
        <f>IF(B66&lt;=$E$7,$D$14*12*(1+$E$6)^(B66-1),0)</f>
        <v>0</v>
      </c>
      <c r="P66" s="10">
        <f>N66*$E$5</f>
        <v>0</v>
      </c>
      <c r="Q66" s="10">
        <f>IF(OR(B66=$F$14,AND(B66&gt;$F$14,B66=$E$8),B66=50),N66+O66+P66,0)</f>
        <v>0</v>
      </c>
      <c r="R66" s="10">
        <f>N66+O66+P66-Q66</f>
        <v>0</v>
      </c>
      <c r="S66" s="10">
        <f>L66+Q66</f>
        <v>0</v>
      </c>
      <c r="T66" s="10">
        <f>G66</f>
        <v>12885</v>
      </c>
    </row>
    <row r="67">
      <c r="B67" s="9">
        <v>49</v>
      </c>
      <c r="C67" s="9">
        <f>'Proyección'!B76</f>
        <v>2074</v>
      </c>
      <c r="D67" s="10">
        <f>H66</f>
        <v>71932</v>
      </c>
      <c r="E67" s="10">
        <f>IF(B67&lt;=$E$7,$D$12*12*(1+$E$6)^(B67-1),0)</f>
        <v>0</v>
      </c>
      <c r="F67" s="10">
        <f>D67*$E$5</f>
        <v>4316</v>
      </c>
      <c r="G67" s="10">
        <f>IF(B67&gt;=$F$12,IF(($I$12-$E$9-B67+2)&lt;=1,D67+F67,IF($E$5=0,D67/($I$12-$E$9-B67+2),D67*$E$5/(1-(1+$E$5)^(-($I$12-$E$9-B67+2))))),0)</f>
        <v>12885</v>
      </c>
      <c r="H67" s="10">
        <f>D67+E67+F67-G67</f>
        <v>63362</v>
      </c>
      <c r="I67" s="10">
        <f>M66</f>
        <v>0</v>
      </c>
      <c r="J67" s="10">
        <f>IF(B67&lt;=$E$7,$D$13*12*(1+$E$6)^(B67-1),0)</f>
        <v>0</v>
      </c>
      <c r="K67" s="10">
        <f>I67*$E$5</f>
        <v>0</v>
      </c>
      <c r="L67" s="10">
        <f>IF(OR(B67=$F$13,B67=$E$8,B67=50),I67+J67+K67,0)</f>
        <v>0</v>
      </c>
      <c r="M67" s="10">
        <f>I67+J67+K67-L67</f>
        <v>0</v>
      </c>
      <c r="N67" s="10">
        <f>R66</f>
        <v>0</v>
      </c>
      <c r="O67" s="10">
        <f>IF(B67&lt;=$E$7,$D$14*12*(1+$E$6)^(B67-1),0)</f>
        <v>0</v>
      </c>
      <c r="P67" s="10">
        <f>N67*$E$5</f>
        <v>0</v>
      </c>
      <c r="Q67" s="10">
        <f>IF(OR(B67=$F$14,AND(B67&gt;$F$14,B67=$E$8),B67=50),N67+O67+P67,0)</f>
        <v>0</v>
      </c>
      <c r="R67" s="10">
        <f>N67+O67+P67-Q67</f>
        <v>0</v>
      </c>
      <c r="S67" s="10">
        <f>L67+Q67</f>
        <v>0</v>
      </c>
      <c r="T67" s="10">
        <f>G67</f>
        <v>12885</v>
      </c>
    </row>
    <row r="68">
      <c r="B68" s="9">
        <v>50</v>
      </c>
      <c r="C68" s="9">
        <f>'Proyección'!B77</f>
        <v>2075</v>
      </c>
      <c r="D68" s="10">
        <f>H67</f>
        <v>63362</v>
      </c>
      <c r="E68" s="10">
        <f>IF(B68&lt;=$E$7,$D$12*12*(1+$E$6)^(B68-1),0)</f>
        <v>0</v>
      </c>
      <c r="F68" s="10">
        <f>D68*$E$5</f>
        <v>3802</v>
      </c>
      <c r="G68" s="10">
        <f>IF(B68&gt;=$F$12,IF(($I$12-$E$9-B68+2)&lt;=1,D68+F68,IF($E$5=0,D68/($I$12-$E$9-B68+2),D68*$E$5/(1-(1+$E$5)^(-($I$12-$E$9-B68+2))))),0)</f>
        <v>12885</v>
      </c>
      <c r="H68" s="10">
        <f>D68+E68+F68-G68</f>
        <v>54278</v>
      </c>
      <c r="I68" s="10">
        <f>M67</f>
        <v>0</v>
      </c>
      <c r="J68" s="10">
        <f>IF(B68&lt;=$E$7,$D$13*12*(1+$E$6)^(B68-1),0)</f>
        <v>0</v>
      </c>
      <c r="K68" s="10">
        <f>I68*$E$5</f>
        <v>0</v>
      </c>
      <c r="L68" s="10">
        <f>IF(OR(B68=$F$13,B68=$E$8,B68=50),I68+J68+K68,0)</f>
        <v>0</v>
      </c>
      <c r="M68" s="10">
        <f>I68+J68+K68-L68</f>
        <v>0</v>
      </c>
      <c r="N68" s="10">
        <f>R67</f>
        <v>0</v>
      </c>
      <c r="O68" s="10">
        <f>IF(B68&lt;=$E$7,$D$14*12*(1+$E$6)^(B68-1),0)</f>
        <v>0</v>
      </c>
      <c r="P68" s="10">
        <f>N68*$E$5</f>
        <v>0</v>
      </c>
      <c r="Q68" s="10">
        <f>IF(OR(B68=$F$14,AND(B68&gt;$F$14,B68=$E$8),B68=50),N68+O68+P68,0)</f>
        <v>0</v>
      </c>
      <c r="R68" s="10">
        <f>N68+O68+P68-Q68</f>
        <v>0</v>
      </c>
      <c r="S68" s="10">
        <f>L68+Q68</f>
        <v>0</v>
      </c>
      <c r="T68" s="10">
        <f>G68</f>
        <v>12885</v>
      </c>
    </row>
  </sheetData>
  <mergeCells count="5">
    <mergeCell ref="B5:D5"/>
    <mergeCell ref="B6:D6"/>
    <mergeCell ref="B7:D7"/>
    <mergeCell ref="B8:D8"/>
    <mergeCell ref="B9:D9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