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liente" sheetId="1" state="visible" r:id="rId3"/>
    <sheet name="Proyección" sheetId="2" state="visible" r:id="rId4"/>
    <sheet name="Ingresos" sheetId="3" state="visible" r:id="rId5"/>
    <sheet name="Gastos" sheetId="4" state="visible" r:id="rId6"/>
    <sheet name="Inversiones" sheetId="5" state="visible" r:id="rId7"/>
    <sheet name="Desinversiones" sheetId="6" state="visible" r:id="rId8"/>
    <sheet name="Retiros del portafolio" sheetId="7" state="visible" r:id="rId9"/>
    <sheet name="Pensiones" sheetId="8" state="visible" r:id="rId10"/>
    <sheet name="Datos" sheetId="9" state="hidden"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<sst xmlns="http://schemas.openxmlformats.org/spreadsheetml/2006/main" count="808" uniqueCount="560">
  <si>
    <t xml:space="preserve">Chotocruz &amp; Co. · Ficha de cliente</t>
  </si>
  <si>
    <t xml:space="preserve">Concepto</t>
  </si>
  <si>
    <t xml:space="preserve">Dato numérico</t>
  </si>
  <si>
    <t xml:space="preserve">Dato cualitativo</t>
  </si>
  <si>
    <t xml:space="preserve">Identificación</t>
  </si>
  <si>
    <t xml:space="preserve">Nombre</t>
  </si>
  <si>
    <t xml:space="preserve">Cliente de ejemplo</t>
  </si>
  <si>
    <t xml:space="preserve">Tipo de documento</t>
  </si>
  <si>
    <t xml:space="preserve">Cédula de identidad</t>
  </si>
  <si>
    <t xml:space="preserve">Cédula</t>
  </si>
  <si>
    <t xml:space="preserve">1-1234-5678</t>
  </si>
  <si>
    <t xml:space="preserve">Fecha de nacimiento</t>
  </si>
  <si>
    <t xml:space="preserve">1980-05-01</t>
  </si>
  <si>
    <t xml:space="preserve">Ocupación</t>
  </si>
  <si>
    <t xml:space="preserve">Gerente general</t>
  </si>
  <si>
    <t xml:space="preserve">Estado civil</t>
  </si>
  <si>
    <t xml:space="preserve">Casado(a)</t>
  </si>
  <si>
    <t xml:space="preserve">Correo electrónico</t>
  </si>
  <si>
    <t xml:space="preserve">ejemplo@ejemplo.com</t>
  </si>
  <si>
    <t xml:space="preserve">Teléfono</t>
  </si>
  <si>
    <t xml:space="preserve">+506 88887070</t>
  </si>
  <si>
    <t xml:space="preserve">País de residencia</t>
  </si>
  <si>
    <t xml:space="preserve">Costa Rica</t>
  </si>
  <si>
    <t xml:space="preserve">Provincia</t>
  </si>
  <si>
    <t xml:space="preserve">Alajuela</t>
  </si>
  <si>
    <t xml:space="preserve">Cantón</t>
  </si>
  <si>
    <t xml:space="preserve">San Ramón</t>
  </si>
  <si>
    <t xml:space="preserve">Distrito</t>
  </si>
  <si>
    <t xml:space="preserve">Santiago</t>
  </si>
  <si>
    <t xml:space="preserve">Otras señas</t>
  </si>
  <si>
    <t xml:space="preserve">—</t>
  </si>
  <si>
    <t xml:space="preserve">Edad actual</t>
  </si>
  <si>
    <t xml:space="preserve">Edad de independencia financiera</t>
  </si>
  <si>
    <t xml:space="preserve">Perfil de riesgo (cuestionario 1)</t>
  </si>
  <si>
    <t xml:space="preserve">Tolerancia al riesgo (0 a 10)</t>
  </si>
  <si>
    <t xml:space="preserve">Preguntas 1, 2, 3, 7 y 9</t>
  </si>
  <si>
    <t xml:space="preserve">Apetito de riesgo (0 a 10)</t>
  </si>
  <si>
    <t xml:space="preserve">Preguntas 4, 5, 6, 8 y 10</t>
  </si>
  <si>
    <t xml:space="preserve">Puntaje del perfil de riesgo (0 a 10)</t>
  </si>
  <si>
    <t xml:space="preserve">Perfil de riesgo</t>
  </si>
  <si>
    <t xml:space="preserve">Moderado conservador</t>
  </si>
  <si>
    <t xml:space="preserve">Activos y pasivos (US$)</t>
  </si>
  <si>
    <t xml:space="preserve">Activo: Portafolio de inversión (este portafolio)</t>
  </si>
  <si>
    <t xml:space="preserve">Liquidez inmediata · declarado en USD</t>
  </si>
  <si>
    <t xml:space="preserve">Activo: Pensión voluntaria (saldo)</t>
  </si>
  <si>
    <t xml:space="preserve">Liquidez media: según el plan de ahorro · declarado en CRC</t>
  </si>
  <si>
    <t xml:space="preserve">Activo: FCL (saldo)</t>
  </si>
  <si>
    <t xml:space="preserve">Liquidez media: cada quinquenio o al terminar la relación laboral · declarado en CRC</t>
  </si>
  <si>
    <t xml:space="preserve">Activo: ROP (saldo)</t>
  </si>
  <si>
    <t xml:space="preserve">Liquidez baja: disponible al pensionarse · declarado en CRC</t>
  </si>
  <si>
    <t xml:space="preserve">Activo: Inmueble: Apartamento en Santa Ana</t>
  </si>
  <si>
    <t xml:space="preserve">Liquidez baja: requiere su venta · declarado en USD</t>
  </si>
  <si>
    <t xml:space="preserve">Activo: Empresa: EMPRESA</t>
  </si>
  <si>
    <t xml:space="preserve">Liquidez baja: participación en una empresa · declarado en USD</t>
  </si>
  <si>
    <t xml:space="preserve">Activo: Capital privado (monto invertido)</t>
  </si>
  <si>
    <t xml:space="preserve">Liquidez muy baja: sin mercado secundario · declarado en USD</t>
  </si>
  <si>
    <t xml:space="preserve">Total de activos</t>
  </si>
  <si>
    <t xml:space="preserve">Pasivo: Deuda: Tarjeta de crédito</t>
  </si>
  <si>
    <t xml:space="preserve">Corto plazo · termina en 2027 · declarado en USD</t>
  </si>
  <si>
    <t xml:space="preserve">Pasivo: Deuda: Préstamo personal</t>
  </si>
  <si>
    <t xml:space="preserve">Largo plazo · termina en 2029 · declarado en CRC</t>
  </si>
  <si>
    <t xml:space="preserve">Pasivo: Hipoteca de la vivienda</t>
  </si>
  <si>
    <t xml:space="preserve">Largo plazo · termina en 2040 · declarado en USD</t>
  </si>
  <si>
    <t xml:space="preserve">Total de pasivos</t>
  </si>
  <si>
    <t xml:space="preserve">Patrimonio neto</t>
  </si>
  <si>
    <t xml:space="preserve">Peso del portafolio declarado por el cliente</t>
  </si>
  <si>
    <t xml:space="preserve">40% del patrimonio total</t>
  </si>
  <si>
    <t xml:space="preserve">Peso del portafolio calculado (control)</t>
  </si>
  <si>
    <t xml:space="preserve">11% de los activos declarados · no interviene en la proyección</t>
  </si>
  <si>
    <t xml:space="preserve">Rendimientos del plan</t>
  </si>
  <si>
    <t xml:space="preserve">Rendimiento esperado</t>
  </si>
  <si>
    <t xml:space="preserve">Cartera del perfil moderado conservador</t>
  </si>
  <si>
    <t xml:space="preserve">Rendimiento mínimo necesario (equilibrio)</t>
  </si>
  <si>
    <t xml:space="preserve">Perfil que exige el objetivo</t>
  </si>
  <si>
    <t xml:space="preserve">Ninguna cartera modelo lo alcanza</t>
  </si>
  <si>
    <t xml:space="preserve">Holgura frente a la cartera sugerida</t>
  </si>
  <si>
    <t xml:space="preserve">Preferencia de moneda</t>
  </si>
  <si>
    <t xml:space="preserve">Cartera sugerida y cartera de equilibrio</t>
  </si>
  <si>
    <t xml:space="preserve">Clase de activo</t>
  </si>
  <si>
    <t xml:space="preserve">Cartera sugerida</t>
  </si>
  <si>
    <t xml:space="preserve">Cartera de equilibrio</t>
  </si>
  <si>
    <t xml:space="preserve">Renta variable</t>
  </si>
  <si>
    <t xml:space="preserve">90,0%</t>
  </si>
  <si>
    <t xml:space="preserve">Renta fija</t>
  </si>
  <si>
    <t xml:space="preserve">5,0%</t>
  </si>
  <si>
    <t xml:space="preserve">Efectivo</t>
  </si>
  <si>
    <t xml:space="preserve">Topes del perfil moderado conservador (de la firma)</t>
  </si>
  <si>
    <t xml:space="preserve">Renta variable 20–35% · Renta fija 40–75% · Efectivo 5–30% · Alternativos 0–10%</t>
  </si>
  <si>
    <t xml:space="preserve">Ajuste de la cartera sugerida</t>
  </si>
  <si>
    <t xml:space="preserve">Cartera modelo ajustada a los topes del perfil moderado conservador: renta variable de 40% a 35%, renta fija de 42,5% a 47,5%.</t>
  </si>
  <si>
    <t xml:space="preserve">Rendimiento de la cartera de equilibrio</t>
  </si>
  <si>
    <t xml:space="preserve">Volatilidad anual de la cartera de equilibrio</t>
  </si>
  <si>
    <t xml:space="preserve">Nota</t>
  </si>
  <si>
    <t xml:space="preserve">Ninguna combinación de carteras modelo alcanza el equilibrio; se muestra la de mayor rendimiento.</t>
  </si>
  <si>
    <t xml:space="preserve">Porcentaje del portafolio en colones para cubrir gastos</t>
  </si>
  <si>
    <t xml:space="preserve">Gasto anual en colones (US$, valor de hoy)</t>
  </si>
  <si>
    <t xml:space="preserve">₡22 680 000 al año</t>
  </si>
  <si>
    <t xml:space="preserve">Gasto anual en dólares (US$, valor de hoy)</t>
  </si>
  <si>
    <t xml:space="preserve">Rendimiento de los bonos en colones</t>
  </si>
  <si>
    <t xml:space="preserve">Supuesto del asesor: lo digita según el mercado del día (valor de la firma, editable en cada cliente)</t>
  </si>
  <si>
    <t xml:space="preserve">Capital requerido en Costa Rica (US$)</t>
  </si>
  <si>
    <t xml:space="preserve">₡22 680 000 al año ÷ 6,0% = ₡378 000 000 ($840 000 al tipo de cambio de 450)</t>
  </si>
  <si>
    <t xml:space="preserve">Capital requerido en Costa Rica (% del portafolio)</t>
  </si>
  <si>
    <t xml:space="preserve">Renta fija de la cartera sugerida (US$)</t>
  </si>
  <si>
    <t xml:space="preserve">47,5% del portafolio · tope 75,0%</t>
  </si>
  <si>
    <t xml:space="preserve">Bonos en Costa Rica, colones (US$)</t>
  </si>
  <si>
    <t xml:space="preserve">100,0% de la renta fija</t>
  </si>
  <si>
    <t xml:space="preserve">Bonos en EE. UU., dólares (US$)</t>
  </si>
  <si>
    <t xml:space="preserve">0,0% de la renta fija</t>
  </si>
  <si>
    <t xml:space="preserve">Conclusión</t>
  </si>
  <si>
    <t xml:space="preserve">Para pagar $50 400 al año de gastos en colones con los intereses de bonos locales al 6,0%, necesita $840 000 en Costa Rica (336,0% del portafolio). Ni con el tope de renta fija del perfil (75,0%) se cubre: los bonos en Costa Rica pagarían 14,1% de esos gastos; el resto sale del portafolio.</t>
  </si>
  <si>
    <t xml:space="preserve">Referencia</t>
  </si>
  <si>
    <t xml:space="preserve">Referencia: el cliente también recibe $119 365 al año en colones (pensión, alquileres u otros). Si esos ingresos pagan parte de los gastos en colones, el capital requerido en Costa Rica baja a $0.</t>
  </si>
  <si>
    <t xml:space="preserve">Resultados de la proyección</t>
  </si>
  <si>
    <t xml:space="preserve">Portafolio máximo proyectado</t>
  </si>
  <si>
    <t xml:space="preserve">Portafolio final nominal</t>
  </si>
  <si>
    <t xml:space="preserve">Portafolio final en términos reales</t>
  </si>
  <si>
    <t xml:space="preserve">Tasa de retiro inicial</t>
  </si>
  <si>
    <t xml:space="preserve">Años de acumulación</t>
  </si>
  <si>
    <t xml:space="preserve">Años de retiro</t>
  </si>
  <si>
    <t xml:space="preserve">Edad a la que se agota el portafolio</t>
  </si>
  <si>
    <t xml:space="preserve">¿Alcanza el plan?</t>
  </si>
  <si>
    <t xml:space="preserve">Respuesta</t>
  </si>
  <si>
    <t xml:space="preserve">No alcanza: el portafolio se agota a los 79 años y deja sin cubrir $689 048 de gasto, en dólares de hoy.</t>
  </si>
  <si>
    <t xml:space="preserve">Los rendimientos pagan el faltante</t>
  </si>
  <si>
    <t xml:space="preserve">En 50 años, los gastos superan a los ingresos en $5 149 758; los rendimientos del portafolio suman $1 310 831, menos que ese faltante.</t>
  </si>
  <si>
    <t xml:space="preserve">Margen de rendimiento</t>
  </si>
  <si>
    <t xml:space="preserve">El plan necesita 7,9% anual y la cartera sugerida rinde 5,9%: faltan 2,1 puntos.</t>
  </si>
  <si>
    <t xml:space="preserve">Saldo del portafolio</t>
  </si>
  <si>
    <t xml:space="preserve">Se agota a los 79 años.</t>
  </si>
  <si>
    <t xml:space="preserve">Conclusiones para la toma de decisiones</t>
  </si>
  <si>
    <t xml:space="preserve">Dependencia del portafolio</t>
  </si>
  <si>
    <t xml:space="preserve">90,0% del gasto · En 2027, sus ingresos propios pagan 90,0% de sus gastos; el portafolio debe aportar $9 802 ($817 al mes).</t>
  </si>
  <si>
    <t xml:space="preserve">Tasa de retiro</t>
  </si>
  <si>
    <t xml:space="preserve">2,8% · Retira 2,8% del portafolio al año, dentro de la referencia del 4% que se considera sostenible a largo plazo (Bengen, 1994).</t>
  </si>
  <si>
    <t xml:space="preserve">Rendimiento real</t>
  </si>
  <si>
    <t xml:space="preserve">2,0% · La cartera rinde 5,9% y la inflación en dólares es 3,9%: el portafolio crece 2,0% al año en poder de compra. Los gastos en colones crecen con la inflación local (3,9%).</t>
  </si>
  <si>
    <t xml:space="preserve">Liquidez de cinco años</t>
  </si>
  <si>
    <t xml:space="preserve">$59 759 · En los próximos cinco años el portafolio debe entregar $59 759. La renta fija y el efectivo de la cartera ($162 500) lo cubren 2,7 veces: no habría que vender renta variable en una caída.</t>
  </si>
  <si>
    <t xml:space="preserve">Exposición al colón</t>
  </si>
  <si>
    <t xml:space="preserve">46,9% del gasto · Sus ingresos en colones cubren sus gastos en colones: el tipo de cambio no presiona el plan.</t>
  </si>
  <si>
    <t xml:space="preserve">Patrimonio y liquidez</t>
  </si>
  <si>
    <t xml:space="preserve">11,3% líquido · El portafolio es 11,3% de sus activos ($2 210 000); el resto, $1 960 000, es poco líquido (inmuebles, empresas, capital privado) y no paga gastos sin venderse. Pasivos: $135 000.</t>
  </si>
  <si>
    <t xml:space="preserve">Caminos para alcanzar el objetivo</t>
  </si>
  <si>
    <t xml:space="preserve">Camino</t>
  </si>
  <si>
    <t xml:space="preserve">Necesario</t>
  </si>
  <si>
    <t xml:space="preserve">Hoy · lectura</t>
  </si>
  <si>
    <t xml:space="preserve">Mayor rendimiento del portafolio</t>
  </si>
  <si>
    <t xml:space="preserve">7,9%</t>
  </si>
  <si>
    <t xml:space="preserve">Hoy 5,9% · Ninguna cartera modelo rinde lo necesario. (no basta por sí solo)</t>
  </si>
  <si>
    <t xml:space="preserve">Mayor capital inicial</t>
  </si>
  <si>
    <t xml:space="preserve">$575 034</t>
  </si>
  <si>
    <t xml:space="preserve">Hoy $250 000 · Aporte único hoy de $325 034.</t>
  </si>
  <si>
    <t xml:space="preserve">Aporte anual adicional al portafolio</t>
  </si>
  <si>
    <t xml:space="preserve">$28 222 al año</t>
  </si>
  <si>
    <t xml:space="preserve">Durante los 14 años de acumulación, en dólares de hoy (39% del ingreso anual).</t>
  </si>
  <si>
    <t xml:space="preserve">Menor gasto familiar</t>
  </si>
  <si>
    <t xml:space="preserve">$4 643 al mes</t>
  </si>
  <si>
    <t xml:space="preserve">Hoy $5 500 al mes · Reducción de 16% en todos los años.</t>
  </si>
  <si>
    <t xml:space="preserve">Menores gastos extraordinarios</t>
  </si>
  <si>
    <t xml:space="preserve">Hoy $983 474 en total · Ni eliminándolos alcanza. (no basta por sí solo)</t>
  </si>
  <si>
    <t xml:space="preserve">Aporte mensual adicional a la pensión voluntaria</t>
  </si>
  <si>
    <t xml:space="preserve">$2 172 al mes</t>
  </si>
  <si>
    <t xml:space="preserve">Crece al 6,0% y se recibe al pensionarse, a los 65 años.</t>
  </si>
  <si>
    <t xml:space="preserve">Postergar la independencia financiera</t>
  </si>
  <si>
    <t xml:space="preserve">66 años</t>
  </si>
  <si>
    <t xml:space="preserve">Hoy 60 años · 6 años más de ingreso por actividad y de aportes.</t>
  </si>
  <si>
    <t xml:space="preserve">Lectura</t>
  </si>
  <si>
    <t xml:space="preserve">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</si>
  <si>
    <t xml:space="preserve">Metodología de cálculo · Método</t>
  </si>
  <si>
    <t xml:space="preserve">Se mueve una sola variable, con todo lo demás igual, hasta el punto en que el plan deja de alcanzar el objetivo: ningún año con gasto sin cubrir y saldo final real igual o mayor que la herencia.</t>
  </si>
  <si>
    <t xml:space="preserve">Metodología de cálculo · Herencia</t>
  </si>
  <si>
    <t xml:space="preserve">Saldo final real = saldo nominal 2075 ÷ (1 + inflación)^años = $0 ÷ (1 + 3,9%)^49,25 = $0.</t>
  </si>
  <si>
    <t xml:space="preserve">Datos financieros declarados</t>
  </si>
  <si>
    <t xml:space="preserve">Ingreso total mensual</t>
  </si>
  <si>
    <t xml:space="preserve">CRC</t>
  </si>
  <si>
    <t xml:space="preserve">Gasto familiar mensual</t>
  </si>
  <si>
    <t xml:space="preserve">USD</t>
  </si>
  <si>
    <t xml:space="preserve">Capital inicial invertido</t>
  </si>
  <si>
    <t xml:space="preserve">Gasto familiar por moneda</t>
  </si>
  <si>
    <t xml:space="preserve">30% en dólares · 70% en colones (cada parte con la inflación de su moneda)</t>
  </si>
  <si>
    <t xml:space="preserve">Comentarios del cliente</t>
  </si>
  <si>
    <t xml:space="preserve">Retiro, pensión, fondos y flujos previstos</t>
  </si>
  <si>
    <t xml:space="preserve">Gasto en el retiro (% del gasto actual)</t>
  </si>
  <si>
    <t xml:space="preserve">Régimen de pensión</t>
  </si>
  <si>
    <t xml:space="preserve">Magisterio Nacional</t>
  </si>
  <si>
    <t xml:space="preserve">Pensión mensual estimada (valor de hoy)</t>
  </si>
  <si>
    <t xml:space="preserve">Edad de inicio de la pensión</t>
  </si>
  <si>
    <t xml:space="preserve">Otros ingresos recurrentes mensuales (valor de hoy)</t>
  </si>
  <si>
    <t xml:space="preserve">CRC · desde 2030 · durante toda la proyección</t>
  </si>
  <si>
    <t xml:space="preserve">ROP: saldo actual</t>
  </si>
  <si>
    <t xml:space="preserve">CRC · pensión: retiro programado</t>
  </si>
  <si>
    <t xml:space="preserve">ROP: aporte mensual</t>
  </si>
  <si>
    <t xml:space="preserve">No lo indicó: se estima con el salario</t>
  </si>
  <si>
    <t xml:space="preserve">FCL: saldo actual</t>
  </si>
  <si>
    <t xml:space="preserve">CRC · traslado al momento del retiro</t>
  </si>
  <si>
    <t xml:space="preserve">FCL: aporte mensual</t>
  </si>
  <si>
    <t xml:space="preserve">Pensión voluntaria: saldo actual</t>
  </si>
  <si>
    <t xml:space="preserve">CRC · pensión mensual desde la edad de pensión</t>
  </si>
  <si>
    <t xml:space="preserve">Pensión voluntaria: aporte mensual</t>
  </si>
  <si>
    <t xml:space="preserve">Ingreso extraordinario 1: Bono por antigüedad (valor de hoy)</t>
  </si>
  <si>
    <t xml:space="preserve">USD · año 2028</t>
  </si>
  <si>
    <t xml:space="preserve">Ingreso extraordinario 2: Herencia esperada (valor de hoy)</t>
  </si>
  <si>
    <t xml:space="preserve">USD · año 2032</t>
  </si>
  <si>
    <t xml:space="preserve">Desinversión: Venta del inmueble 1</t>
  </si>
  <si>
    <t xml:space="preserve">USD · año 2031 · monto que entra al portafolio</t>
  </si>
  <si>
    <t xml:space="preserve">Desinversión: Venta de un lote</t>
  </si>
  <si>
    <t xml:space="preserve">USD · año 2033 · monto que entra al portafolio</t>
  </si>
  <si>
    <t xml:space="preserve">Gasto de dependiente 1 (valor de hoy, por año)</t>
  </si>
  <si>
    <t xml:space="preserve">USD · Cónyuge o pareja · salud · desde 2030 por 5 años</t>
  </si>
  <si>
    <t xml:space="preserve">Meta 1 (valor de hoy)</t>
  </si>
  <si>
    <t xml:space="preserve">USD · Vivienda o propiedad · año 2031 · deseable · salida del portafolio</t>
  </si>
  <si>
    <t xml:space="preserve">Retiros, aportes y herencia declarados</t>
  </si>
  <si>
    <t xml:space="preserve">Retiro: Retiro del portafolio (2031, valor de hoy)</t>
  </si>
  <si>
    <t xml:space="preserve">Destino del patrimonio</t>
  </si>
  <si>
    <t xml:space="preserve">Utilizarlo durante su vida</t>
  </si>
  <si>
    <t xml:space="preserve">Hogar, patrimonio y protección</t>
  </si>
  <si>
    <t xml:space="preserve">Hijos</t>
  </si>
  <si>
    <t xml:space="preserve">No tiene</t>
  </si>
  <si>
    <t xml:space="preserve">Otros dependientes</t>
  </si>
  <si>
    <t xml:space="preserve">otros 1</t>
  </si>
  <si>
    <t xml:space="preserve">Fuentes del ingreso</t>
  </si>
  <si>
    <t xml:space="preserve">Salario · Empresa propia</t>
  </si>
  <si>
    <t xml:space="preserve">Vivienda principal</t>
  </si>
  <si>
    <t xml:space="preserve">Propia, con hipoteca</t>
  </si>
  <si>
    <t xml:space="preserve">Saldo de la hipoteca</t>
  </si>
  <si>
    <t xml:space="preserve">Cuota mensual de la hipoteca</t>
  </si>
  <si>
    <t xml:space="preserve">Tasa de interés anual de la hipoteca</t>
  </si>
  <si>
    <t xml:space="preserve">Plazo restante de la hipoteca (años)</t>
  </si>
  <si>
    <t xml:space="preserve">Apartamento en Santa Ana (valor)</t>
  </si>
  <si>
    <t xml:space="preserve">USD · renta neta 1 100 USD · deuda 0 USD · estima venderlo en 2031 · invertiría todo aquí</t>
  </si>
  <si>
    <t xml:space="preserve">Empresa 1: EMPRESA (valor estimado, 100%)</t>
  </si>
  <si>
    <t xml:space="preserve">USD · participación 100% · estima traspasarla en 10 años</t>
  </si>
  <si>
    <t xml:space="preserve">Capital privado: monto total invertido</t>
  </si>
  <si>
    <t xml:space="preserve">Posee estructuras jurídicas</t>
  </si>
  <si>
    <t xml:space="preserve">No indicó</t>
  </si>
  <si>
    <t xml:space="preserve">Deuda 1: Préstamo personal</t>
  </si>
  <si>
    <t xml:space="preserve">CRC · cuota 157 500 CRC al mes · tasa 11% · hasta 2029</t>
  </si>
  <si>
    <t xml:space="preserve">Deuda 2: Tarjeta de crédito</t>
  </si>
  <si>
    <t xml:space="preserve">USD · cuota 150 USD al mes · tasa 32% · hasta 2027</t>
  </si>
  <si>
    <t xml:space="preserve">Donaciones al año (valor de hoy)</t>
  </si>
  <si>
    <t xml:space="preserve">Gasto extraordinario 1: Seguro y marchamo de vehículos</t>
  </si>
  <si>
    <t xml:space="preserve">USD de hoy · cada año desde 2027</t>
  </si>
  <si>
    <t xml:space="preserve">Gasto extraordinario 2: Remodelación de la casa</t>
  </si>
  <si>
    <t xml:space="preserve">CRC de hoy · en 2030</t>
  </si>
  <si>
    <t xml:space="preserve">Seguros vigentes</t>
  </si>
  <si>
    <t xml:space="preserve">Ninguno</t>
  </si>
  <si>
    <t xml:space="preserve">Supuestos aplicados</t>
  </si>
  <si>
    <t xml:space="preserve">Tipo de cambio ₡/US$</t>
  </si>
  <si>
    <t xml:space="preserve">Inflación local (Costa Rica)</t>
  </si>
  <si>
    <t xml:space="preserve">Inflación internacional (EE. UU.)</t>
  </si>
  <si>
    <t xml:space="preserve">Inflación de la pensión del IVM</t>
  </si>
  <si>
    <t xml:space="preserve">Inflación del ROP</t>
  </si>
  <si>
    <t xml:space="preserve">Inflación de la pensión voluntaria</t>
  </si>
  <si>
    <t xml:space="preserve">Año de inicio</t>
  </si>
  <si>
    <t xml:space="preserve">Edad final de la proyección</t>
  </si>
  <si>
    <t xml:space="preserve">Rendimiento de los fondos de pensión</t>
  </si>
  <si>
    <t xml:space="preserve">Aporte al ROP (% del salario, estimado)</t>
  </si>
  <si>
    <t xml:space="preserve">Aporte al FCL (% del salario, estimado)</t>
  </si>
  <si>
    <t xml:space="preserve">Expectativa de vida (renta temporal)</t>
  </si>
  <si>
    <t xml:space="preserve">N/A · su ROP no es renta temporal</t>
  </si>
  <si>
    <t xml:space="preserve">Edad final del retiro programado</t>
  </si>
  <si>
    <t xml:space="preserve">60 años · dato del cuestionario</t>
  </si>
  <si>
    <t xml:space="preserve">Gasto en el retiro</t>
  </si>
  <si>
    <t xml:space="preserve">100% del gasto actual · dato del cuestionario</t>
  </si>
  <si>
    <t xml:space="preserve">65 años · dato del cuestionario</t>
  </si>
  <si>
    <t xml:space="preserve">Modalidad del ROP</t>
  </si>
  <si>
    <t xml:space="preserve">Retiro programado · dato del cuestionario</t>
  </si>
  <si>
    <t xml:space="preserve">Año de retiro de la pensión voluntaria</t>
  </si>
  <si>
    <t xml:space="preserve">2031 · dato del cuestionario</t>
  </si>
  <si>
    <t xml:space="preserve">Proyección por flujo de caja · Cliente de ejemplo</t>
  </si>
  <si>
    <t xml:space="preserve">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</si>
  <si>
    <t xml:space="preserve">Supuestos</t>
  </si>
  <si>
    <t xml:space="preserve">Ingresos</t>
  </si>
  <si>
    <t xml:space="preserve">Gastos</t>
  </si>
  <si>
    <t xml:space="preserve">Inversiones y desinversiones</t>
  </si>
  <si>
    <t xml:space="preserve">Resumen del plan · toda la proyección</t>
  </si>
  <si>
    <t xml:space="preserve">Valor</t>
  </si>
  <si>
    <t xml:space="preserve">Origen</t>
  </si>
  <si>
    <t xml:space="preserve">Valor declarado</t>
  </si>
  <si>
    <t xml:space="preserve">Moneda</t>
  </si>
  <si>
    <t xml:space="preserve">Valor usado (US$)</t>
  </si>
  <si>
    <t xml:space="preserve">Desde el período</t>
  </si>
  <si>
    <t xml:space="preserve">Hasta el período</t>
  </si>
  <si>
    <t xml:space="preserve">Supuestos de mercado, del perfil y de la firma</t>
  </si>
  <si>
    <t xml:space="preserve">Ingresos ordinarios · hoja «Ingresos»</t>
  </si>
  <si>
    <t xml:space="preserve">Gastos ordinarios · hoja «Gastos»</t>
  </si>
  <si>
    <t xml:space="preserve">Inversiones · hoja «Inversiones»</t>
  </si>
  <si>
    <t xml:space="preserve">Flujo · US$ nominales</t>
  </si>
  <si>
    <t xml:space="preserve">Portafolio · US$ nominales</t>
  </si>
  <si>
    <t xml:space="preserve">Asesor</t>
  </si>
  <si>
    <t xml:space="preserve">Ingreso total mensual (actividad)</t>
  </si>
  <si>
    <t xml:space="preserve">Capital inicial del portafolio</t>
  </si>
  <si>
    <t xml:space="preserve">Ingresos ordinarios</t>
  </si>
  <si>
    <t xml:space="preserve">Capital inicial</t>
  </si>
  <si>
    <t xml:space="preserve">Ingreso mensual de la pareja</t>
  </si>
  <si>
    <t xml:space="preserve">Gasto en el retiro (% del actual, F18)</t>
  </si>
  <si>
    <t xml:space="preserve">Rendimiento esperado (F13)</t>
  </si>
  <si>
    <t xml:space="preserve">Ingresos extraordinarios</t>
  </si>
  <si>
    <t xml:space="preserve">Flujo neto (ingresos − gastos)</t>
  </si>
  <si>
    <t xml:space="preserve">Otros ingresos recurrentes al mes</t>
  </si>
  <si>
    <t xml:space="preserve">Gastos de dependientes al año</t>
  </si>
  <si>
    <t xml:space="preserve">Desinversiones · hoja «Desinversiones»</t>
  </si>
  <si>
    <t xml:space="preserve">Gastos ordinarios</t>
  </si>
  <si>
    <t xml:space="preserve">Flujo neto de inversiones (desinversiones)</t>
  </si>
  <si>
    <t xml:space="preserve">Pensión del Magisterio (mensual)</t>
  </si>
  <si>
    <t xml:space="preserve">Donaciones al año</t>
  </si>
  <si>
    <t xml:space="preserve">Venta de inmuebles</t>
  </si>
  <si>
    <t xml:space="preserve">Gastos extraordinarios</t>
  </si>
  <si>
    <t xml:space="preserve">Rendimientos del portafolio</t>
  </si>
  <si>
    <t xml:space="preserve">Inflación del ROP (aportes al ROP y al FCL)</t>
  </si>
  <si>
    <t xml:space="preserve">Alquileres de inmuebles al mes</t>
  </si>
  <si>
    <t xml:space="preserve">Venta de la empresa</t>
  </si>
  <si>
    <t xml:space="preserve">Flujo neto</t>
  </si>
  <si>
    <t xml:space="preserve">Gasto no cubierto por el portafolio</t>
  </si>
  <si>
    <t xml:space="preserve">Pensión del ROP</t>
  </si>
  <si>
    <t xml:space="preserve">Hoja «Pensiones»</t>
  </si>
  <si>
    <t xml:space="preserve">Cuotas mensuales de deudas</t>
  </si>
  <si>
    <t xml:space="preserve">Venta de otros activos</t>
  </si>
  <si>
    <t xml:space="preserve">Resultado</t>
  </si>
  <si>
    <t xml:space="preserve">Saldo final nominal</t>
  </si>
  <si>
    <t xml:space="preserve">Rendimiento esperado del portafolio</t>
  </si>
  <si>
    <t xml:space="preserve">Pensión voluntaria</t>
  </si>
  <si>
    <t xml:space="preserve">Gastos extraordinarios · valor de hoy</t>
  </si>
  <si>
    <t xml:space="preserve">Herencia deseada (US$ de hoy)</t>
  </si>
  <si>
    <t xml:space="preserve">Saldo final en dólares de hoy</t>
  </si>
  <si>
    <t xml:space="preserve">Ingresos extraordinarios · valor de hoy</t>
  </si>
  <si>
    <t xml:space="preserve">Gasto no cubierto, en dólares de hoy</t>
  </si>
  <si>
    <t xml:space="preserve">Aporte al ROP (% del salario, si se estima)</t>
  </si>
  <si>
    <t xml:space="preserve">Retiros adicionales del portafolio</t>
  </si>
  <si>
    <t xml:space="preserve">Saldo del ROP al final (fuera del portafolio)</t>
  </si>
  <si>
    <t xml:space="preserve">Aporte al FCL (% del salario, si se estima)</t>
  </si>
  <si>
    <t xml:space="preserve">Traslado del FCL</t>
  </si>
  <si>
    <t xml:space="preserve">Metas pagadas con el portafolio</t>
  </si>
  <si>
    <t xml:space="preserve">Datos del cliente</t>
  </si>
  <si>
    <t xml:space="preserve">Cuestionario</t>
  </si>
  <si>
    <t xml:space="preserve">Años hasta la independencia</t>
  </si>
  <si>
    <t xml:space="preserve">Mes de nacimiento (1 a 12)</t>
  </si>
  <si>
    <t xml:space="preserve">Gasto familiar pagado en dólares (%)</t>
  </si>
  <si>
    <t xml:space="preserve">Gasto familiar pagado en colones (%)</t>
  </si>
  <si>
    <t xml:space="preserve">El resto</t>
  </si>
  <si>
    <t xml:space="preserve">Meses del primer año (1 a 12)</t>
  </si>
  <si>
    <t xml:space="preserve">Fecha del cuestionario</t>
  </si>
  <si>
    <t xml:space="preserve">Proyección anual · dólares nominales</t>
  </si>
  <si>
    <t xml:space="preserve">Período</t>
  </si>
  <si>
    <t xml:space="preserve">Ingresos totales</t>
  </si>
  <si>
    <t xml:space="preserve">Gastos totales</t>
  </si>
  <si>
    <t xml:space="preserve">Desinversiones</t>
  </si>
  <si>
    <t xml:space="preserve">Flujo neto de inversiones</t>
  </si>
  <si>
    <t xml:space="preserve">Portafolio</t>
  </si>
  <si>
    <t xml:space="preserve">Año</t>
  </si>
  <si>
    <t xml:space="preserve">Edad</t>
  </si>
  <si>
    <t xml:space="preserve">Fase</t>
  </si>
  <si>
    <t xml:space="preserve">Ingreso total (actividad)</t>
  </si>
  <si>
    <t xml:space="preserve">Ingreso de la pareja</t>
  </si>
  <si>
    <t xml:space="preserve">Otros ingresos recurrentes</t>
  </si>
  <si>
    <t xml:space="preserve">Alquileres de inmuebles</t>
  </si>
  <si>
    <t xml:space="preserve">Pensión del Magisterio</t>
  </si>
  <si>
    <t xml:space="preserve">Total ingresos ordinarios</t>
  </si>
  <si>
    <t xml:space="preserve">Total ingresos extraordinarios</t>
  </si>
  <si>
    <t xml:space="preserve">Total ingresos</t>
  </si>
  <si>
    <t xml:space="preserve">Gasto familiar</t>
  </si>
  <si>
    <t xml:space="preserve">Gastos de dependientes</t>
  </si>
  <si>
    <t xml:space="preserve">Donaciones</t>
  </si>
  <si>
    <t xml:space="preserve">Cuotas de hipoteca y deudas</t>
  </si>
  <si>
    <t xml:space="preserve">Total gastos ordinarios</t>
  </si>
  <si>
    <t xml:space="preserve">Inversiones</t>
  </si>
  <si>
    <t xml:space="preserve">Total salidas</t>
  </si>
  <si>
    <t xml:space="preserve">Total gastos</t>
  </si>
  <si>
    <t xml:space="preserve">Total desinversiones</t>
  </si>
  <si>
    <t xml:space="preserve">Portafolio inicial</t>
  </si>
  <si>
    <t xml:space="preserve">Rendimiento</t>
  </si>
  <si>
    <t xml:space="preserve">Portafolio en términos reales</t>
  </si>
  <si>
    <t xml:space="preserve">Tasa de retiro (% del portafolio)</t>
  </si>
  <si>
    <t xml:space="preserve">Gasto no cubierto</t>
  </si>
  <si>
    <t xml:space="preserve">Año (B30) y edad (C30)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</si>
  <si>
    <t xml:space="preserve">Ingresos · Cliente de ejemplo</t>
  </si>
  <si>
    <t xml:space="preserve">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</si>
  <si>
    <t xml:space="preserve">Ingresos ordinarios · mensuales, en valor de hoy</t>
  </si>
  <si>
    <t xml:space="preserve">N.º</t>
  </si>
  <si>
    <t xml:space="preserve">Monto declarado</t>
  </si>
  <si>
    <t xml:space="preserve">Tipo de cambio aplicado</t>
  </si>
  <si>
    <t xml:space="preserve">Monto en US$</t>
  </si>
  <si>
    <t xml:space="preserve">Hasta la independencia o la edad indicada</t>
  </si>
  <si>
    <t xml:space="preserve">No aplica</t>
  </si>
  <si>
    <t xml:space="preserve">Total de ingresos ordinarios al mes (US$)</t>
  </si>
  <si>
    <t xml:space="preserve">Pensiones: la del régimen básico (Pensión del Magisterio), la del ROP y la voluntaria se registran en la hoja «Pensiones»; en la proyección son ingresos ordinarios, cada una en su columna.</t>
  </si>
  <si>
    <t xml:space="preserve">Alquileres de inmuebles · mensuales, en valor de hoy</t>
  </si>
  <si>
    <t xml:space="preserve">Inmueble</t>
  </si>
  <si>
    <t xml:space="preserve">Alquiler mensual declarado</t>
  </si>
  <si>
    <t xml:space="preserve">Último año con alquiler</t>
  </si>
  <si>
    <t xml:space="preserve">Apartamento en Santa Ana</t>
  </si>
  <si>
    <t xml:space="preserve">Hasta el año anterior a la venta</t>
  </si>
  <si>
    <t xml:space="preserve">Total de alquileres al mes (US$)</t>
  </si>
  <si>
    <t xml:space="preserve">Ingresos extraordinarios · en valor de hoy</t>
  </si>
  <si>
    <t xml:space="preserve">Bono por antigüedad</t>
  </si>
  <si>
    <t xml:space="preserve">Herencia esperada</t>
  </si>
  <si>
    <t xml:space="preserve">Total de ingresos extraordinarios (US$)</t>
  </si>
  <si>
    <t xml:space="preserve">Traslado del FCL: se calcula en la hoja «Pensiones» y entra a la proyección como ingreso extraordinario.</t>
  </si>
  <si>
    <t xml:space="preserve">En la proyección · US$ nominales, todo el horizonte</t>
  </si>
  <si>
    <t xml:space="preserve">Total de ingresos</t>
  </si>
  <si>
    <t xml:space="preserve">Gastos · Cliente de ejemplo</t>
  </si>
  <si>
    <t xml:space="preserve">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</si>
  <si>
    <t xml:space="preserve">Gastos ordinarios · en valor de hoy</t>
  </si>
  <si>
    <t xml:space="preserve">Periodicidad</t>
  </si>
  <si>
    <t xml:space="preserve">Mensual</t>
  </si>
  <si>
    <t xml:space="preserve">En el retiro se multiplica por el % de la celda F18 de la hoja Proyección</t>
  </si>
  <si>
    <t xml:space="preserve">Anual</t>
  </si>
  <si>
    <t xml:space="preserve">Hasta el período del plazo restante</t>
  </si>
  <si>
    <t xml:space="preserve">Total de gastos ordinarios mensuales (US$)</t>
  </si>
  <si>
    <t xml:space="preserve">Total de gastos ordinarios anuales (US$)</t>
  </si>
  <si>
    <t xml:space="preserve">Gastos de dependientes · anuales, en valor de hoy</t>
  </si>
  <si>
    <t xml:space="preserve">Dependiente</t>
  </si>
  <si>
    <t xml:space="preserve">Gasto anual declarado</t>
  </si>
  <si>
    <t xml:space="preserve">Años que dura</t>
  </si>
  <si>
    <t xml:space="preserve">Cónyuge o pareja · salud</t>
  </si>
  <si>
    <t xml:space="preserve">Total de gastos de dependientes al año (US$)</t>
  </si>
  <si>
    <t xml:space="preserve">Deudas · cuotas mensuales y saldos, en valor de hoy</t>
  </si>
  <si>
    <t xml:space="preserve">Deuda</t>
  </si>
  <si>
    <t xml:space="preserve">Cuota mensual declarada</t>
  </si>
  <si>
    <t xml:space="preserve">Último año de pago</t>
  </si>
  <si>
    <t xml:space="preserve">Saldo declarado</t>
  </si>
  <si>
    <t xml:space="preserve">Moneda del saldo</t>
  </si>
  <si>
    <t xml:space="preserve">Saldo en US$</t>
  </si>
  <si>
    <t xml:space="preserve">Tasa anual (informativa)</t>
  </si>
  <si>
    <t xml:space="preserve">Préstamo personal</t>
  </si>
  <si>
    <t xml:space="preserve">Tarjeta de crédito</t>
  </si>
  <si>
    <t xml:space="preserve">Total de cuotas al mes y de saldos (US$)</t>
  </si>
  <si>
    <t xml:space="preserve">¿Las cuotas ya están incluidas en el gasto familiar? (Sí o No)</t>
  </si>
  <si>
    <t xml:space="preserve">No</t>
  </si>
  <si>
    <t xml:space="preserve">Si las cuotas ya están incluidas en el gasto familiar (pregunta de deudas), se muestran solo como información y no se suman de nuevo. El saldo es informativo: la proyección paga la cuota mensual hasta el último año de pago. La tasa no entra al cálculo.</t>
  </si>
  <si>
    <t xml:space="preserve">Gastos extraordinarios · en valor de hoy</t>
  </si>
  <si>
    <t xml:space="preserve">Gasto</t>
  </si>
  <si>
    <t xml:space="preserve">Frecuencia (1 una vez · 2 cada año)</t>
  </si>
  <si>
    <t xml:space="preserve">Seguro y marchamo de vehículos</t>
  </si>
  <si>
    <t xml:space="preserve">Cada año desde el año indicado</t>
  </si>
  <si>
    <t xml:space="preserve">Remodelación de la casa</t>
  </si>
  <si>
    <t xml:space="preserve">Una sola vez</t>
  </si>
  <si>
    <t xml:space="preserve">Total de gastos extraordinarios (US$)</t>
  </si>
  <si>
    <t xml:space="preserve">Las metas pagadas con el portafolio y los retiros adicionales están en la hoja «Retiros del portafolio»; en la proyección van con los gastos extraordinarios (columnas Gastos extraordinarios e Inversiones).</t>
  </si>
  <si>
    <t xml:space="preserve">Metas financiadas con crédito · cuota anual, desde el año de la meta</t>
  </si>
  <si>
    <t xml:space="preserve">Meta</t>
  </si>
  <si>
    <t xml:space="preserve">Año de la meta</t>
  </si>
  <si>
    <t xml:space="preserve">Plazo (años)</t>
  </si>
  <si>
    <t xml:space="preserve">Tasa anual</t>
  </si>
  <si>
    <t xml:space="preserve">Cuota anual (US$)</t>
  </si>
  <si>
    <t xml:space="preserve">Total de cuotas anuales de crédito (US$)</t>
  </si>
  <si>
    <t xml:space="preserve">La cuota se paga cada año desde el año de la meta y durante el plazo del crédito, y se suma a las cuotas de hipoteca y deudas de la hoja Proyección. La tasa y el plazo son insumos: al cambiarlos, la proyección se recalcula.</t>
  </si>
  <si>
    <t xml:space="preserve">Total de gastos</t>
  </si>
  <si>
    <t xml:space="preserve">Inversiones · Cliente de ejemplo</t>
  </si>
  <si>
    <t xml:space="preserve">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</si>
  <si>
    <t xml:space="preserve">Portafolio de inversión · en valor de hoy</t>
  </si>
  <si>
    <t xml:space="preserve">Inversiones líquidas que administra la firma</t>
  </si>
  <si>
    <t xml:space="preserve">Según el perfil de riesgo; se ajusta en la hoja Proyección (F13)</t>
  </si>
  <si>
    <t xml:space="preserve">Otras inversiones del patrimonio · informativo, en valor de hoy</t>
  </si>
  <si>
    <t xml:space="preserve">Inversión</t>
  </si>
  <si>
    <t xml:space="preserve">Participación</t>
  </si>
  <si>
    <t xml:space="preserve">Valor según la participación (US$)</t>
  </si>
  <si>
    <t xml:space="preserve">Inmueble: Apartamento en Santa Ana</t>
  </si>
  <si>
    <t xml:space="preserve">Empresa: EMPRESA</t>
  </si>
  <si>
    <t xml:space="preserve">Capital privado (monto invertido)</t>
  </si>
  <si>
    <t xml:space="preserve">ROP (saldo)</t>
  </si>
  <si>
    <t xml:space="preserve">Su evolución está en la hoja «Pensiones»</t>
  </si>
  <si>
    <t xml:space="preserve">FCL (saldo)</t>
  </si>
  <si>
    <t xml:space="preserve">Pensión voluntaria (saldo)</t>
  </si>
  <si>
    <t xml:space="preserve">Total de otras inversiones (US$)</t>
  </si>
  <si>
    <t xml:space="preserve">Desinversiones · Cliente de ejemplo</t>
  </si>
  <si>
    <t xml:space="preserve">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</si>
  <si>
    <t xml:space="preserve">Venta de activos · monto que entra al portafolio, en valor de hoy</t>
  </si>
  <si>
    <t xml:space="preserve">Activo</t>
  </si>
  <si>
    <t xml:space="preserve">Monto que entra (declarado)</t>
  </si>
  <si>
    <t xml:space="preserve">Año de la venta</t>
  </si>
  <si>
    <t xml:space="preserve">Tipo (1 inmueble · 2 empresa · 3 otro)</t>
  </si>
  <si>
    <t xml:space="preserve">Venta del inmueble 1</t>
  </si>
  <si>
    <t xml:space="preserve">Venta de un lote</t>
  </si>
  <si>
    <t xml:space="preserve">Total de venta de inmuebles (US$)</t>
  </si>
  <si>
    <t xml:space="preserve">Total de venta de la empresa (US$)</t>
  </si>
  <si>
    <t xml:space="preserve">Total de venta de otros activos (US$)</t>
  </si>
  <si>
    <t xml:space="preserve">Total de desinversiones (US$)</t>
  </si>
  <si>
    <t xml:space="preserve">Retiros del portafolio · Cliente de ejemplo</t>
  </si>
  <si>
    <t xml:space="preserve">Las salidas de dinero del portafolio que declaró el cliente: las metas que paga con el portafolio y los retiros adicionales, cada uno con su monto y moneda, el tipo de cambio aplicado (celda F7 de la hoja Proyección para los colones, 1 para los dólares) y el monto en US$. Cada monto se indexa con la inflación de su moneda hasta su año. En la proyección, las metas van en la columna Inversiones y los retiros adicionales en la de Gastos extraordinarios. Las celdas en color crema son insumos.</t>
  </si>
  <si>
    <t xml:space="preserve">Metas pagadas con el portafolio · en valor de hoy</t>
  </si>
  <si>
    <t xml:space="preserve">Prioridad</t>
  </si>
  <si>
    <t xml:space="preserve">Vivienda o propiedad</t>
  </si>
  <si>
    <t xml:space="preserve">Deseable</t>
  </si>
  <si>
    <t xml:space="preserve">Total de metas pagadas con el portafolio (US$)</t>
  </si>
  <si>
    <t xml:space="preserve">Las metas financiadas con crédito no salen del portafolio: su cuota anual está en la hoja «Gastos».</t>
  </si>
  <si>
    <t xml:space="preserve">Retiros adicionales del portafolio · en valor de hoy</t>
  </si>
  <si>
    <t xml:space="preserve">Motivo del retiro</t>
  </si>
  <si>
    <t xml:space="preserve">Retiro del portafolio</t>
  </si>
  <si>
    <t xml:space="preserve">Una sola vez, en su año</t>
  </si>
  <si>
    <t xml:space="preserve">Total de retiros adicionales (US$)</t>
  </si>
  <si>
    <t xml:space="preserve">Metas pagadas con el portafolio (columna Inversiones)</t>
  </si>
  <si>
    <t xml:space="preserve">Retiros adicionales (en la columna Gastos extraordinarios)</t>
  </si>
  <si>
    <t xml:space="preserve">Total de retiros del portafolio</t>
  </si>
  <si>
    <t xml:space="preserve">Pensiones</t>
  </si>
  <si>
    <t xml:space="preserve">Todas las pensiones del cliente. Arriba a la derecha, la pensión del régimen básico (IVM u otro). Abajo, 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</si>
  <si>
    <t xml:space="preserve">Pensión del régimen básico · mensual, en valor de hoy</t>
  </si>
  <si>
    <t xml:space="preserve">Rendimiento anual de los fondos (Proyección F14)</t>
  </si>
  <si>
    <t xml:space="preserve">Monto mensual declarado</t>
  </si>
  <si>
    <t xml:space="preserve">Crecimiento de los aportes al ROP y al FCL (Proyección F11)</t>
  </si>
  <si>
    <t xml:space="preserve">Años de aportes, hasta la independencia (Proyección F19)</t>
  </si>
  <si>
    <t xml:space="preserve">La proyección la toma de aquí (columna de la pensión en la hoja Proyección), con la inflación de la pensión (Proyección F10). La del ROP y la voluntaria están en la evolución anual de abajo.</t>
  </si>
  <si>
    <t xml:space="preserve">Período de la independencia financiera</t>
  </si>
  <si>
    <t xml:space="preserve">Edad actual del cliente</t>
  </si>
  <si>
    <t xml:space="preserve">Crecimiento de los aportes a la pensión voluntaria (Proyección F12)</t>
  </si>
  <si>
    <t xml:space="preserve">Fondo</t>
  </si>
  <si>
    <t xml:space="preserve">Saldo actual (US$)</t>
  </si>
  <si>
    <t xml:space="preserve">Aporte mensual (US$)</t>
  </si>
  <si>
    <t xml:space="preserve">Origen del aporte</t>
  </si>
  <si>
    <t xml:space="preserve">Período de traslado o de inicio de la pensión</t>
  </si>
  <si>
    <t xml:space="preserve">Regla de la ley</t>
  </si>
  <si>
    <t xml:space="preserve">Edad final de la renta</t>
  </si>
  <si>
    <t xml:space="preserve">Aportes acumulados</t>
  </si>
  <si>
    <t xml:space="preserve">Rendimientos acumulados</t>
  </si>
  <si>
    <t xml:space="preserve">Trasladado al portafolio</t>
  </si>
  <si>
    <t xml:space="preserve">Pensión pagada</t>
  </si>
  <si>
    <t xml:space="preserve">Aporte declarado</t>
  </si>
  <si>
    <t xml:space="preserve">Moneda del aporte</t>
  </si>
  <si>
    <t xml:space="preserve">ROP</t>
  </si>
  <si>
    <t xml:space="preserve">Estimado: 4.25% del salario (Proyección F15)</t>
  </si>
  <si>
    <t xml:space="preserve">Pensión mensual: retiro programado</t>
  </si>
  <si>
    <t xml:space="preserve">FCL</t>
  </si>
  <si>
    <t xml:space="preserve">Estimado: 1.5% del salario (Proyección F16)</t>
  </si>
  <si>
    <t xml:space="preserve">Al terminar la relación laboral</t>
  </si>
  <si>
    <t xml:space="preserve">Declarado por el cliente</t>
  </si>
  <si>
    <t xml:space="preserve">Pensión mensual: retiro programado (la que eligió para el ROP)</t>
  </si>
  <si>
    <t xml:space="preserve">Evolución anual</t>
  </si>
  <si>
    <t xml:space="preserve">Total</t>
  </si>
  <si>
    <t xml:space="preserve">Saldo inicial</t>
  </si>
  <si>
    <t xml:space="preserve">Aportes</t>
  </si>
  <si>
    <t xml:space="preserve">Saldo final</t>
  </si>
  <si>
    <t xml:space="preserve">Traslado al portafolio</t>
  </si>
  <si>
    <t xml:space="preserve">Traslado total al portafolio</t>
  </si>
  <si>
    <t xml:space="preserve">Clase</t>
  </si>
  <si>
    <t xml:space="preserve">Volatilidad</t>
  </si>
  <si>
    <t xml:space="preserve">Cartera</t>
  </si>
  <si>
    <t xml:space="preserve">Corte conservador–moderado conservador</t>
  </si>
  <si>
    <t xml:space="preserve">Corte moderado conservador–moderado</t>
  </si>
  <si>
    <t xml:space="preserve">Corte moderado–moderado agresivo</t>
  </si>
  <si>
    <t xml:space="preserve">Corte moderado agresivo–agresivo</t>
  </si>
  <si>
    <t xml:space="preserve">Componente</t>
  </si>
  <si>
    <t xml:space="preserve">Cliente</t>
  </si>
  <si>
    <t xml:space="preserve">Capacidad financiera</t>
  </si>
  <si>
    <t xml:space="preserve">Conservador</t>
  </si>
  <si>
    <t xml:space="preserve">Perfil de riesgo (3,9)</t>
  </si>
  <si>
    <t xml:space="preserve">Ingresos totales (5,0)</t>
  </si>
  <si>
    <t xml:space="preserve">Moderado</t>
  </si>
  <si>
    <t xml:space="preserve">Gastos totales (3,3)</t>
  </si>
  <si>
    <t xml:space="preserve">Moderado agresivo</t>
  </si>
  <si>
    <t xml:space="preserve">Inversiones (6,7)</t>
  </si>
  <si>
    <t xml:space="preserve">Tolerancia</t>
  </si>
  <si>
    <t xml:space="preserve">Apetito</t>
  </si>
  <si>
    <t xml:space="preserve">Agresivo</t>
  </si>
  <si>
    <t xml:space="preserve">Desinversiones (6,7)</t>
  </si>
  <si>
    <t xml:space="preserve">Cliente de ejemplo · Moderado conservador</t>
  </si>
  <si>
    <t xml:space="preserve">Tamaño del portafolio (0,0)</t>
  </si>
  <si>
    <t xml:space="preserve">Cartera de equilibrio (máximo disponible)</t>
  </si>
  <si>
    <t xml:space="preserve">Horizonte (0,0)</t>
  </si>
  <si>
    <t xml:space="preserve">Rendimiento de equilibrio</t>
  </si>
</sst>
</file>

<file path=xl/styles.xml><?xml version="1.0" encoding="utf-8"?>
<styleSheet xmlns="http://schemas.openxmlformats.org/spreadsheetml/2006/main">
  <numFmts count="7">
    <numFmt numFmtId="164" formatCode="General"/>
    <numFmt numFmtId="165" formatCode="0"/>
    <numFmt numFmtId="166" formatCode="0.0"/>
    <numFmt numFmtId="167" formatCode="#,##0"/>
    <numFmt numFmtId="168" formatCode="0.0%"/>
    <numFmt numFmtId="169" formatCode="0%"/>
    <numFmt numFmtId="170" formatCode="#,##0.00"/>
  </numFmts>
  <fonts count="19">
    <font>
      <sz val="11"/>
      <color theme="1"/>
      <name val="Calibri"/>
      <family val="2"/>
      <charset val="1"/>
    </font>
    <font>
      <sz val="10"/>
      <name val="Arial"/>
      <family val="0"/>
    </font>
    <font>
      <sz val="10"/>
      <name val="Arial"/>
      <family val="0"/>
    </font>
    <font>
      <sz val="10"/>
      <name val="Arial"/>
      <family val="0"/>
    </font>
    <font>
      <b val="true"/>
      <sz val="16"/>
      <color rgb="FF2B3014"/>
      <name val="Calibri"/>
      <family val="2"/>
      <charset val="1"/>
    </font>
    <font>
      <b val="true"/>
      <sz val="9.5"/>
      <color rgb="FF2B3014"/>
      <name val="Calibri"/>
      <family val="2"/>
      <charset val="1"/>
    </font>
    <font>
      <b val="true"/>
      <sz val="10.5"/>
      <color rgb="FFFFFFFF"/>
      <name val="Calibri"/>
      <family val="2"/>
      <charset val="1"/>
    </font>
    <font>
      <sz val="10"/>
      <color rgb="FF1E2010"/>
      <name val="Calibri"/>
      <family val="2"/>
      <charset val="1"/>
    </font>
    <font>
      <b val="true"/>
      <sz val="18"/>
      <color rgb="FF000000"/>
      <name val="Calibri"/>
      <family val="2"/>
    </font>
    <font>
      <b val="true"/>
      <sz val="10"/>
      <color rgb="FF2B3014"/>
      <name val="Calibri"/>
      <family val="2"/>
    </font>
    <font>
      <sz val="10"/>
      <color rgb="FF000000"/>
      <name val="Calibri"/>
      <family val="2"/>
    </font>
    <font>
      <b val="true"/>
      <sz val="12"/>
      <color rgb="FF000000"/>
      <name val="Calibri"/>
      <family val="2"/>
    </font>
    <font>
      <sz val="8"/>
      <color rgb="FF000000"/>
      <name val="Calibri"/>
      <family val="2"/>
    </font>
    <font>
      <b val="true"/>
      <sz val="9"/>
      <color rgb="FF000000"/>
      <name val="Calibri"/>
      <family val="2"/>
    </font>
    <font>
      <i val="true"/>
      <sz val="9.5"/>
      <color rgb="FF5A5E44"/>
      <name val="Calibri"/>
      <family val="2"/>
      <charset val="1"/>
    </font>
    <font>
      <b val="true"/>
      <sz val="10"/>
      <color rgb="FF918042"/>
      <name val="Calibri"/>
      <family val="2"/>
      <charset val="1"/>
    </font>
    <font>
      <b val="true"/>
      <sz val="10"/>
      <color rgb="FF141709"/>
      <name val="Calibri"/>
      <family val="2"/>
      <charset val="1"/>
    </font>
    <font>
      <i val="true"/>
      <sz val="9"/>
      <color rgb="FF6B6E55"/>
      <name val="Calibri"/>
      <family val="2"/>
      <charset val="1"/>
    </font>
    <font>
      <b val="true"/>
      <sz val="10"/>
      <color rgb="FF000000"/>
      <name val="Calibri"/>
      <family val="2"/>
    </font>
  </fonts>
  <fills count="7">
    <fill>
      <patternFill patternType="none"/>
    </fill>
    <fill>
      <patternFill patternType="gray125"/>
    </fill>
    <fill>
      <patternFill patternType="solid">
        <fgColor rgb="FFEEF1E6"/>
        <bgColor rgb="FFF4F5EE"/>
      </patternFill>
    </fill>
    <fill>
      <patternFill patternType="solid">
        <fgColor rgb="FF2B3014"/>
        <bgColor rgb="FF1E2010"/>
      </patternFill>
    </fill>
    <fill>
      <patternFill patternType="solid">
        <fgColor rgb="FFFFF8E5"/>
        <bgColor rgb="FFF4F5EE"/>
      </patternFill>
    </fill>
    <fill>
      <patternFill patternType="solid">
        <fgColor rgb="FFF4F5EE"/>
        <bgColor rgb="FFEEF1E6"/>
      </patternFill>
    </fill>
    <fill>
      <patternFill patternType="solid">
        <fgColor rgb="FF918042"/>
        <bgColor rgb="FF878787"/>
      </patternFill>
    </fill>
  </fills>
  <borders count="5">
    <border diagonalUp="false" diagonalDown="false">
      <left/>
      <right/>
      <top/>
      <bottom/>
      <diagonal/>
    </border>
    <border diagonalUp="false" diagonalDown="false">
      <left/>
      <right/>
      <top/>
      <bottom style="medium">
        <color rgb="FF2B3014"/>
      </bottom>
      <diagonal/>
    </border>
    <border diagonalUp="false" diagonalDown="false">
      <left/>
      <right/>
      <top/>
      <bottom style="thin">
        <color rgb="FFD9DDCB"/>
      </bottom>
      <diagonal/>
    </border>
    <border diagonalUp="false" diagonalDown="false">
      <left/>
      <right/>
      <top/>
      <bottom style="thin">
        <color rgb="FF918042"/>
      </bottom>
      <diagonal/>
    </border>
    <border diagonalUp="false" diagonalDown="false">
      <left style="thin">
        <color rgb="FFD9DDCB"/>
      </left>
      <right/>
      <top/>
      <bottom style="thin">
        <color rgb="FFD9DDC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6" fillId="3" borderId="0" xfId="0" applyFont="true" applyBorder="true" applyAlignment="true" applyProtection="true">
      <alignment horizontal="general" vertical="center" textRotation="0" wrapText="false" indent="1" shrinkToFit="false"/>
      <protection locked="true" hidden="false"/>
    </xf>
    <xf numFmtId="164" fontId="7" fillId="0" borderId="2" xfId="0" applyFont="true" applyBorder="true" applyAlignment="true" applyProtection="true">
      <alignment horizontal="general" vertical="center" textRotation="0" wrapText="false" indent="0" shrinkToFit="false"/>
      <protection locked="true" hidden="false"/>
    </xf>
    <xf numFmtId="164" fontId="7" fillId="0" borderId="2" xfId="0" applyFont="true" applyBorder="true" applyAlignment="true" applyProtection="true">
      <alignment horizontal="general" vertical="center" textRotation="0" wrapText="true" indent="0" shrinkToFit="false"/>
      <protection locked="true" hidden="false"/>
    </xf>
    <xf numFmtId="165" fontId="7" fillId="0" borderId="2" xfId="0" applyFont="true" applyBorder="true" applyAlignment="true" applyProtection="true">
      <alignment horizontal="general" vertical="center" textRotation="0" wrapText="false" indent="0" shrinkToFit="false"/>
      <protection locked="true" hidden="false"/>
    </xf>
    <xf numFmtId="166" fontId="7" fillId="0" borderId="2" xfId="0" applyFont="true" applyBorder="true" applyAlignment="true" applyProtection="true">
      <alignment horizontal="general" vertical="center" textRotation="0" wrapText="false" indent="0" shrinkToFit="false"/>
      <protection locked="true" hidden="false"/>
    </xf>
    <xf numFmtId="167" fontId="7" fillId="0" borderId="2" xfId="0" applyFont="true" applyBorder="true" applyAlignment="true" applyProtection="true">
      <alignment horizontal="general" vertical="center" textRotation="0" wrapText="false" indent="0" shrinkToFit="false"/>
      <protection locked="true" hidden="false"/>
    </xf>
    <xf numFmtId="168" fontId="7" fillId="0" borderId="2"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15" fillId="0" borderId="3" xfId="0" applyFont="true" applyBorder="true" applyAlignment="true" applyProtection="true">
      <alignment horizontal="general" vertical="bottom" textRotation="0" wrapText="false" indent="0" shrinkToFit="false"/>
      <protection locked="true" hidden="false"/>
    </xf>
    <xf numFmtId="170" fontId="7" fillId="4" borderId="2" xfId="0" applyFont="true" applyBorder="true" applyAlignment="true" applyProtection="true">
      <alignment horizontal="general" vertical="center" textRotation="0" wrapText="false" indent="0" shrinkToFit="false"/>
      <protection locked="true" hidden="false"/>
    </xf>
    <xf numFmtId="165" fontId="7" fillId="0" borderId="2" xfId="0" applyFont="true" applyBorder="true" applyAlignment="true" applyProtection="true">
      <alignment horizontal="center" vertical="center" textRotation="0" wrapText="false" indent="0" shrinkToFit="false"/>
      <protection locked="true" hidden="false"/>
    </xf>
    <xf numFmtId="168" fontId="7" fillId="4" borderId="2" xfId="0" applyFont="true" applyBorder="true" applyAlignment="true" applyProtection="true">
      <alignment horizontal="general" vertical="center" textRotation="0" wrapText="false" indent="0" shrinkToFit="false"/>
      <protection locked="true" hidden="false"/>
    </xf>
    <xf numFmtId="167" fontId="16" fillId="5" borderId="4"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general" vertical="center" textRotation="0" wrapText="false" indent="0" shrinkToFit="false"/>
      <protection locked="true" hidden="false"/>
    </xf>
    <xf numFmtId="164" fontId="6" fillId="6"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7" fontId="7" fillId="4" borderId="2" xfId="0" applyFont="true" applyBorder="true" applyAlignment="true" applyProtection="true">
      <alignment horizontal="general" vertical="center" textRotation="0" wrapText="false" indent="0" shrinkToFit="false"/>
      <protection locked="true" hidden="false"/>
    </xf>
    <xf numFmtId="164" fontId="7" fillId="4" borderId="2" xfId="0" applyFont="true" applyBorder="true" applyAlignment="true" applyProtection="true">
      <alignment horizontal="center" vertical="center" textRotation="0" wrapText="true" indent="0" shrinkToFit="false"/>
      <protection locked="true" hidden="false"/>
    </xf>
    <xf numFmtId="170" fontId="7" fillId="0" borderId="2"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center" vertical="center" textRotation="0" wrapText="false" indent="0" shrinkToFit="false"/>
      <protection locked="true" hidden="false"/>
    </xf>
    <xf numFmtId="164" fontId="7" fillId="4" borderId="2" xfId="0" applyFont="true" applyBorder="true" applyAlignment="true" applyProtection="true">
      <alignment horizontal="general" vertical="center"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918042"/>
      <rgbColor rgb="FF800080"/>
      <rgbColor rgb="FF008080"/>
      <rgbColor rgb="FFB3BC80"/>
      <rgbColor rgb="FF878787"/>
      <rgbColor rgb="FF9999FF"/>
      <rgbColor rgb="FFA2543A"/>
      <rgbColor rgb="FFFFF8E5"/>
      <rgbColor rgb="FFEEF1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4F5EE"/>
      <rgbColor rgb="FFD9DDCB"/>
      <rgbColor rgb="FFFFFF99"/>
      <rgbColor rgb="FF99CCFF"/>
      <rgbColor rgb="FFFF99CC"/>
      <rgbColor rgb="FFCC99FF"/>
      <rgbColor rgb="FFD9DCCB"/>
      <rgbColor rgb="FF4F81BD"/>
      <rgbColor rgb="FF33CCCC"/>
      <rgbColor rgb="FF99CC00"/>
      <rgbColor rgb="FFFFCC00"/>
      <rgbColor rgb="FFFF9900"/>
      <rgbColor rgb="FFFF6600"/>
      <rgbColor rgb="FF6B6E55"/>
      <rgbColor rgb="FF969696"/>
      <rgbColor rgb="FF003366"/>
      <rgbColor rgb="FF339966"/>
      <rgbColor rgb="FF141709"/>
      <rgbColor rgb="FF2B3014"/>
      <rgbColor rgb="FF993300"/>
      <rgbColor rgb="FF993366"/>
      <rgbColor rgb="FF5A5E44"/>
      <rgbColor rgb="FF1E201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sugerida</a:t>
            </a:r>
          </a:p>
        </c:rich>
      </c:tx>
      <c:overlay val="0"/>
      <c:spPr>
        <a:noFill/>
        <a:ln w="0">
          <a:noFill/>
        </a:ln>
      </c:spPr>
    </c:title>
    <c:autoTitleDeleted val="0"/>
    <c:plotArea>
      <c:pieChart>
        <c:varyColors val="1"/>
        <c:ser>
          <c:idx val="0"/>
          <c:order val="0"/>
          <c:tx>
            <c:strRef>
              <c:f>Datos!B1</c:f>
              <c:strCache>
                <c:ptCount val="1"/>
                <c:pt idx="0">
                  <c:v>Cartera sugerida</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Datos!$B$2:$B$4</c:f>
              <c:numCache>
                <c:formatCode>0.0%</c:formatCode>
                <c:ptCount val="3"/>
                <c:pt idx="0">
                  <c:v>0.35</c:v>
                </c:pt>
                <c:pt idx="1">
                  <c:v>0.475</c:v>
                </c:pt>
                <c:pt idx="2">
                  <c:v>0.175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de equilibrio</a:t>
            </a:r>
          </a:p>
        </c:rich>
      </c:tx>
      <c:overlay val="0"/>
      <c:spPr>
        <a:noFill/>
        <a:ln w="0">
          <a:noFill/>
        </a:ln>
      </c:spPr>
    </c:title>
    <c:autoTitleDeleted val="0"/>
    <c:plotArea>
      <c:pieChart>
        <c:varyColors val="1"/>
        <c:ser>
          <c:idx val="0"/>
          <c:order val="0"/>
          <c:tx>
            <c:strRef>
              <c:f>Datos!C1</c:f>
              <c:strCache>
                <c:ptCount val="1"/>
                <c:pt idx="0">
                  <c:v>Cartera de equilibrio</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Datos!$C$2:$C$4</c:f>
              <c:numCache>
                <c:formatCode>0.0%</c:formatCode>
                <c:ptCount val="3"/>
                <c:pt idx="0">
                  <c:v>0.9</c:v>
                </c:pt>
                <c:pt idx="1">
                  <c:v>0.05</c:v>
                </c:pt>
                <c:pt idx="2">
                  <c:v>0.05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Rendimiento de equilibrio</a:t>
            </a:r>
          </a:p>
        </c:rich>
      </c:tx>
      <c:overlay val="0"/>
      <c:spPr>
        <a:noFill/>
        <a:ln w="0">
          <a:noFill/>
        </a:ln>
      </c:spPr>
    </c:title>
    <c:autoTitleDeleted val="0"/>
    <c:plotArea>
      <c:scatterChart>
        <c:scatterStyle val="lineMarker"/>
        <c:varyColors val="0"/>
        <c:ser>
          <c:idx val="0"/>
          <c:order val="0"/>
          <c:tx>
            <c:strRef>
              <c:f>Datos!$E$1</c:f>
              <c:strCache>
                <c:ptCount val="1"/>
                <c:pt idx="0">
                  <c:v>Volatilidad</c:v>
                </c:pt>
              </c:strCache>
            </c:strRef>
          </c:tx>
          <c:spPr>
            <a:solidFill>
              <a:srgbClr val="2b3014"/>
            </a:solidFill>
            <a:ln w="255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Datos!$E$2:$E$82</c:f>
              <c:numCache>
                <c:formatCode>0.0%</c:formatCode>
                <c:ptCount val="81"/>
                <c:pt idx="0">
                  <c:v>0.05824</c:v>
                </c:pt>
                <c:pt idx="1">
                  <c:v>0.058667</c:v>
                </c:pt>
                <c:pt idx="2">
                  <c:v>0.0591</c:v>
                </c:pt>
                <c:pt idx="3">
                  <c:v>0.059539</c:v>
                </c:pt>
                <c:pt idx="4">
                  <c:v>0.059984</c:v>
                </c:pt>
                <c:pt idx="5">
                  <c:v>0.060435</c:v>
                </c:pt>
                <c:pt idx="6">
                  <c:v>0.060891</c:v>
                </c:pt>
                <c:pt idx="7">
                  <c:v>0.061353</c:v>
                </c:pt>
                <c:pt idx="8">
                  <c:v>0.06182</c:v>
                </c:pt>
                <c:pt idx="9">
                  <c:v>0.062292</c:v>
                </c:pt>
                <c:pt idx="10">
                  <c:v>0.06277</c:v>
                </c:pt>
                <c:pt idx="11">
                  <c:v>0.063252</c:v>
                </c:pt>
                <c:pt idx="12">
                  <c:v>0.06374</c:v>
                </c:pt>
                <c:pt idx="13">
                  <c:v>0.064232</c:v>
                </c:pt>
                <c:pt idx="14">
                  <c:v>0.064729</c:v>
                </c:pt>
                <c:pt idx="15">
                  <c:v>0.06523</c:v>
                </c:pt>
                <c:pt idx="16">
                  <c:v>0.065736</c:v>
                </c:pt>
                <c:pt idx="17">
                  <c:v>0.066247</c:v>
                </c:pt>
                <c:pt idx="18">
                  <c:v>0.066761</c:v>
                </c:pt>
                <c:pt idx="19">
                  <c:v>0.06728</c:v>
                </c:pt>
                <c:pt idx="20">
                  <c:v>0.067803</c:v>
                </c:pt>
                <c:pt idx="21">
                  <c:v>0.06833</c:v>
                </c:pt>
                <c:pt idx="22">
                  <c:v>0.06886</c:v>
                </c:pt>
                <c:pt idx="23">
                  <c:v>0.069395</c:v>
                </c:pt>
                <c:pt idx="24">
                  <c:v>0.069933</c:v>
                </c:pt>
                <c:pt idx="25">
                  <c:v>0.070475</c:v>
                </c:pt>
                <c:pt idx="26">
                  <c:v>0.07102</c:v>
                </c:pt>
                <c:pt idx="27">
                  <c:v>0.071569</c:v>
                </c:pt>
                <c:pt idx="28">
                  <c:v>0.072121</c:v>
                </c:pt>
                <c:pt idx="29">
                  <c:v>0.072676</c:v>
                </c:pt>
                <c:pt idx="30">
                  <c:v>0.073235</c:v>
                </c:pt>
                <c:pt idx="31">
                  <c:v>0.073797</c:v>
                </c:pt>
                <c:pt idx="32">
                  <c:v>0.074362</c:v>
                </c:pt>
                <c:pt idx="33">
                  <c:v>0.07493</c:v>
                </c:pt>
                <c:pt idx="34">
                  <c:v>0.075501</c:v>
                </c:pt>
                <c:pt idx="35">
                  <c:v>0.076075</c:v>
                </c:pt>
                <c:pt idx="36">
                  <c:v>0.076651</c:v>
                </c:pt>
                <c:pt idx="37">
                  <c:v>0.077231</c:v>
                </c:pt>
                <c:pt idx="38">
                  <c:v>0.077813</c:v>
                </c:pt>
                <c:pt idx="39">
                  <c:v>0.078398</c:v>
                </c:pt>
                <c:pt idx="40">
                  <c:v>0.078985</c:v>
                </c:pt>
                <c:pt idx="41">
                  <c:v>0.079575</c:v>
                </c:pt>
                <c:pt idx="42">
                  <c:v>0.080167</c:v>
                </c:pt>
                <c:pt idx="43">
                  <c:v>0.080762</c:v>
                </c:pt>
                <c:pt idx="44">
                  <c:v>0.081359</c:v>
                </c:pt>
                <c:pt idx="45">
                  <c:v>0.081958</c:v>
                </c:pt>
                <c:pt idx="46">
                  <c:v>0.08256</c:v>
                </c:pt>
                <c:pt idx="47">
                  <c:v>0.083163</c:v>
                </c:pt>
                <c:pt idx="48">
                  <c:v>0.083769</c:v>
                </c:pt>
                <c:pt idx="49">
                  <c:v>0.084377</c:v>
                </c:pt>
                <c:pt idx="50">
                  <c:v>0.084987</c:v>
                </c:pt>
                <c:pt idx="51">
                  <c:v>0.0856</c:v>
                </c:pt>
                <c:pt idx="52">
                  <c:v>0.086214</c:v>
                </c:pt>
                <c:pt idx="53">
                  <c:v>0.08683</c:v>
                </c:pt>
                <c:pt idx="54">
                  <c:v>0.087448</c:v>
                </c:pt>
                <c:pt idx="55">
                  <c:v>0.088068</c:v>
                </c:pt>
                <c:pt idx="56">
                  <c:v>0.088689</c:v>
                </c:pt>
                <c:pt idx="57">
                  <c:v>0.089313</c:v>
                </c:pt>
                <c:pt idx="58">
                  <c:v>0.089938</c:v>
                </c:pt>
                <c:pt idx="59">
                  <c:v>0.090564</c:v>
                </c:pt>
                <c:pt idx="60">
                  <c:v>0.091193</c:v>
                </c:pt>
                <c:pt idx="61">
                  <c:v>0.091823</c:v>
                </c:pt>
                <c:pt idx="62">
                  <c:v>0.092455</c:v>
                </c:pt>
                <c:pt idx="63">
                  <c:v>0.093088</c:v>
                </c:pt>
                <c:pt idx="64">
                  <c:v>0.093723</c:v>
                </c:pt>
                <c:pt idx="65">
                  <c:v>0.094359</c:v>
                </c:pt>
                <c:pt idx="66">
                  <c:v>0.094997</c:v>
                </c:pt>
                <c:pt idx="67">
                  <c:v>0.095636</c:v>
                </c:pt>
                <c:pt idx="68">
                  <c:v>0.096277</c:v>
                </c:pt>
                <c:pt idx="69">
                  <c:v>0.096919</c:v>
                </c:pt>
                <c:pt idx="70">
                  <c:v>0.097563</c:v>
                </c:pt>
                <c:pt idx="71">
                  <c:v>0.098207</c:v>
                </c:pt>
                <c:pt idx="72">
                  <c:v>0.098854</c:v>
                </c:pt>
                <c:pt idx="73">
                  <c:v>0.099501</c:v>
                </c:pt>
                <c:pt idx="74">
                  <c:v>0.10015</c:v>
                </c:pt>
                <c:pt idx="75">
                  <c:v>0.100799</c:v>
                </c:pt>
                <c:pt idx="76">
                  <c:v>0.101451</c:v>
                </c:pt>
                <c:pt idx="77">
                  <c:v>0.102103</c:v>
                </c:pt>
                <c:pt idx="78">
                  <c:v>0.102756</c:v>
                </c:pt>
                <c:pt idx="79">
                  <c:v>0.103411</c:v>
                </c:pt>
                <c:pt idx="80">
                  <c:v>0.104067</c:v>
                </c:pt>
              </c:numCache>
            </c:numRef>
          </c:xVal>
          <c:yVal>
            <c:numRef>
              <c:f>Datos!$F$2:$F$82</c:f>
              <c:numCache>
                <c:formatCode>0.0%</c:formatCode>
                <c:ptCount val="81"/>
                <c:pt idx="0">
                  <c:v>0.05001</c:v>
                </c:pt>
                <c:pt idx="1">
                  <c:v>0.050224</c:v>
                </c:pt>
                <c:pt idx="2">
                  <c:v>0.050438</c:v>
                </c:pt>
                <c:pt idx="3">
                  <c:v>0.050652</c:v>
                </c:pt>
                <c:pt idx="4">
                  <c:v>0.050866</c:v>
                </c:pt>
                <c:pt idx="5">
                  <c:v>0.05108</c:v>
                </c:pt>
                <c:pt idx="6">
                  <c:v>0.051294</c:v>
                </c:pt>
                <c:pt idx="7">
                  <c:v>0.051508</c:v>
                </c:pt>
                <c:pt idx="8">
                  <c:v>0.051722</c:v>
                </c:pt>
                <c:pt idx="9">
                  <c:v>0.051937</c:v>
                </c:pt>
                <c:pt idx="10">
                  <c:v>0.052151</c:v>
                </c:pt>
                <c:pt idx="11">
                  <c:v>0.052365</c:v>
                </c:pt>
                <c:pt idx="12">
                  <c:v>0.052579</c:v>
                </c:pt>
                <c:pt idx="13">
                  <c:v>0.052793</c:v>
                </c:pt>
                <c:pt idx="14">
                  <c:v>0.053007</c:v>
                </c:pt>
                <c:pt idx="15">
                  <c:v>0.053221</c:v>
                </c:pt>
                <c:pt idx="16">
                  <c:v>0.053435</c:v>
                </c:pt>
                <c:pt idx="17">
                  <c:v>0.053649</c:v>
                </c:pt>
                <c:pt idx="18">
                  <c:v>0.053863</c:v>
                </c:pt>
                <c:pt idx="19">
                  <c:v>0.054077</c:v>
                </c:pt>
                <c:pt idx="20">
                  <c:v>0.054291</c:v>
                </c:pt>
                <c:pt idx="21">
                  <c:v>0.054505</c:v>
                </c:pt>
                <c:pt idx="22">
                  <c:v>0.054719</c:v>
                </c:pt>
                <c:pt idx="23">
                  <c:v>0.054933</c:v>
                </c:pt>
                <c:pt idx="24">
                  <c:v>0.055148</c:v>
                </c:pt>
                <c:pt idx="25">
                  <c:v>0.055362</c:v>
                </c:pt>
                <c:pt idx="26">
                  <c:v>0.055576</c:v>
                </c:pt>
                <c:pt idx="27">
                  <c:v>0.05579</c:v>
                </c:pt>
                <c:pt idx="28">
                  <c:v>0.056004</c:v>
                </c:pt>
                <c:pt idx="29">
                  <c:v>0.056218</c:v>
                </c:pt>
                <c:pt idx="30">
                  <c:v>0.056432</c:v>
                </c:pt>
                <c:pt idx="31">
                  <c:v>0.056646</c:v>
                </c:pt>
                <c:pt idx="32">
                  <c:v>0.05686</c:v>
                </c:pt>
                <c:pt idx="33">
                  <c:v>0.057074</c:v>
                </c:pt>
                <c:pt idx="34">
                  <c:v>0.057288</c:v>
                </c:pt>
                <c:pt idx="35">
                  <c:v>0.057502</c:v>
                </c:pt>
                <c:pt idx="36">
                  <c:v>0.057716</c:v>
                </c:pt>
                <c:pt idx="37">
                  <c:v>0.05793</c:v>
                </c:pt>
                <c:pt idx="38">
                  <c:v>0.058144</c:v>
                </c:pt>
                <c:pt idx="39">
                  <c:v>0.058358</c:v>
                </c:pt>
                <c:pt idx="40">
                  <c:v>0.058572</c:v>
                </c:pt>
                <c:pt idx="41">
                  <c:v>0.058787</c:v>
                </c:pt>
                <c:pt idx="42">
                  <c:v>0.059001</c:v>
                </c:pt>
                <c:pt idx="43">
                  <c:v>0.059215</c:v>
                </c:pt>
                <c:pt idx="44">
                  <c:v>0.059429</c:v>
                </c:pt>
                <c:pt idx="45">
                  <c:v>0.059643</c:v>
                </c:pt>
                <c:pt idx="46">
                  <c:v>0.059857</c:v>
                </c:pt>
                <c:pt idx="47">
                  <c:v>0.060071</c:v>
                </c:pt>
                <c:pt idx="48">
                  <c:v>0.060285</c:v>
                </c:pt>
                <c:pt idx="49">
                  <c:v>0.060499</c:v>
                </c:pt>
                <c:pt idx="50">
                  <c:v>0.060713</c:v>
                </c:pt>
                <c:pt idx="51">
                  <c:v>0.060927</c:v>
                </c:pt>
                <c:pt idx="52">
                  <c:v>0.061141</c:v>
                </c:pt>
                <c:pt idx="53">
                  <c:v>0.061355</c:v>
                </c:pt>
                <c:pt idx="54">
                  <c:v>0.061569</c:v>
                </c:pt>
                <c:pt idx="55">
                  <c:v>0.061783</c:v>
                </c:pt>
                <c:pt idx="56">
                  <c:v>0.061997</c:v>
                </c:pt>
                <c:pt idx="57">
                  <c:v>0.062212</c:v>
                </c:pt>
                <c:pt idx="58">
                  <c:v>0.062426</c:v>
                </c:pt>
                <c:pt idx="59">
                  <c:v>0.06264</c:v>
                </c:pt>
                <c:pt idx="60">
                  <c:v>0.062854</c:v>
                </c:pt>
                <c:pt idx="61">
                  <c:v>0.063068</c:v>
                </c:pt>
                <c:pt idx="62">
                  <c:v>0.063282</c:v>
                </c:pt>
                <c:pt idx="63">
                  <c:v>0.063496</c:v>
                </c:pt>
                <c:pt idx="64">
                  <c:v>0.06371</c:v>
                </c:pt>
                <c:pt idx="65">
                  <c:v>0.063924</c:v>
                </c:pt>
                <c:pt idx="66">
                  <c:v>0.064138</c:v>
                </c:pt>
                <c:pt idx="67">
                  <c:v>0.064352</c:v>
                </c:pt>
                <c:pt idx="68">
                  <c:v>0.064566</c:v>
                </c:pt>
                <c:pt idx="69">
                  <c:v>0.06478</c:v>
                </c:pt>
                <c:pt idx="70">
                  <c:v>0.064994</c:v>
                </c:pt>
                <c:pt idx="71">
                  <c:v>0.065208</c:v>
                </c:pt>
                <c:pt idx="72">
                  <c:v>0.065422</c:v>
                </c:pt>
                <c:pt idx="73">
                  <c:v>0.065637</c:v>
                </c:pt>
                <c:pt idx="74">
                  <c:v>0.065851</c:v>
                </c:pt>
                <c:pt idx="75">
                  <c:v>0.066065</c:v>
                </c:pt>
                <c:pt idx="76">
                  <c:v>0.066279</c:v>
                </c:pt>
                <c:pt idx="77">
                  <c:v>0.066493</c:v>
                </c:pt>
                <c:pt idx="78">
                  <c:v>0.066707</c:v>
                </c:pt>
                <c:pt idx="79">
                  <c:v>0.066921</c:v>
                </c:pt>
                <c:pt idx="80">
                  <c:v>0.067135</c:v>
                </c:pt>
              </c:numCache>
            </c:numRef>
          </c:yVal>
          <c:smooth val="0"/>
        </c:ser>
        <c:ser>
          <c:idx val="1"/>
          <c:order val="1"/>
          <c:tx>
            <c:strRef>
              <c:f>Datos!$H$2</c:f>
              <c:strCache>
                <c:ptCount val="1"/>
                <c:pt idx="0">
                  <c:v>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Datos!$I$2</c:f>
              <c:numCache>
                <c:formatCode>0.0%</c:formatCode>
                <c:ptCount val="1"/>
                <c:pt idx="0">
                  <c:v>0.05824</c:v>
                </c:pt>
              </c:numCache>
            </c:numRef>
          </c:xVal>
          <c:yVal>
            <c:numRef>
              <c:f>Datos!$J$2</c:f>
              <c:numCache>
                <c:formatCode>0.0%</c:formatCode>
                <c:ptCount val="1"/>
                <c:pt idx="0">
                  <c:v>0.05001</c:v>
                </c:pt>
              </c:numCache>
            </c:numRef>
          </c:yVal>
          <c:smooth val="0"/>
        </c:ser>
        <c:ser>
          <c:idx val="2"/>
          <c:order val="2"/>
          <c:tx>
            <c:strRef>
              <c:f>Datos!$H$3</c:f>
              <c:strCache>
                <c:ptCount val="1"/>
                <c:pt idx="0">
                  <c:v>Moderado 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Datos!$I$3</c:f>
              <c:numCache>
                <c:formatCode>0.0%</c:formatCode>
                <c:ptCount val="1"/>
                <c:pt idx="0">
                  <c:v>0.078985</c:v>
                </c:pt>
              </c:numCache>
            </c:numRef>
          </c:xVal>
          <c:yVal>
            <c:numRef>
              <c:f>Datos!$J$3</c:f>
              <c:numCache>
                <c:formatCode>0.0%</c:formatCode>
                <c:ptCount val="1"/>
                <c:pt idx="0">
                  <c:v>0.0585725</c:v>
                </c:pt>
              </c:numCache>
            </c:numRef>
          </c:yVal>
          <c:smooth val="0"/>
        </c:ser>
        <c:ser>
          <c:idx val="3"/>
          <c:order val="3"/>
          <c:tx>
            <c:strRef>
              <c:f>Datos!$H$4</c:f>
              <c:strCache>
                <c:ptCount val="1"/>
                <c:pt idx="0">
                  <c:v>Moderado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Datos!$I$4</c:f>
              <c:numCache>
                <c:formatCode>0.0%</c:formatCode>
                <c:ptCount val="1"/>
                <c:pt idx="0">
                  <c:v>0.104067</c:v>
                </c:pt>
              </c:numCache>
            </c:numRef>
          </c:xVal>
          <c:yVal>
            <c:numRef>
              <c:f>Datos!$J$4</c:f>
              <c:numCache>
                <c:formatCode>0.0%</c:formatCode>
                <c:ptCount val="1"/>
                <c:pt idx="0">
                  <c:v>0.067135</c:v>
                </c:pt>
              </c:numCache>
            </c:numRef>
          </c:yVal>
          <c:smooth val="0"/>
        </c:ser>
        <c:ser>
          <c:idx val="4"/>
          <c:order val="4"/>
          <c:tx>
            <c:strRef>
              <c:f>Datos!$H$5</c:f>
              <c:strCache>
                <c:ptCount val="1"/>
                <c:pt idx="0">
                  <c:v>Moderado 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Datos!$I$5</c:f>
              <c:numCache>
                <c:formatCode>0.0%</c:formatCode>
                <c:ptCount val="1"/>
                <c:pt idx="0">
                  <c:v>0.137651</c:v>
                </c:pt>
              </c:numCache>
            </c:numRef>
          </c:xVal>
          <c:yVal>
            <c:numRef>
              <c:f>Datos!$J$5</c:f>
              <c:numCache>
                <c:formatCode>0.0%</c:formatCode>
                <c:ptCount val="1"/>
                <c:pt idx="0">
                  <c:v>0.072835</c:v>
                </c:pt>
              </c:numCache>
            </c:numRef>
          </c:yVal>
          <c:smooth val="0"/>
        </c:ser>
        <c:ser>
          <c:idx val="5"/>
          <c:order val="5"/>
          <c:tx>
            <c:strRef>
              <c:f>Datos!$H$6</c:f>
              <c:strCache>
                <c:ptCount val="1"/>
                <c:pt idx="0">
                  <c:v>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t"/>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Datos!$I$6</c:f>
              <c:numCache>
                <c:formatCode>0.0%</c:formatCode>
                <c:ptCount val="1"/>
                <c:pt idx="0">
                  <c:v>0.174735</c:v>
                </c:pt>
              </c:numCache>
            </c:numRef>
          </c:xVal>
          <c:yVal>
            <c:numRef>
              <c:f>Datos!$J$6</c:f>
              <c:numCache>
                <c:formatCode>0.0%</c:formatCode>
                <c:ptCount val="1"/>
                <c:pt idx="0">
                  <c:v>0.078535</c:v>
                </c:pt>
              </c:numCache>
            </c:numRef>
          </c:yVal>
          <c:smooth val="0"/>
        </c:ser>
        <c:ser>
          <c:idx val="6"/>
          <c:order val="6"/>
          <c:tx>
            <c:strRef>
              <c:f>Datos!$H$7</c:f>
              <c:strCache>
                <c:ptCount val="1"/>
                <c:pt idx="0">
                  <c:v>Cartera sugerida</c:v>
                </c:pt>
              </c:strCache>
            </c:strRef>
          </c:tx>
          <c:spPr>
            <a:solidFill>
              <a:srgbClr val="2b3014"/>
            </a:solidFill>
            <a:ln w="28440">
              <a:noFill/>
            </a:ln>
          </c:spPr>
          <c:marker>
            <c:symbol val="circle"/>
            <c:size val="12"/>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Datos!$I$7</c:f>
              <c:numCache>
                <c:formatCode>0.0%</c:formatCode>
                <c:ptCount val="1"/>
                <c:pt idx="0">
                  <c:v>0.078985</c:v>
                </c:pt>
              </c:numCache>
            </c:numRef>
          </c:xVal>
          <c:yVal>
            <c:numRef>
              <c:f>Datos!$J$7</c:f>
              <c:numCache>
                <c:formatCode>0.0%</c:formatCode>
                <c:ptCount val="1"/>
                <c:pt idx="0">
                  <c:v>0.0585725</c:v>
                </c:pt>
              </c:numCache>
            </c:numRef>
          </c:yVal>
          <c:smooth val="0"/>
        </c:ser>
        <c:ser>
          <c:idx val="7"/>
          <c:order val="7"/>
          <c:tx>
            <c:strRef>
              <c:f>Datos!$H$9</c:f>
              <c:strCache>
                <c:ptCount val="1"/>
                <c:pt idx="0">
                  <c:v>Rendimiento de equilibrio</c:v>
                </c:pt>
              </c:strCache>
            </c:strRef>
          </c:tx>
          <c:spPr>
            <a:solidFill>
              <a:srgbClr val="a2543a"/>
            </a:solidFill>
            <a:ln w="15840">
              <a:solidFill>
                <a:srgbClr val="a2543a"/>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Datos!$I$9:$I$11</c:f>
              <c:numCache>
                <c:formatCode>0.0%</c:formatCode>
                <c:ptCount val="3"/>
                <c:pt idx="0">
                  <c:v>0</c:v>
                </c:pt>
                <c:pt idx="1">
                  <c:v>0.2</c:v>
                </c:pt>
              </c:numCache>
            </c:numRef>
          </c:xVal>
          <c:yVal>
            <c:numRef>
              <c:f>Datos!$J$9:$J$11</c:f>
              <c:numCache>
                <c:formatCode>0.0%</c:formatCode>
                <c:ptCount val="3"/>
                <c:pt idx="0">
                  <c:v>0.079181</c:v>
                </c:pt>
                <c:pt idx="1">
                  <c:v>0.079181</c:v>
                </c:pt>
              </c:numCache>
            </c:numRef>
          </c:yVal>
          <c:smooth val="0"/>
        </c:ser>
        <c:ser>
          <c:idx val="8"/>
          <c:order val="8"/>
          <c:tx>
            <c:strRef>
              <c:f>Datos!$H$8</c:f>
              <c:strCache>
                <c:ptCount val="1"/>
                <c:pt idx="0">
                  <c:v>Cartera de equilibrio (máximo disponible)</c:v>
                </c:pt>
              </c:strCache>
            </c:strRef>
          </c:tx>
          <c:spPr>
            <a:solidFill>
              <a:srgbClr val="a2543a"/>
            </a:solidFill>
            <a:ln w="28440">
              <a:noFill/>
            </a:ln>
          </c:spPr>
          <c:marker>
            <c:symbol val="circle"/>
            <c:size val="8"/>
            <c:spPr>
              <a:solidFill>
                <a:srgbClr val="a2543a"/>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Datos!$I$8</c:f>
              <c:numCache>
                <c:formatCode>0.0%</c:formatCode>
                <c:ptCount val="1"/>
                <c:pt idx="0">
                  <c:v>0.174735</c:v>
                </c:pt>
              </c:numCache>
            </c:numRef>
          </c:xVal>
          <c:yVal>
            <c:numRef>
              <c:f>Datos!$J$8</c:f>
              <c:numCache>
                <c:formatCode>0.0%</c:formatCode>
                <c:ptCount val="1"/>
                <c:pt idx="0">
                  <c:v>0.078535</c:v>
                </c:pt>
              </c:numCache>
            </c:numRef>
          </c:yVal>
          <c:smooth val="0"/>
        </c:ser>
        <c:axId val="72667620"/>
        <c:axId val="81828653"/>
      </c:scatterChart>
      <c:valAx>
        <c:axId val="72667620"/>
        <c:scaling>
          <c:orientation val="minMax"/>
          <c:max val="0.2"/>
          <c:min val="0"/>
        </c:scaling>
        <c:delete val="0"/>
        <c:axPos val="b"/>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Riesgo del portafolio (volatilidad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81828653"/>
        <c:crosses val="autoZero"/>
        <c:crossBetween val="midCat"/>
        <c:majorUnit val="0.05"/>
      </c:valAx>
      <c:valAx>
        <c:axId val="81828653"/>
        <c:scaling>
          <c:orientation val="minMax"/>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Rendimiento esperado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72667620"/>
        <c:crosses val="autoZero"/>
        <c:crossBetween val="midCat"/>
      </c:valAx>
      <c:spPr>
        <a:noFill/>
        <a:ln w="0">
          <a:noFill/>
        </a:ln>
      </c:spPr>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ccb"/>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Perfil de riesgo: tolerancia y apetito · moderado conservador</a:t>
            </a:r>
          </a:p>
        </c:rich>
      </c:tx>
      <c:overlay val="0"/>
      <c:spPr>
        <a:noFill/>
        <a:ln w="0">
          <a:noFill/>
        </a:ln>
      </c:spPr>
    </c:title>
    <c:autoTitleDeleted val="0"/>
    <c:plotArea>
      <c:scatterChart>
        <c:scatterStyle val="lineMarker"/>
        <c:varyColors val="0"/>
        <c:ser>
          <c:idx val="0"/>
          <c:order val="0"/>
          <c:tx>
            <c:strRef>
              <c:f>Datos!$A$9</c:f>
              <c:strCache>
                <c:ptCount val="1"/>
                <c:pt idx="0">
                  <c:v>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Datos!$B$9</c:f>
              <c:numCache>
                <c:formatCode>General</c:formatCode>
                <c:ptCount val="1"/>
                <c:pt idx="0">
                  <c:v>1</c:v>
                </c:pt>
              </c:numCache>
            </c:numRef>
          </c:xVal>
          <c:yVal>
            <c:numRef>
              <c:f>Datos!$C$9</c:f>
              <c:numCache>
                <c:formatCode>General</c:formatCode>
                <c:ptCount val="1"/>
                <c:pt idx="0">
                  <c:v>1</c:v>
                </c:pt>
              </c:numCache>
            </c:numRef>
          </c:yVal>
          <c:smooth val="0"/>
        </c:ser>
        <c:ser>
          <c:idx val="1"/>
          <c:order val="1"/>
          <c:tx>
            <c:strRef>
              <c:f>Datos!$A$10</c:f>
              <c:strCache>
                <c:ptCount val="1"/>
                <c:pt idx="0">
                  <c:v>Moderado 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Datos!$B$10</c:f>
              <c:numCache>
                <c:formatCode>General</c:formatCode>
                <c:ptCount val="1"/>
                <c:pt idx="0">
                  <c:v>3</c:v>
                </c:pt>
              </c:numCache>
            </c:numRef>
          </c:xVal>
          <c:yVal>
            <c:numRef>
              <c:f>Datos!$C$10</c:f>
              <c:numCache>
                <c:formatCode>General</c:formatCode>
                <c:ptCount val="1"/>
                <c:pt idx="0">
                  <c:v>3</c:v>
                </c:pt>
              </c:numCache>
            </c:numRef>
          </c:yVal>
          <c:smooth val="0"/>
        </c:ser>
        <c:ser>
          <c:idx val="2"/>
          <c:order val="2"/>
          <c:tx>
            <c:strRef>
              <c:f>Datos!$A$11</c:f>
              <c:strCache>
                <c:ptCount val="1"/>
                <c:pt idx="0">
                  <c:v>Moderado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Datos!$B$11</c:f>
              <c:numCache>
                <c:formatCode>General</c:formatCode>
                <c:ptCount val="1"/>
                <c:pt idx="0">
                  <c:v>5</c:v>
                </c:pt>
              </c:numCache>
            </c:numRef>
          </c:xVal>
          <c:yVal>
            <c:numRef>
              <c:f>Datos!$C$11</c:f>
              <c:numCache>
                <c:formatCode>General</c:formatCode>
                <c:ptCount val="1"/>
                <c:pt idx="0">
                  <c:v>5</c:v>
                </c:pt>
              </c:numCache>
            </c:numRef>
          </c:yVal>
          <c:smooth val="0"/>
        </c:ser>
        <c:ser>
          <c:idx val="3"/>
          <c:order val="3"/>
          <c:tx>
            <c:strRef>
              <c:f>Datos!$A$12</c:f>
              <c:strCache>
                <c:ptCount val="1"/>
                <c:pt idx="0">
                  <c:v>Moderado 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Datos!$B$12</c:f>
              <c:numCache>
                <c:formatCode>General</c:formatCode>
                <c:ptCount val="1"/>
                <c:pt idx="0">
                  <c:v>7</c:v>
                </c:pt>
              </c:numCache>
            </c:numRef>
          </c:xVal>
          <c:yVal>
            <c:numRef>
              <c:f>Datos!$C$12</c:f>
              <c:numCache>
                <c:formatCode>General</c:formatCode>
                <c:ptCount val="1"/>
                <c:pt idx="0">
                  <c:v>7</c:v>
                </c:pt>
              </c:numCache>
            </c:numRef>
          </c:yVal>
          <c:smooth val="0"/>
        </c:ser>
        <c:ser>
          <c:idx val="4"/>
          <c:order val="4"/>
          <c:tx>
            <c:strRef>
              <c:f>Datos!$A$13</c:f>
              <c:strCache>
                <c:ptCount val="1"/>
                <c:pt idx="0">
                  <c:v>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Datos!$B$13</c:f>
              <c:numCache>
                <c:formatCode>General</c:formatCode>
                <c:ptCount val="1"/>
                <c:pt idx="0">
                  <c:v>9</c:v>
                </c:pt>
              </c:numCache>
            </c:numRef>
          </c:xVal>
          <c:yVal>
            <c:numRef>
              <c:f>Datos!$C$13</c:f>
              <c:numCache>
                <c:formatCode>General</c:formatCode>
                <c:ptCount val="1"/>
                <c:pt idx="0">
                  <c:v>9</c:v>
                </c:pt>
              </c:numCache>
            </c:numRef>
          </c:yVal>
          <c:smooth val="0"/>
        </c:ser>
        <c:ser>
          <c:idx val="5"/>
          <c:order val="5"/>
          <c:tx>
            <c:strRef>
              <c:f>Datos!$A$7</c:f>
              <c:strCache>
                <c:ptCount val="1"/>
                <c:pt idx="0">
                  <c:v>Cliente de ejemplo · Moderado conservador</c:v>
                </c:pt>
              </c:strCache>
            </c:strRef>
          </c:tx>
          <c:spPr>
            <a:solidFill>
              <a:srgbClr val="2b3014"/>
            </a:solidFill>
            <a:ln w="28440">
              <a:noFill/>
            </a:ln>
          </c:spPr>
          <c:marker>
            <c:symbol val="circle"/>
            <c:size val="10"/>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Datos!$B$7</c:f>
              <c:numCache>
                <c:formatCode>0.0</c:formatCode>
                <c:ptCount val="1"/>
                <c:pt idx="0">
                  <c:v>3.09</c:v>
                </c:pt>
              </c:numCache>
            </c:numRef>
          </c:xVal>
          <c:yVal>
            <c:numRef>
              <c:f>Datos!$C$7</c:f>
              <c:numCache>
                <c:formatCode>0.0</c:formatCode>
                <c:ptCount val="1"/>
                <c:pt idx="0">
                  <c:v>4.69</c:v>
                </c:pt>
              </c:numCache>
            </c:numRef>
          </c:yVal>
          <c:smooth val="0"/>
        </c:ser>
        <c:ser>
          <c:idx val="6"/>
          <c:order val="6"/>
          <c:tx>
            <c:strRef>
              <c:f>Datos!$L$1</c:f>
              <c:strCache>
                <c:ptCount val="1"/>
                <c:pt idx="0">
                  <c:v>Corte conservador–moderado conservador</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Datos!$L$2:$L$3</c:f>
              <c:numCache>
                <c:formatCode>0.0</c:formatCode>
                <c:ptCount val="2"/>
                <c:pt idx="0">
                  <c:v>0</c:v>
                </c:pt>
                <c:pt idx="1">
                  <c:v>4.2857</c:v>
                </c:pt>
              </c:numCache>
            </c:numRef>
          </c:xVal>
          <c:yVal>
            <c:numRef>
              <c:f>Datos!$M$2:$M$3</c:f>
              <c:numCache>
                <c:formatCode>0.0</c:formatCode>
                <c:ptCount val="2"/>
                <c:pt idx="0">
                  <c:v>3.75</c:v>
                </c:pt>
                <c:pt idx="1">
                  <c:v>0</c:v>
                </c:pt>
              </c:numCache>
            </c:numRef>
          </c:yVal>
          <c:smooth val="0"/>
        </c:ser>
        <c:ser>
          <c:idx val="7"/>
          <c:order val="7"/>
          <c:tx>
            <c:strRef>
              <c:f>Datos!$N$1</c:f>
              <c:strCache>
                <c:ptCount val="1"/>
                <c:pt idx="0">
                  <c:v>Corte moderado conservador–moderado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Datos!$N$2:$N$3</c:f>
              <c:numCache>
                <c:formatCode>0.0</c:formatCode>
                <c:ptCount val="2"/>
                <c:pt idx="0">
                  <c:v>0</c:v>
                </c:pt>
                <c:pt idx="1">
                  <c:v>8.5714</c:v>
                </c:pt>
              </c:numCache>
            </c:numRef>
          </c:xVal>
          <c:yVal>
            <c:numRef>
              <c:f>Datos!$O$2:$O$3</c:f>
              <c:numCache>
                <c:formatCode>0.0</c:formatCode>
                <c:ptCount val="2"/>
                <c:pt idx="0">
                  <c:v>7.5</c:v>
                </c:pt>
                <c:pt idx="1">
                  <c:v>0</c:v>
                </c:pt>
              </c:numCache>
            </c:numRef>
          </c:yVal>
          <c:smooth val="0"/>
        </c:ser>
        <c:ser>
          <c:idx val="8"/>
          <c:order val="8"/>
          <c:tx>
            <c:strRef>
              <c:f>Datos!$P$1</c:f>
              <c:strCache>
                <c:ptCount val="1"/>
                <c:pt idx="0">
                  <c:v>Corte moderado–moderado 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Datos!$P$2:$P$3</c:f>
              <c:numCache>
                <c:formatCode>0.0</c:formatCode>
                <c:ptCount val="2"/>
                <c:pt idx="0">
                  <c:v>10</c:v>
                </c:pt>
                <c:pt idx="1">
                  <c:v>1.4286</c:v>
                </c:pt>
              </c:numCache>
            </c:numRef>
          </c:xVal>
          <c:yVal>
            <c:numRef>
              <c:f>Datos!$Q$2:$Q$3</c:f>
              <c:numCache>
                <c:formatCode>0.0</c:formatCode>
                <c:ptCount val="2"/>
                <c:pt idx="0">
                  <c:v>2.5</c:v>
                </c:pt>
                <c:pt idx="1">
                  <c:v>10</c:v>
                </c:pt>
              </c:numCache>
            </c:numRef>
          </c:yVal>
          <c:smooth val="0"/>
        </c:ser>
        <c:ser>
          <c:idx val="9"/>
          <c:order val="9"/>
          <c:tx>
            <c:strRef>
              <c:f>Datos!$R$1</c:f>
              <c:strCache>
                <c:ptCount val="1"/>
                <c:pt idx="0">
                  <c:v>Corte moderado agresivo–agresivo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Datos!$R$2:$R$3</c:f>
              <c:numCache>
                <c:formatCode>0.0</c:formatCode>
                <c:ptCount val="2"/>
                <c:pt idx="0">
                  <c:v>10</c:v>
                </c:pt>
                <c:pt idx="1">
                  <c:v>5.7143</c:v>
                </c:pt>
              </c:numCache>
            </c:numRef>
          </c:xVal>
          <c:yVal>
            <c:numRef>
              <c:f>Datos!$S$2:$S$3</c:f>
              <c:numCache>
                <c:formatCode>0.0</c:formatCode>
                <c:ptCount val="2"/>
                <c:pt idx="0">
                  <c:v>6.25</c:v>
                </c:pt>
                <c:pt idx="1">
                  <c:v>10</c:v>
                </c:pt>
              </c:numCache>
            </c:numRef>
          </c:yVal>
          <c:smooth val="0"/>
        </c:ser>
        <c:axId val="84236114"/>
        <c:axId val="71457598"/>
      </c:scatterChart>
      <c:valAx>
        <c:axId val="84236114"/>
        <c:scaling>
          <c:orientation val="minMax"/>
          <c:max val="10"/>
          <c:min val="0"/>
        </c:scaling>
        <c:delete val="0"/>
        <c:axPos val="b"/>
        <c:majorGridlines>
          <c:spPr>
            <a:ln w="6480">
              <a:solidFill>
                <a:srgbClr val="d9dccb"/>
              </a:solidFill>
              <a:round/>
            </a:ln>
          </c:spPr>
        </c:majorGridlines>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Tolerancia al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71457598"/>
        <c:crosses val="autoZero"/>
        <c:crossBetween val="midCat"/>
        <c:majorUnit val="5"/>
      </c:valAx>
      <c:valAx>
        <c:axId val="71457598"/>
        <c:scaling>
          <c:orientation val="minMax"/>
          <c:max val="10"/>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Apetito de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84236114"/>
        <c:crosses val="autoZero"/>
        <c:crossBetween val="midCat"/>
        <c:majorUnit val="5"/>
      </c:valAx>
      <c:spPr>
        <a:noFill/>
        <a:ln w="0">
          <a:noFill/>
        </a:ln>
      </c:spPr>
    </c:plotArea>
    <c:plotVisOnly val="1"/>
    <c:dispBlanksAs val="gap"/>
  </c:chart>
  <c:spPr>
    <a:solidFill>
      <a:srgbClr val="ffffff"/>
    </a:solidFill>
    <a:ln w="9360">
      <a:solidFill>
        <a:srgbClr val="d9dccb"/>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Proyección del portafolio</a:t>
            </a:r>
          </a:p>
        </c:rich>
      </c:tx>
      <c:overlay val="0"/>
      <c:spPr>
        <a:noFill/>
        <a:ln w="0">
          <a:noFill/>
        </a:ln>
      </c:spPr>
    </c:title>
    <c:autoTitleDeleted val="0"/>
    <c:plotArea>
      <c:lineChart>
        <c:grouping val="standard"/>
        <c:varyColors val="0"/>
        <c:ser>
          <c:idx val="0"/>
          <c:order val="0"/>
          <c:tx>
            <c:strRef>
              <c:f>Proyección!AJ29</c:f>
              <c:strCache>
                <c:ptCount val="1"/>
                <c:pt idx="0">
                  <c:v>Portafolio final nominal</c:v>
                </c:pt>
              </c:strCache>
            </c:strRef>
          </c:tx>
          <c:spPr>
            <a:solidFill>
              <a:srgbClr val="2b3014"/>
            </a:solidFill>
            <a:ln w="219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Proyección!$AJ$30:$AJ$79</c:f>
              <c:numCache>
                <c:formatCode>#,##0</c:formatCode>
                <c:ptCount val="50"/>
                <c:pt idx="0">
                  <c:v>252610.78125</c:v>
                </c:pt>
                <c:pt idx="1">
                  <c:v>257604.626234766</c:v>
                </c:pt>
                <c:pt idx="2">
                  <c:v>308285.127404901</c:v>
                </c:pt>
                <c:pt idx="3">
                  <c:v>319182.705683625</c:v>
                </c:pt>
                <c:pt idx="4">
                  <c:v>296130.788880064</c:v>
                </c:pt>
                <c:pt idx="5">
                  <c:v>406031.221034654</c:v>
                </c:pt>
                <c:pt idx="6">
                  <c:v>564281.15219538</c:v>
                </c:pt>
                <c:pt idx="7">
                  <c:v>776819.018127567</c:v>
                </c:pt>
                <c:pt idx="8">
                  <c:v>805655.788471756</c:v>
                </c:pt>
                <c:pt idx="9">
                  <c:v>853025.829045259</c:v>
                </c:pt>
                <c:pt idx="10">
                  <c:v>903739.101229481</c:v>
                </c:pt>
                <c:pt idx="11">
                  <c:v>958013.603804399</c:v>
                </c:pt>
                <c:pt idx="12">
                  <c:v>1016080.96920004</c:v>
                </c:pt>
                <c:pt idx="13">
                  <c:v>1078187.29578521</c:v>
                </c:pt>
                <c:pt idx="14">
                  <c:v>1111058.4036514</c:v>
                </c:pt>
                <c:pt idx="15">
                  <c:v>1066668.75331574</c:v>
                </c:pt>
                <c:pt idx="16">
                  <c:v>1015409.87255713</c:v>
                </c:pt>
                <c:pt idx="17">
                  <c:v>956712.913889114</c:v>
                </c:pt>
                <c:pt idx="18">
                  <c:v>889969.21752581</c:v>
                </c:pt>
                <c:pt idx="19">
                  <c:v>855748.351778979</c:v>
                </c:pt>
                <c:pt idx="20">
                  <c:v>845195.012026002</c:v>
                </c:pt>
                <c:pt idx="21">
                  <c:v>829300.038415522</c:v>
                </c:pt>
                <c:pt idx="22">
                  <c:v>807553.415384116</c:v>
                </c:pt>
                <c:pt idx="23">
                  <c:v>779407.436653129</c:v>
                </c:pt>
                <c:pt idx="24">
                  <c:v>744274.191401319</c:v>
                </c:pt>
                <c:pt idx="25">
                  <c:v>701522.891242081</c:v>
                </c:pt>
                <c:pt idx="26">
                  <c:v>650477.02821445</c:v>
                </c:pt>
                <c:pt idx="27">
                  <c:v>590411.353405392</c:v>
                </c:pt>
                <c:pt idx="28">
                  <c:v>520548.665193886</c:v>
                </c:pt>
                <c:pt idx="29">
                  <c:v>440056.395442794</c:v>
                </c:pt>
                <c:pt idx="30">
                  <c:v>348042.981260355</c:v>
                </c:pt>
                <c:pt idx="31">
                  <c:v>243554.009206903</c:v>
                </c:pt>
                <c:pt idx="32">
                  <c:v>125568.118031691</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ser>
          <c:idx val="1"/>
          <c:order val="1"/>
          <c:tx>
            <c:strRef>
              <c:f>Proyección!AK29</c:f>
              <c:strCache>
                <c:ptCount val="1"/>
                <c:pt idx="0">
                  <c:v>Portafolio en términos reales</c:v>
                </c:pt>
              </c:strCache>
            </c:strRef>
          </c:tx>
          <c:spPr>
            <a:solidFill>
              <a:srgbClr val="918042"/>
            </a:solidFill>
            <a:ln w="21960">
              <a:solidFill>
                <a:srgbClr val="91804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Proyección!$AK$30:$AK$79</c:f>
              <c:numCache>
                <c:formatCode>#,##0</c:formatCode>
                <c:ptCount val="50"/>
                <c:pt idx="0">
                  <c:v>250206.158513576</c:v>
                </c:pt>
                <c:pt idx="1">
                  <c:v>245575.040114074</c:v>
                </c:pt>
                <c:pt idx="2">
                  <c:v>282857.430289079</c:v>
                </c:pt>
                <c:pt idx="3">
                  <c:v>281863.48825747</c:v>
                </c:pt>
                <c:pt idx="4">
                  <c:v>251690.884200397</c:v>
                </c:pt>
                <c:pt idx="5">
                  <c:v>332145.06529052</c:v>
                </c:pt>
                <c:pt idx="6">
                  <c:v>444271.416175431</c:v>
                </c:pt>
                <c:pt idx="7">
                  <c:v>588649.97466498</c:v>
                </c:pt>
                <c:pt idx="8">
                  <c:v>587585.76296221</c:v>
                </c:pt>
                <c:pt idx="9">
                  <c:v>598781.489968111</c:v>
                </c:pt>
                <c:pt idx="10">
                  <c:v>610567.537948916</c:v>
                </c:pt>
                <c:pt idx="11">
                  <c:v>622940.785404996</c:v>
                </c:pt>
                <c:pt idx="12">
                  <c:v>635898.586618332</c:v>
                </c:pt>
                <c:pt idx="13">
                  <c:v>649438.760549019</c:v>
                </c:pt>
                <c:pt idx="14">
                  <c:v>644117.85185226</c:v>
                </c:pt>
                <c:pt idx="15">
                  <c:v>595171.974505271</c:v>
                </c:pt>
                <c:pt idx="16">
                  <c:v>545304.063294591</c:v>
                </c:pt>
                <c:pt idx="17">
                  <c:v>494496.749107809</c:v>
                </c:pt>
                <c:pt idx="18">
                  <c:v>442732.335636213</c:v>
                </c:pt>
                <c:pt idx="19">
                  <c:v>409729.072748282</c:v>
                </c:pt>
                <c:pt idx="20">
                  <c:v>389486.211364343</c:v>
                </c:pt>
                <c:pt idx="21">
                  <c:v>367816.578267738</c:v>
                </c:pt>
                <c:pt idx="22">
                  <c:v>344727.019976691</c:v>
                </c:pt>
                <c:pt idx="23">
                  <c:v>320223.40013743</c:v>
                </c:pt>
                <c:pt idx="24">
                  <c:v>294310.618444597</c:v>
                </c:pt>
                <c:pt idx="25">
                  <c:v>266992.628632882</c:v>
                </c:pt>
                <c:pt idx="26">
                  <c:v>238272.455567265</c:v>
                </c:pt>
                <c:pt idx="27">
                  <c:v>208152.211458202</c:v>
                </c:pt>
                <c:pt idx="28">
                  <c:v>176633.111227017</c:v>
                </c:pt>
                <c:pt idx="29">
                  <c:v>143715.487045802</c:v>
                </c:pt>
                <c:pt idx="30">
                  <c:v>109398.802075114</c:v>
                </c:pt>
                <c:pt idx="31">
                  <c:v>73681.6634218578</c:v>
                </c:pt>
                <c:pt idx="32">
                  <c:v>36561.834338816</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hiLowLines>
          <c:spPr>
            <a:ln w="0">
              <a:noFill/>
            </a:ln>
          </c:spPr>
        </c:hiLowLines>
        <c:marker val="0"/>
        <c:axId val="43701061"/>
        <c:axId val="21361559"/>
      </c:lineChart>
      <c:catAx>
        <c:axId val="4370106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Edad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361559"/>
        <c:crosses val="autoZero"/>
        <c:auto val="1"/>
        <c:lblAlgn val="ctr"/>
        <c:lblOffset val="100"/>
        <c:noMultiLvlLbl val="0"/>
      </c:catAx>
      <c:valAx>
        <c:axId val="2136155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Dólares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7010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162360</xdr:rowOff>
    </xdr:from>
    <xdr:to>
      <xdr:col>6</xdr:col>
      <xdr:colOff>4319640</xdr:colOff>
      <xdr:row>17</xdr:row>
      <xdr:rowOff>111240</xdr:rowOff>
    </xdr:to>
    <xdr:graphicFrame>
      <xdr:nvGraphicFramePr>
        <xdr:cNvPr id="0" name="Chart 1"/>
        <xdr:cNvGraphicFramePr/>
      </xdr:nvGraphicFramePr>
      <xdr:xfrm>
        <a:off x="9304200" y="486360"/>
        <a:ext cx="43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xdr:row>
      <xdr:rowOff>162360</xdr:rowOff>
    </xdr:from>
    <xdr:to>
      <xdr:col>8</xdr:col>
      <xdr:colOff>4319640</xdr:colOff>
      <xdr:row>17</xdr:row>
      <xdr:rowOff>111240</xdr:rowOff>
    </xdr:to>
    <xdr:graphicFrame>
      <xdr:nvGraphicFramePr>
        <xdr:cNvPr id="1" name="Chart 2"/>
        <xdr:cNvGraphicFramePr/>
      </xdr:nvGraphicFramePr>
      <xdr:xfrm>
        <a:off x="14167440" y="486360"/>
        <a:ext cx="43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19</xdr:row>
      <xdr:rowOff>121680</xdr:rowOff>
    </xdr:from>
    <xdr:to>
      <xdr:col>6</xdr:col>
      <xdr:colOff>4319640</xdr:colOff>
      <xdr:row>36</xdr:row>
      <xdr:rowOff>52560</xdr:rowOff>
    </xdr:to>
    <xdr:graphicFrame>
      <xdr:nvGraphicFramePr>
        <xdr:cNvPr id="2" name="Chart 6"/>
        <xdr:cNvGraphicFramePr/>
      </xdr:nvGraphicFramePr>
      <xdr:xfrm>
        <a:off x="9304200" y="3907080"/>
        <a:ext cx="43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19</xdr:row>
      <xdr:rowOff>121680</xdr:rowOff>
    </xdr:from>
    <xdr:to>
      <xdr:col>8</xdr:col>
      <xdr:colOff>4319640</xdr:colOff>
      <xdr:row>36</xdr:row>
      <xdr:rowOff>52560</xdr:rowOff>
    </xdr:to>
    <xdr:graphicFrame>
      <xdr:nvGraphicFramePr>
        <xdr:cNvPr id="3" name="Chart 7"/>
        <xdr:cNvGraphicFramePr/>
      </xdr:nvGraphicFramePr>
      <xdr:xfrm>
        <a:off x="14167440" y="3907080"/>
        <a:ext cx="431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41</xdr:col>
      <xdr:colOff>0</xdr:colOff>
      <xdr:row>28</xdr:row>
      <xdr:rowOff>501480</xdr:rowOff>
    </xdr:from>
    <xdr:to>
      <xdr:col>53</xdr:col>
      <xdr:colOff>6120</xdr:colOff>
      <xdr:row>48</xdr:row>
      <xdr:rowOff>38880</xdr:rowOff>
    </xdr:to>
    <xdr:graphicFrame>
      <xdr:nvGraphicFramePr>
        <xdr:cNvPr id="4" name="Chart 1"/>
        <xdr:cNvGraphicFramePr/>
      </xdr:nvGraphicFramePr>
      <xdr:xfrm>
        <a:off x="40810680" y="7279560"/>
        <a:ext cx="719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18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2"/>
    <col collapsed="false" customWidth="true" hidden="false" outlineLevel="0" max="5" min="5" style="0" width="62"/>
    <col collapsed="false" customWidth="true" hidden="false" outlineLevel="0" max="6" min="6" style="0" width="4"/>
    <col collapsed="false" customWidth="true" hidden="false" outlineLevel="0" max="7" min="7" style="0" width="66"/>
    <col collapsed="false" customWidth="true" hidden="false" outlineLevel="0" max="8" min="8" style="0" width="3"/>
    <col collapsed="false" customWidth="true" hidden="false" outlineLevel="0" max="9" min="9" style="0" width="66"/>
  </cols>
  <sheetData>
    <row r="1" customFormat="false" ht="25.5" hidden="false" customHeight="true" outlineLevel="0" collapsed="false">
      <c r="B1" s="1" t="s">
        <v>0</v>
      </c>
    </row>
    <row r="2" customFormat="false" ht="13.8" hidden="false" customHeight="false" outlineLevel="0" collapsed="false"/>
    <row r="3" customFormat="false" ht="30" hidden="false" customHeight="true" outlineLevel="0" collapsed="false">
      <c r="B3" s="2" t="s">
        <v>1</v>
      </c>
      <c r="C3" s="2" t="s">
        <v>2</v>
      </c>
      <c r="D3" s="2"/>
      <c r="E3" s="2" t="s">
        <v>3</v>
      </c>
    </row>
    <row r="4" customFormat="false" ht="13.8" hidden="false" customHeight="false" outlineLevel="0" collapsed="false"/>
    <row r="5" customFormat="false" ht="21.75" hidden="false" customHeight="true" outlineLevel="0" collapsed="false">
      <c r="B5" s="3" t="s">
        <v>4</v>
      </c>
      <c r="C5" s="3"/>
      <c r="D5" s="3"/>
      <c r="E5" s="3"/>
    </row>
    <row r="6" customFormat="false" ht="13.8" hidden="false" customHeight="false" outlineLevel="0" collapsed="false">
      <c r="B6" s="4" t="s">
        <v>5</v>
      </c>
      <c r="C6" s="4"/>
      <c r="D6" s="4"/>
      <c r="E6" s="5" t="s">
        <v>6</v>
      </c>
    </row>
    <row r="7" customFormat="false" ht="13.8" hidden="false" customHeight="false" outlineLevel="0" collapsed="false">
      <c r="B7" s="4" t="s">
        <v>7</v>
      </c>
      <c r="C7" s="4"/>
      <c r="D7" s="4"/>
      <c r="E7" s="5" t="s">
        <v>8</v>
      </c>
    </row>
    <row r="8" customFormat="false" ht="13.8" hidden="false" customHeight="false" outlineLevel="0" collapsed="false">
      <c r="B8" s="4" t="s">
        <v>9</v>
      </c>
      <c r="C8" s="4"/>
      <c r="D8" s="4"/>
      <c r="E8" s="5" t="s">
        <v>10</v>
      </c>
    </row>
    <row r="9" customFormat="false" ht="13.8" hidden="false" customHeight="false" outlineLevel="0" collapsed="false">
      <c r="B9" s="4" t="s">
        <v>11</v>
      </c>
      <c r="C9" s="4"/>
      <c r="D9" s="4"/>
      <c r="E9" s="5" t="s">
        <v>12</v>
      </c>
    </row>
    <row r="10" customFormat="false" ht="13.8" hidden="false" customHeight="false" outlineLevel="0" collapsed="false">
      <c r="B10" s="4" t="s">
        <v>13</v>
      </c>
      <c r="C10" s="4"/>
      <c r="D10" s="4"/>
      <c r="E10" s="5" t="s">
        <v>14</v>
      </c>
    </row>
    <row r="11" customFormat="false" ht="13.8" hidden="false" customHeight="false" outlineLevel="0" collapsed="false">
      <c r="B11" s="4" t="s">
        <v>15</v>
      </c>
      <c r="C11" s="4"/>
      <c r="D11" s="4"/>
      <c r="E11" s="5" t="s">
        <v>16</v>
      </c>
    </row>
    <row r="12" customFormat="false" ht="13.8" hidden="false" customHeight="false" outlineLevel="0" collapsed="false">
      <c r="B12" s="4" t="s">
        <v>17</v>
      </c>
      <c r="C12" s="4"/>
      <c r="D12" s="4"/>
      <c r="E12" s="5" t="s">
        <v>18</v>
      </c>
    </row>
    <row r="13" customFormat="false" ht="13.8" hidden="false" customHeight="false" outlineLevel="0" collapsed="false">
      <c r="B13" s="4" t="s">
        <v>19</v>
      </c>
      <c r="C13" s="4"/>
      <c r="D13" s="4"/>
      <c r="E13" s="5" t="s">
        <v>20</v>
      </c>
    </row>
    <row r="14" customFormat="false" ht="13.8" hidden="false" customHeight="false" outlineLevel="0" collapsed="false">
      <c r="B14" s="4" t="s">
        <v>21</v>
      </c>
      <c r="C14" s="4"/>
      <c r="D14" s="4"/>
      <c r="E14" s="5" t="s">
        <v>22</v>
      </c>
    </row>
    <row r="15" customFormat="false" ht="13.8" hidden="false" customHeight="false" outlineLevel="0" collapsed="false">
      <c r="B15" s="4" t="s">
        <v>23</v>
      </c>
      <c r="C15" s="4"/>
      <c r="D15" s="4"/>
      <c r="E15" s="5" t="s">
        <v>24</v>
      </c>
    </row>
    <row r="16" customFormat="false" ht="13.8" hidden="false" customHeight="false" outlineLevel="0" collapsed="false">
      <c r="B16" s="4" t="s">
        <v>25</v>
      </c>
      <c r="C16" s="4"/>
      <c r="D16" s="4"/>
      <c r="E16" s="5" t="s">
        <v>26</v>
      </c>
    </row>
    <row r="17" customFormat="false" ht="13.8" hidden="false" customHeight="false" outlineLevel="0" collapsed="false">
      <c r="B17" s="4" t="s">
        <v>27</v>
      </c>
      <c r="C17" s="4"/>
      <c r="D17" s="4"/>
      <c r="E17" s="5" t="s">
        <v>28</v>
      </c>
    </row>
    <row r="18" customFormat="false" ht="13.8" hidden="false" customHeight="false" outlineLevel="0" collapsed="false">
      <c r="B18" s="4" t="s">
        <v>29</v>
      </c>
      <c r="C18" s="4"/>
      <c r="D18" s="4"/>
      <c r="E18" s="5" t="s">
        <v>30</v>
      </c>
    </row>
    <row r="19" customFormat="false" ht="13.8" hidden="false" customHeight="false" outlineLevel="0" collapsed="false">
      <c r="B19" s="4" t="s">
        <v>31</v>
      </c>
      <c r="C19" s="6" t="n">
        <v>46</v>
      </c>
      <c r="D19" s="4"/>
      <c r="E19" s="4"/>
    </row>
    <row r="20" customFormat="false" ht="13.8" hidden="false" customHeight="false" outlineLevel="0" collapsed="false">
      <c r="B20" s="4" t="s">
        <v>32</v>
      </c>
      <c r="C20" s="6" t="n">
        <v>60</v>
      </c>
      <c r="D20" s="4"/>
      <c r="E20" s="4"/>
    </row>
    <row r="21" customFormat="false" ht="13.8" hidden="false" customHeight="false" outlineLevel="0" collapsed="false"/>
    <row r="22" customFormat="false" ht="21.75" hidden="false" customHeight="true" outlineLevel="0" collapsed="false">
      <c r="B22" s="3" t="s">
        <v>33</v>
      </c>
      <c r="C22" s="3"/>
      <c r="D22" s="3"/>
      <c r="E22" s="3"/>
    </row>
    <row r="23" customFormat="false" ht="13.8" hidden="false" customHeight="false" outlineLevel="0" collapsed="false">
      <c r="B23" s="4" t="s">
        <v>34</v>
      </c>
      <c r="C23" s="7" t="n">
        <v>3.09285714285714</v>
      </c>
      <c r="D23" s="4"/>
      <c r="E23" s="5" t="s">
        <v>35</v>
      </c>
    </row>
    <row r="24" customFormat="false" ht="13.8" hidden="false" customHeight="false" outlineLevel="0" collapsed="false">
      <c r="B24" s="4" t="s">
        <v>36</v>
      </c>
      <c r="C24" s="7" t="n">
        <v>4.68625</v>
      </c>
      <c r="D24" s="4"/>
      <c r="E24" s="5" t="s">
        <v>37</v>
      </c>
    </row>
    <row r="25" customFormat="false" ht="13.8" hidden="false" customHeight="false" outlineLevel="0" collapsed="false">
      <c r="B25" s="4" t="s">
        <v>38</v>
      </c>
      <c r="C25" s="7" t="n">
        <v>3.94266666666667</v>
      </c>
      <c r="D25" s="4"/>
      <c r="E25" s="4"/>
    </row>
    <row r="26" customFormat="false" ht="13.8" hidden="false" customHeight="false" outlineLevel="0" collapsed="false">
      <c r="B26" s="4" t="s">
        <v>39</v>
      </c>
      <c r="C26" s="4"/>
      <c r="D26" s="4"/>
      <c r="E26" s="5" t="s">
        <v>40</v>
      </c>
    </row>
    <row r="27" customFormat="false" ht="13.8" hidden="false" customHeight="false" outlineLevel="0" collapsed="false"/>
    <row r="28" customFormat="false" ht="21.75" hidden="false" customHeight="true" outlineLevel="0" collapsed="false">
      <c r="B28" s="3" t="s">
        <v>41</v>
      </c>
      <c r="C28" s="3"/>
      <c r="D28" s="3"/>
      <c r="E28" s="3"/>
    </row>
    <row r="29" customFormat="false" ht="13.8" hidden="false" customHeight="false" outlineLevel="0" collapsed="false">
      <c r="B29" s="4" t="s">
        <v>42</v>
      </c>
      <c r="C29" s="8" t="n">
        <v>250000</v>
      </c>
      <c r="D29" s="4"/>
      <c r="E29" s="5" t="s">
        <v>43</v>
      </c>
    </row>
    <row r="30" customFormat="false" ht="13.8" hidden="false" customHeight="false" outlineLevel="0" collapsed="false">
      <c r="B30" s="4" t="s">
        <v>44</v>
      </c>
      <c r="C30" s="8" t="n">
        <v>26667</v>
      </c>
      <c r="D30" s="4"/>
      <c r="E30" s="5" t="s">
        <v>45</v>
      </c>
    </row>
    <row r="31" customFormat="false" ht="23.85" hidden="false" customHeight="false" outlineLevel="0" collapsed="false">
      <c r="B31" s="4" t="s">
        <v>46</v>
      </c>
      <c r="C31" s="8" t="n">
        <v>26667</v>
      </c>
      <c r="D31" s="4"/>
      <c r="E31" s="5" t="s">
        <v>47</v>
      </c>
    </row>
    <row r="32" customFormat="false" ht="13.8" hidden="false" customHeight="false" outlineLevel="0" collapsed="false">
      <c r="B32" s="4" t="s">
        <v>48</v>
      </c>
      <c r="C32" s="8" t="n">
        <v>26667</v>
      </c>
      <c r="D32" s="4"/>
      <c r="E32" s="5" t="s">
        <v>49</v>
      </c>
    </row>
    <row r="33" customFormat="false" ht="13.8" hidden="false" customHeight="false" outlineLevel="0" collapsed="false">
      <c r="B33" s="4" t="s">
        <v>50</v>
      </c>
      <c r="C33" s="8" t="n">
        <v>180000</v>
      </c>
      <c r="D33" s="4"/>
      <c r="E33" s="5" t="s">
        <v>51</v>
      </c>
    </row>
    <row r="34" customFormat="false" ht="13.8" hidden="false" customHeight="false" outlineLevel="0" collapsed="false">
      <c r="B34" s="4" t="s">
        <v>52</v>
      </c>
      <c r="C34" s="8" t="n">
        <v>900000</v>
      </c>
      <c r="D34" s="4"/>
      <c r="E34" s="5" t="s">
        <v>53</v>
      </c>
    </row>
    <row r="35" customFormat="false" ht="13.8" hidden="false" customHeight="false" outlineLevel="0" collapsed="false">
      <c r="B35" s="4" t="s">
        <v>54</v>
      </c>
      <c r="C35" s="8" t="n">
        <v>800000</v>
      </c>
      <c r="D35" s="4"/>
      <c r="E35" s="5" t="s">
        <v>55</v>
      </c>
    </row>
    <row r="36" customFormat="false" ht="13.8" hidden="false" customHeight="false" outlineLevel="0" collapsed="false">
      <c r="B36" s="4" t="s">
        <v>56</v>
      </c>
      <c r="C36" s="8" t="n">
        <v>2210000</v>
      </c>
      <c r="D36" s="4"/>
      <c r="E36" s="4"/>
    </row>
    <row r="37" customFormat="false" ht="13.8" hidden="false" customHeight="false" outlineLevel="0" collapsed="false">
      <c r="B37" s="4" t="s">
        <v>57</v>
      </c>
      <c r="C37" s="8" t="n">
        <v>3000</v>
      </c>
      <c r="D37" s="4"/>
      <c r="E37" s="5" t="s">
        <v>58</v>
      </c>
    </row>
    <row r="38" customFormat="false" ht="13.8" hidden="false" customHeight="false" outlineLevel="0" collapsed="false">
      <c r="B38" s="4" t="s">
        <v>59</v>
      </c>
      <c r="C38" s="8" t="n">
        <v>12000</v>
      </c>
      <c r="D38" s="4"/>
      <c r="E38" s="5" t="s">
        <v>60</v>
      </c>
    </row>
    <row r="39" customFormat="false" ht="13.8" hidden="false" customHeight="false" outlineLevel="0" collapsed="false">
      <c r="B39" s="4" t="s">
        <v>61</v>
      </c>
      <c r="C39" s="8" t="n">
        <v>120000</v>
      </c>
      <c r="D39" s="4"/>
      <c r="E39" s="5" t="s">
        <v>62</v>
      </c>
    </row>
    <row r="40" customFormat="false" ht="13.8" hidden="false" customHeight="false" outlineLevel="0" collapsed="false">
      <c r="B40" s="4" t="s">
        <v>63</v>
      </c>
      <c r="C40" s="8" t="n">
        <v>135000</v>
      </c>
      <c r="D40" s="4"/>
      <c r="E40" s="4"/>
    </row>
    <row r="41" customFormat="false" ht="13.8" hidden="false" customHeight="false" outlineLevel="0" collapsed="false">
      <c r="B41" s="4" t="s">
        <v>64</v>
      </c>
      <c r="C41" s="8" t="n">
        <v>2075000</v>
      </c>
      <c r="D41" s="4"/>
      <c r="E41" s="4"/>
    </row>
    <row r="42" customFormat="false" ht="13.8" hidden="false" customHeight="false" outlineLevel="0" collapsed="false">
      <c r="B42" s="4" t="s">
        <v>65</v>
      </c>
      <c r="C42" s="4"/>
      <c r="D42" s="4"/>
      <c r="E42" s="5" t="s">
        <v>66</v>
      </c>
    </row>
    <row r="43" customFormat="false" ht="13.8" hidden="false" customHeight="false" outlineLevel="0" collapsed="false">
      <c r="B43" s="4" t="s">
        <v>67</v>
      </c>
      <c r="C43" s="4"/>
      <c r="D43" s="4"/>
      <c r="E43" s="5" t="s">
        <v>68</v>
      </c>
    </row>
    <row r="44" customFormat="false" ht="13.8" hidden="false" customHeight="false" outlineLevel="0" collapsed="false"/>
    <row r="45" customFormat="false" ht="21.75" hidden="false" customHeight="true" outlineLevel="0" collapsed="false">
      <c r="B45" s="3" t="s">
        <v>69</v>
      </c>
      <c r="C45" s="3"/>
      <c r="D45" s="3"/>
      <c r="E45" s="3"/>
    </row>
    <row r="46" customFormat="false" ht="13.8" hidden="false" customHeight="false" outlineLevel="0" collapsed="false">
      <c r="B46" s="4" t="s">
        <v>70</v>
      </c>
      <c r="C46" s="9" t="n">
        <v>0.0585725</v>
      </c>
      <c r="D46" s="4"/>
      <c r="E46" s="5" t="s">
        <v>71</v>
      </c>
    </row>
    <row r="47" customFormat="false" ht="13.8" hidden="false" customHeight="false" outlineLevel="0" collapsed="false">
      <c r="B47" s="4" t="s">
        <v>72</v>
      </c>
      <c r="C47" s="9" t="n">
        <v>0.0791807313795289</v>
      </c>
      <c r="D47" s="4"/>
      <c r="E47" s="4"/>
    </row>
    <row r="48" customFormat="false" ht="13.8" hidden="false" customHeight="false" outlineLevel="0" collapsed="false">
      <c r="B48" s="4" t="s">
        <v>73</v>
      </c>
      <c r="C48" s="4"/>
      <c r="D48" s="4"/>
      <c r="E48" s="5" t="s">
        <v>74</v>
      </c>
    </row>
    <row r="49" customFormat="false" ht="13.8" hidden="false" customHeight="false" outlineLevel="0" collapsed="false">
      <c r="B49" s="4" t="s">
        <v>75</v>
      </c>
      <c r="C49" s="9" t="n">
        <v>-0.0206082313795289</v>
      </c>
      <c r="D49" s="4"/>
      <c r="E49" s="4"/>
    </row>
    <row r="50" customFormat="false" ht="13.8" hidden="false" customHeight="false" outlineLevel="0" collapsed="false">
      <c r="B50" s="4" t="s">
        <v>76</v>
      </c>
      <c r="C50" s="4"/>
      <c r="D50" s="4"/>
      <c r="E50" s="4"/>
    </row>
    <row r="51" customFormat="false" ht="13.8" hidden="false" customHeight="false" outlineLevel="0" collapsed="false"/>
    <row r="52" customFormat="false" ht="21.75" hidden="false" customHeight="true" outlineLevel="0" collapsed="false">
      <c r="B52" s="3" t="s">
        <v>77</v>
      </c>
      <c r="C52" s="3"/>
      <c r="D52" s="3"/>
      <c r="E52" s="3"/>
    </row>
    <row r="53" customFormat="false" ht="30" hidden="false" customHeight="true" outlineLevel="0" collapsed="false">
      <c r="B53" s="2" t="s">
        <v>78</v>
      </c>
      <c r="C53" s="2" t="s">
        <v>79</v>
      </c>
      <c r="D53" s="2"/>
      <c r="E53" s="2" t="s">
        <v>80</v>
      </c>
    </row>
    <row r="54" customFormat="false" ht="13.8" hidden="false" customHeight="false" outlineLevel="0" collapsed="false">
      <c r="B54" s="4" t="s">
        <v>81</v>
      </c>
      <c r="C54" s="9" t="n">
        <v>0.35</v>
      </c>
      <c r="D54" s="4"/>
      <c r="E54" s="5" t="s">
        <v>82</v>
      </c>
    </row>
    <row r="55" customFormat="false" ht="13.8" hidden="false" customHeight="false" outlineLevel="0" collapsed="false">
      <c r="B55" s="4" t="s">
        <v>83</v>
      </c>
      <c r="C55" s="9" t="n">
        <v>0.475</v>
      </c>
      <c r="D55" s="4"/>
      <c r="E55" s="5" t="s">
        <v>84</v>
      </c>
    </row>
    <row r="56" customFormat="false" ht="13.8" hidden="false" customHeight="false" outlineLevel="0" collapsed="false">
      <c r="B56" s="4" t="s">
        <v>85</v>
      </c>
      <c r="C56" s="9" t="n">
        <v>0.175</v>
      </c>
      <c r="D56" s="4"/>
      <c r="E56" s="5" t="s">
        <v>84</v>
      </c>
    </row>
    <row r="57" customFormat="false" ht="13.8" hidden="false" customHeight="false" outlineLevel="0" collapsed="false">
      <c r="B57" s="4" t="s">
        <v>86</v>
      </c>
      <c r="C57" s="4"/>
      <c r="D57" s="4"/>
      <c r="E57" s="5" t="s">
        <v>87</v>
      </c>
    </row>
    <row r="58" customFormat="false" ht="23.85" hidden="false" customHeight="false" outlineLevel="0" collapsed="false">
      <c r="B58" s="4" t="s">
        <v>88</v>
      </c>
      <c r="C58" s="4"/>
      <c r="D58" s="4"/>
      <c r="E58" s="5" t="s">
        <v>89</v>
      </c>
    </row>
    <row r="59" customFormat="false" ht="13.8" hidden="false" customHeight="false" outlineLevel="0" collapsed="false">
      <c r="B59" s="4" t="s">
        <v>90</v>
      </c>
      <c r="C59" s="9" t="n">
        <v>0.078535</v>
      </c>
      <c r="D59" s="4"/>
      <c r="E59" s="4"/>
    </row>
    <row r="60" customFormat="false" ht="13.8" hidden="false" customHeight="false" outlineLevel="0" collapsed="false">
      <c r="B60" s="4" t="s">
        <v>91</v>
      </c>
      <c r="C60" s="9" t="n">
        <v>0.174735479138816</v>
      </c>
      <c r="D60" s="4"/>
      <c r="E60" s="4"/>
    </row>
    <row r="61" customFormat="false" ht="23.85" hidden="false" customHeight="false" outlineLevel="0" collapsed="false">
      <c r="B61" s="4" t="s">
        <v>92</v>
      </c>
      <c r="C61" s="4"/>
      <c r="D61" s="4"/>
      <c r="E61" s="5" t="s">
        <v>93</v>
      </c>
    </row>
    <row r="62" customFormat="false" ht="13.8" hidden="false" customHeight="false" outlineLevel="0" collapsed="false"/>
    <row r="63" customFormat="false" ht="21.75" hidden="false" customHeight="true" outlineLevel="0" collapsed="false">
      <c r="B63" s="3" t="s">
        <v>94</v>
      </c>
      <c r="C63" s="3"/>
      <c r="D63" s="3"/>
      <c r="E63" s="3"/>
    </row>
    <row r="64" customFormat="false" ht="13.8" hidden="false" customHeight="false" outlineLevel="0" collapsed="false">
      <c r="B64" s="4" t="s">
        <v>95</v>
      </c>
      <c r="C64" s="8" t="n">
        <v>50400</v>
      </c>
      <c r="D64" s="4"/>
      <c r="E64" s="5" t="s">
        <v>96</v>
      </c>
    </row>
    <row r="65" customFormat="false" ht="13.8" hidden="false" customHeight="false" outlineLevel="0" collapsed="false">
      <c r="B65" s="4" t="s">
        <v>97</v>
      </c>
      <c r="C65" s="8" t="n">
        <v>57000</v>
      </c>
      <c r="D65" s="4"/>
      <c r="E65" s="4"/>
    </row>
    <row r="66" customFormat="false" ht="23.85" hidden="false" customHeight="false" outlineLevel="0" collapsed="false">
      <c r="B66" s="4" t="s">
        <v>98</v>
      </c>
      <c r="C66" s="9" t="n">
        <v>0.06</v>
      </c>
      <c r="D66" s="4"/>
      <c r="E66" s="5" t="s">
        <v>99</v>
      </c>
    </row>
    <row r="67" customFormat="false" ht="13.8" hidden="false" customHeight="false" outlineLevel="0" collapsed="false">
      <c r="B67" s="4" t="s">
        <v>100</v>
      </c>
      <c r="C67" s="8" t="n">
        <v>840000</v>
      </c>
      <c r="D67" s="4"/>
      <c r="E67" s="5" t="s">
        <v>101</v>
      </c>
    </row>
    <row r="68" customFormat="false" ht="13.8" hidden="false" customHeight="false" outlineLevel="0" collapsed="false">
      <c r="B68" s="4" t="s">
        <v>102</v>
      </c>
      <c r="C68" s="9" t="n">
        <v>3.36</v>
      </c>
      <c r="D68" s="4"/>
      <c r="E68" s="4"/>
    </row>
    <row r="69" customFormat="false" ht="13.8" hidden="false" customHeight="false" outlineLevel="0" collapsed="false">
      <c r="B69" s="4" t="s">
        <v>103</v>
      </c>
      <c r="C69" s="8" t="n">
        <v>118750</v>
      </c>
      <c r="D69" s="4"/>
      <c r="E69" s="5" t="s">
        <v>104</v>
      </c>
    </row>
    <row r="70" customFormat="false" ht="13.8" hidden="false" customHeight="false" outlineLevel="0" collapsed="false">
      <c r="B70" s="4" t="s">
        <v>105</v>
      </c>
      <c r="C70" s="8" t="n">
        <v>118750</v>
      </c>
      <c r="D70" s="4"/>
      <c r="E70" s="5" t="s">
        <v>106</v>
      </c>
    </row>
    <row r="71" customFormat="false" ht="13.8" hidden="false" customHeight="false" outlineLevel="0" collapsed="false">
      <c r="B71" s="4" t="s">
        <v>107</v>
      </c>
      <c r="C71" s="8" t="n">
        <v>0</v>
      </c>
      <c r="D71" s="4"/>
      <c r="E71" s="5" t="s">
        <v>108</v>
      </c>
    </row>
    <row r="72" customFormat="false" ht="46.25" hidden="false" customHeight="false" outlineLevel="0" collapsed="false">
      <c r="B72" s="4" t="s">
        <v>109</v>
      </c>
      <c r="C72" s="4"/>
      <c r="D72" s="4"/>
      <c r="E72" s="5" t="s">
        <v>110</v>
      </c>
    </row>
    <row r="73" customFormat="false" ht="35.05" hidden="false" customHeight="false" outlineLevel="0" collapsed="false">
      <c r="B73" s="4" t="s">
        <v>111</v>
      </c>
      <c r="C73" s="4"/>
      <c r="D73" s="4"/>
      <c r="E73" s="5" t="s">
        <v>112</v>
      </c>
    </row>
    <row r="74" customFormat="false" ht="13.8" hidden="false" customHeight="false" outlineLevel="0" collapsed="false"/>
    <row r="75" customFormat="false" ht="21.75" hidden="false" customHeight="true" outlineLevel="0" collapsed="false">
      <c r="B75" s="3" t="s">
        <v>113</v>
      </c>
      <c r="C75" s="3"/>
      <c r="D75" s="3"/>
      <c r="E75" s="3"/>
    </row>
    <row r="76" customFormat="false" ht="13.8" hidden="false" customHeight="false" outlineLevel="0" collapsed="false">
      <c r="B76" s="4" t="s">
        <v>114</v>
      </c>
      <c r="C76" s="8" t="n">
        <v>1111058</v>
      </c>
      <c r="D76" s="4"/>
      <c r="E76" s="4"/>
    </row>
    <row r="77" customFormat="false" ht="13.8" hidden="false" customHeight="false" outlineLevel="0" collapsed="false">
      <c r="B77" s="4" t="s">
        <v>115</v>
      </c>
      <c r="C77" s="8" t="n">
        <v>0</v>
      </c>
      <c r="D77" s="4"/>
      <c r="E77" s="4"/>
    </row>
    <row r="78" customFormat="false" ht="13.8" hidden="false" customHeight="false" outlineLevel="0" collapsed="false">
      <c r="B78" s="4" t="s">
        <v>116</v>
      </c>
      <c r="C78" s="8" t="n">
        <v>0</v>
      </c>
      <c r="D78" s="4"/>
      <c r="E78" s="4"/>
    </row>
    <row r="79" customFormat="false" ht="13.8" hidden="false" customHeight="false" outlineLevel="0" collapsed="false">
      <c r="B79" s="4" t="s">
        <v>117</v>
      </c>
      <c r="C79" s="9" t="n">
        <v>0.0280851180815862</v>
      </c>
      <c r="D79" s="4"/>
      <c r="E79" s="4"/>
    </row>
    <row r="80" customFormat="false" ht="13.8" hidden="false" customHeight="false" outlineLevel="0" collapsed="false">
      <c r="B80" s="4" t="s">
        <v>118</v>
      </c>
      <c r="C80" s="6" t="n">
        <v>14</v>
      </c>
      <c r="D80" s="4"/>
      <c r="E80" s="4"/>
    </row>
    <row r="81" customFormat="false" ht="13.8" hidden="false" customHeight="false" outlineLevel="0" collapsed="false">
      <c r="B81" s="4" t="s">
        <v>119</v>
      </c>
      <c r="C81" s="6" t="n">
        <v>36</v>
      </c>
      <c r="D81" s="4"/>
      <c r="E81" s="4"/>
    </row>
    <row r="82" customFormat="false" ht="13.8" hidden="false" customHeight="false" outlineLevel="0" collapsed="false">
      <c r="B82" s="4" t="s">
        <v>120</v>
      </c>
      <c r="C82" s="6" t="n">
        <v>79</v>
      </c>
      <c r="D82" s="4"/>
      <c r="E82" s="4"/>
    </row>
    <row r="83" customFormat="false" ht="13.8" hidden="false" customHeight="false" outlineLevel="0" collapsed="false"/>
    <row r="84" customFormat="false" ht="21.75" hidden="false" customHeight="true" outlineLevel="0" collapsed="false">
      <c r="B84" s="3" t="s">
        <v>121</v>
      </c>
      <c r="C84" s="3"/>
      <c r="D84" s="3"/>
      <c r="E84" s="3"/>
    </row>
    <row r="85" customFormat="false" ht="23.85" hidden="false" customHeight="false" outlineLevel="0" collapsed="false">
      <c r="B85" s="4" t="s">
        <v>122</v>
      </c>
      <c r="C85" s="4"/>
      <c r="D85" s="4"/>
      <c r="E85" s="5" t="s">
        <v>123</v>
      </c>
    </row>
    <row r="86" customFormat="false" ht="23.85" hidden="false" customHeight="false" outlineLevel="0" collapsed="false">
      <c r="B86" s="4" t="s">
        <v>124</v>
      </c>
      <c r="C86" s="4"/>
      <c r="D86" s="4"/>
      <c r="E86" s="5" t="s">
        <v>125</v>
      </c>
    </row>
    <row r="87" customFormat="false" ht="13.8" hidden="false" customHeight="false" outlineLevel="0" collapsed="false">
      <c r="B87" s="4" t="s">
        <v>126</v>
      </c>
      <c r="C87" s="4"/>
      <c r="D87" s="4"/>
      <c r="E87" s="5" t="s">
        <v>127</v>
      </c>
    </row>
    <row r="88" customFormat="false" ht="13.8" hidden="false" customHeight="false" outlineLevel="0" collapsed="false">
      <c r="B88" s="4" t="s">
        <v>128</v>
      </c>
      <c r="C88" s="4"/>
      <c r="D88" s="4"/>
      <c r="E88" s="5" t="s">
        <v>129</v>
      </c>
    </row>
    <row r="89" customFormat="false" ht="13.8" hidden="false" customHeight="false" outlineLevel="0" collapsed="false"/>
    <row r="90" customFormat="false" ht="21.75" hidden="false" customHeight="true" outlineLevel="0" collapsed="false">
      <c r="B90" s="3" t="s">
        <v>130</v>
      </c>
      <c r="C90" s="3"/>
      <c r="D90" s="3"/>
      <c r="E90" s="3"/>
    </row>
    <row r="91" customFormat="false" ht="23.85" hidden="false" customHeight="false" outlineLevel="0" collapsed="false">
      <c r="B91" s="4" t="s">
        <v>131</v>
      </c>
      <c r="C91" s="4"/>
      <c r="D91" s="4"/>
      <c r="E91" s="5" t="s">
        <v>132</v>
      </c>
    </row>
    <row r="92" customFormat="false" ht="23.85" hidden="false" customHeight="false" outlineLevel="0" collapsed="false">
      <c r="B92" s="4" t="s">
        <v>133</v>
      </c>
      <c r="C92" s="4"/>
      <c r="D92" s="4"/>
      <c r="E92" s="5" t="s">
        <v>134</v>
      </c>
    </row>
    <row r="93" customFormat="false" ht="35.05" hidden="false" customHeight="false" outlineLevel="0" collapsed="false">
      <c r="B93" s="4" t="s">
        <v>135</v>
      </c>
      <c r="C93" s="4"/>
      <c r="D93" s="4"/>
      <c r="E93" s="5" t="s">
        <v>136</v>
      </c>
    </row>
    <row r="94" customFormat="false" ht="35.05" hidden="false" customHeight="false" outlineLevel="0" collapsed="false">
      <c r="B94" s="4" t="s">
        <v>137</v>
      </c>
      <c r="C94" s="4"/>
      <c r="D94" s="4"/>
      <c r="E94" s="5" t="s">
        <v>138</v>
      </c>
    </row>
    <row r="95" customFormat="false" ht="23.85" hidden="false" customHeight="false" outlineLevel="0" collapsed="false">
      <c r="B95" s="4" t="s">
        <v>139</v>
      </c>
      <c r="C95" s="4"/>
      <c r="D95" s="4"/>
      <c r="E95" s="5" t="s">
        <v>140</v>
      </c>
    </row>
    <row r="96" customFormat="false" ht="35.05" hidden="false" customHeight="false" outlineLevel="0" collapsed="false">
      <c r="B96" s="4" t="s">
        <v>141</v>
      </c>
      <c r="C96" s="4"/>
      <c r="D96" s="4"/>
      <c r="E96" s="5" t="s">
        <v>142</v>
      </c>
    </row>
    <row r="97" customFormat="false" ht="13.8" hidden="false" customHeight="false" outlineLevel="0" collapsed="false"/>
    <row r="98" customFormat="false" ht="21.75" hidden="false" customHeight="true" outlineLevel="0" collapsed="false">
      <c r="B98" s="3" t="s">
        <v>143</v>
      </c>
      <c r="C98" s="3"/>
      <c r="D98" s="3"/>
      <c r="E98" s="3"/>
    </row>
    <row r="99" customFormat="false" ht="30" hidden="false" customHeight="true" outlineLevel="0" collapsed="false">
      <c r="B99" s="2" t="s">
        <v>144</v>
      </c>
      <c r="C99" s="2" t="s">
        <v>145</v>
      </c>
      <c r="D99" s="2"/>
      <c r="E99" s="2" t="s">
        <v>146</v>
      </c>
    </row>
    <row r="100" customFormat="false" ht="13.8" hidden="false" customHeight="false" outlineLevel="0" collapsed="false">
      <c r="B100" s="4" t="s">
        <v>147</v>
      </c>
      <c r="C100" s="8" t="s">
        <v>148</v>
      </c>
      <c r="D100" s="4"/>
      <c r="E100" s="5" t="s">
        <v>149</v>
      </c>
    </row>
    <row r="101" customFormat="false" ht="13.8" hidden="false" customHeight="false" outlineLevel="0" collapsed="false">
      <c r="B101" s="4" t="s">
        <v>150</v>
      </c>
      <c r="C101" s="8" t="s">
        <v>151</v>
      </c>
      <c r="D101" s="4"/>
      <c r="E101" s="5" t="s">
        <v>152</v>
      </c>
    </row>
    <row r="102" customFormat="false" ht="13.8" hidden="false" customHeight="false" outlineLevel="0" collapsed="false">
      <c r="B102" s="4" t="s">
        <v>153</v>
      </c>
      <c r="C102" s="8" t="s">
        <v>154</v>
      </c>
      <c r="D102" s="4"/>
      <c r="E102" s="5" t="s">
        <v>155</v>
      </c>
    </row>
    <row r="103" customFormat="false" ht="13.8" hidden="false" customHeight="false" outlineLevel="0" collapsed="false">
      <c r="B103" s="4" t="s">
        <v>156</v>
      </c>
      <c r="C103" s="8" t="s">
        <v>157</v>
      </c>
      <c r="D103" s="4"/>
      <c r="E103" s="5" t="s">
        <v>158</v>
      </c>
    </row>
    <row r="104" customFormat="false" ht="13.8" hidden="false" customHeight="false" outlineLevel="0" collapsed="false">
      <c r="B104" s="4" t="s">
        <v>159</v>
      </c>
      <c r="C104" s="8" t="s">
        <v>30</v>
      </c>
      <c r="D104" s="4"/>
      <c r="E104" s="5" t="s">
        <v>160</v>
      </c>
    </row>
    <row r="105" customFormat="false" ht="13.8" hidden="false" customHeight="false" outlineLevel="0" collapsed="false">
      <c r="B105" s="4" t="s">
        <v>161</v>
      </c>
      <c r="C105" s="8" t="s">
        <v>162</v>
      </c>
      <c r="D105" s="4"/>
      <c r="E105" s="5" t="s">
        <v>163</v>
      </c>
    </row>
    <row r="106" customFormat="false" ht="13.8" hidden="false" customHeight="false" outlineLevel="0" collapsed="false">
      <c r="B106" s="4" t="s">
        <v>164</v>
      </c>
      <c r="C106" s="8" t="s">
        <v>165</v>
      </c>
      <c r="D106" s="4"/>
      <c r="E106" s="5" t="s">
        <v>166</v>
      </c>
    </row>
    <row r="107" customFormat="false" ht="46.25" hidden="false" customHeight="false" outlineLevel="0" collapsed="false">
      <c r="B107" s="4" t="s">
        <v>167</v>
      </c>
      <c r="C107" s="4"/>
      <c r="D107" s="4"/>
      <c r="E107" s="5" t="s">
        <v>168</v>
      </c>
    </row>
    <row r="108" customFormat="false" ht="35.05" hidden="false" customHeight="false" outlineLevel="0" collapsed="false">
      <c r="B108" s="4" t="s">
        <v>169</v>
      </c>
      <c r="C108" s="4"/>
      <c r="D108" s="4"/>
      <c r="E108" s="5" t="s">
        <v>170</v>
      </c>
    </row>
    <row r="109" customFormat="false" ht="23.85" hidden="false" customHeight="false" outlineLevel="0" collapsed="false">
      <c r="B109" s="4" t="s">
        <v>171</v>
      </c>
      <c r="C109" s="4"/>
      <c r="D109" s="4"/>
      <c r="E109" s="5" t="s">
        <v>172</v>
      </c>
    </row>
    <row r="110" customFormat="false" ht="13.8" hidden="false" customHeight="false" outlineLevel="0" collapsed="false"/>
    <row r="111" customFormat="false" ht="21.75" hidden="false" customHeight="true" outlineLevel="0" collapsed="false">
      <c r="B111" s="3" t="s">
        <v>173</v>
      </c>
      <c r="C111" s="3"/>
      <c r="D111" s="3"/>
      <c r="E111" s="3"/>
    </row>
    <row r="112" customFormat="false" ht="13.8" hidden="false" customHeight="false" outlineLevel="0" collapsed="false">
      <c r="B112" s="4" t="s">
        <v>174</v>
      </c>
      <c r="C112" s="8" t="n">
        <v>2700000</v>
      </c>
      <c r="D112" s="4"/>
      <c r="E112" s="5" t="s">
        <v>175</v>
      </c>
    </row>
    <row r="113" customFormat="false" ht="13.8" hidden="false" customHeight="false" outlineLevel="0" collapsed="false">
      <c r="B113" s="4" t="s">
        <v>176</v>
      </c>
      <c r="C113" s="8" t="n">
        <v>5500</v>
      </c>
      <c r="D113" s="4"/>
      <c r="E113" s="5" t="s">
        <v>177</v>
      </c>
    </row>
    <row r="114" customFormat="false" ht="13.8" hidden="false" customHeight="false" outlineLevel="0" collapsed="false">
      <c r="B114" s="4" t="s">
        <v>178</v>
      </c>
      <c r="C114" s="8" t="n">
        <v>250000</v>
      </c>
      <c r="D114" s="4"/>
      <c r="E114" s="5" t="s">
        <v>177</v>
      </c>
    </row>
    <row r="115" customFormat="false" ht="13.8" hidden="false" customHeight="false" outlineLevel="0" collapsed="false">
      <c r="B115" s="4" t="s">
        <v>179</v>
      </c>
      <c r="C115" s="4"/>
      <c r="D115" s="4"/>
      <c r="E115" s="5" t="s">
        <v>180</v>
      </c>
    </row>
    <row r="116" customFormat="false" ht="13.8" hidden="false" customHeight="false" outlineLevel="0" collapsed="false">
      <c r="B116" s="4" t="s">
        <v>181</v>
      </c>
      <c r="C116" s="4"/>
      <c r="D116" s="4"/>
      <c r="E116" s="4"/>
    </row>
    <row r="117" customFormat="false" ht="13.8" hidden="false" customHeight="false" outlineLevel="0" collapsed="false"/>
    <row r="118" customFormat="false" ht="21.75" hidden="false" customHeight="true" outlineLevel="0" collapsed="false">
      <c r="B118" s="3" t="s">
        <v>182</v>
      </c>
      <c r="C118" s="3"/>
      <c r="D118" s="3"/>
      <c r="E118" s="3"/>
    </row>
    <row r="119" customFormat="false" ht="13.8" hidden="false" customHeight="false" outlineLevel="0" collapsed="false">
      <c r="B119" s="4" t="s">
        <v>183</v>
      </c>
      <c r="C119" s="9" t="n">
        <v>1</v>
      </c>
      <c r="D119" s="4"/>
      <c r="E119" s="4"/>
    </row>
    <row r="120" customFormat="false" ht="13.8" hidden="false" customHeight="false" outlineLevel="0" collapsed="false">
      <c r="B120" s="4" t="s">
        <v>184</v>
      </c>
      <c r="C120" s="4"/>
      <c r="D120" s="4"/>
      <c r="E120" s="5" t="s">
        <v>185</v>
      </c>
    </row>
    <row r="121" customFormat="false" ht="13.8" hidden="false" customHeight="false" outlineLevel="0" collapsed="false">
      <c r="B121" s="4" t="s">
        <v>186</v>
      </c>
      <c r="C121" s="8" t="n">
        <v>800000</v>
      </c>
      <c r="D121" s="4"/>
      <c r="E121" s="5" t="s">
        <v>175</v>
      </c>
    </row>
    <row r="122" customFormat="false" ht="13.8" hidden="false" customHeight="false" outlineLevel="0" collapsed="false">
      <c r="B122" s="4" t="s">
        <v>187</v>
      </c>
      <c r="C122" s="6" t="n">
        <v>65</v>
      </c>
      <c r="D122" s="4"/>
      <c r="E122" s="4"/>
    </row>
    <row r="123" customFormat="false" ht="13.8" hidden="false" customHeight="false" outlineLevel="0" collapsed="false">
      <c r="B123" s="4" t="s">
        <v>188</v>
      </c>
      <c r="C123" s="8" t="n">
        <v>500000</v>
      </c>
      <c r="D123" s="4"/>
      <c r="E123" s="5" t="s">
        <v>189</v>
      </c>
    </row>
    <row r="124" customFormat="false" ht="13.8" hidden="false" customHeight="false" outlineLevel="0" collapsed="false">
      <c r="B124" s="4" t="s">
        <v>190</v>
      </c>
      <c r="C124" s="8" t="n">
        <v>12000000</v>
      </c>
      <c r="D124" s="4"/>
      <c r="E124" s="5" t="s">
        <v>191</v>
      </c>
    </row>
    <row r="125" customFormat="false" ht="13.8" hidden="false" customHeight="false" outlineLevel="0" collapsed="false">
      <c r="B125" s="4" t="s">
        <v>192</v>
      </c>
      <c r="C125" s="4"/>
      <c r="D125" s="4"/>
      <c r="E125" s="5" t="s">
        <v>193</v>
      </c>
    </row>
    <row r="126" customFormat="false" ht="13.8" hidden="false" customHeight="false" outlineLevel="0" collapsed="false">
      <c r="B126" s="4" t="s">
        <v>194</v>
      </c>
      <c r="C126" s="8" t="n">
        <v>12000000</v>
      </c>
      <c r="D126" s="4"/>
      <c r="E126" s="5" t="s">
        <v>195</v>
      </c>
    </row>
    <row r="127" customFormat="false" ht="13.8" hidden="false" customHeight="false" outlineLevel="0" collapsed="false">
      <c r="B127" s="4" t="s">
        <v>196</v>
      </c>
      <c r="C127" s="4"/>
      <c r="D127" s="4"/>
      <c r="E127" s="5" t="s">
        <v>193</v>
      </c>
    </row>
    <row r="128" customFormat="false" ht="13.8" hidden="false" customHeight="false" outlineLevel="0" collapsed="false">
      <c r="B128" s="4" t="s">
        <v>197</v>
      </c>
      <c r="C128" s="8" t="n">
        <v>12000000</v>
      </c>
      <c r="D128" s="4"/>
      <c r="E128" s="5" t="s">
        <v>198</v>
      </c>
    </row>
    <row r="129" customFormat="false" ht="13.8" hidden="false" customHeight="false" outlineLevel="0" collapsed="false">
      <c r="B129" s="4" t="s">
        <v>199</v>
      </c>
      <c r="C129" s="8" t="n">
        <v>150000</v>
      </c>
      <c r="D129" s="4"/>
      <c r="E129" s="5" t="s">
        <v>175</v>
      </c>
    </row>
    <row r="130" customFormat="false" ht="13.8" hidden="false" customHeight="false" outlineLevel="0" collapsed="false">
      <c r="B130" s="4" t="s">
        <v>200</v>
      </c>
      <c r="C130" s="8" t="n">
        <v>40000</v>
      </c>
      <c r="D130" s="4"/>
      <c r="E130" s="5" t="s">
        <v>201</v>
      </c>
    </row>
    <row r="131" customFormat="false" ht="13.8" hidden="false" customHeight="false" outlineLevel="0" collapsed="false">
      <c r="B131" s="4" t="s">
        <v>202</v>
      </c>
      <c r="C131" s="8" t="n">
        <v>120000</v>
      </c>
      <c r="D131" s="4"/>
      <c r="E131" s="5" t="s">
        <v>203</v>
      </c>
    </row>
    <row r="132" customFormat="false" ht="13.8" hidden="false" customHeight="false" outlineLevel="0" collapsed="false">
      <c r="B132" s="4" t="s">
        <v>204</v>
      </c>
      <c r="C132" s="8" t="n">
        <v>180000</v>
      </c>
      <c r="D132" s="4"/>
      <c r="E132" s="5" t="s">
        <v>205</v>
      </c>
    </row>
    <row r="133" customFormat="false" ht="13.8" hidden="false" customHeight="false" outlineLevel="0" collapsed="false">
      <c r="B133" s="4" t="s">
        <v>206</v>
      </c>
      <c r="C133" s="8" t="n">
        <v>150000</v>
      </c>
      <c r="D133" s="4"/>
      <c r="E133" s="5" t="s">
        <v>207</v>
      </c>
    </row>
    <row r="134" customFormat="false" ht="13.8" hidden="false" customHeight="false" outlineLevel="0" collapsed="false">
      <c r="B134" s="4" t="s">
        <v>208</v>
      </c>
      <c r="C134" s="8" t="n">
        <v>12000</v>
      </c>
      <c r="D134" s="4"/>
      <c r="E134" s="5" t="s">
        <v>209</v>
      </c>
    </row>
    <row r="135" customFormat="false" ht="13.8" hidden="false" customHeight="false" outlineLevel="0" collapsed="false">
      <c r="B135" s="4" t="s">
        <v>210</v>
      </c>
      <c r="C135" s="8" t="n">
        <v>40000</v>
      </c>
      <c r="D135" s="4"/>
      <c r="E135" s="5" t="s">
        <v>211</v>
      </c>
    </row>
    <row r="136" customFormat="false" ht="13.8" hidden="false" customHeight="false" outlineLevel="0" collapsed="false"/>
    <row r="137" customFormat="false" ht="21.75" hidden="false" customHeight="true" outlineLevel="0" collapsed="false">
      <c r="B137" s="3" t="s">
        <v>212</v>
      </c>
      <c r="C137" s="3"/>
      <c r="D137" s="3"/>
      <c r="E137" s="3"/>
    </row>
    <row r="138" customFormat="false" ht="13.8" hidden="false" customHeight="false" outlineLevel="0" collapsed="false">
      <c r="B138" s="4" t="s">
        <v>213</v>
      </c>
      <c r="C138" s="8" t="n">
        <v>50000</v>
      </c>
      <c r="D138" s="4"/>
      <c r="E138" s="5" t="s">
        <v>177</v>
      </c>
    </row>
    <row r="139" customFormat="false" ht="13.8" hidden="false" customHeight="false" outlineLevel="0" collapsed="false">
      <c r="B139" s="4" t="s">
        <v>214</v>
      </c>
      <c r="C139" s="4"/>
      <c r="D139" s="4"/>
      <c r="E139" s="5" t="s">
        <v>215</v>
      </c>
    </row>
    <row r="140" customFormat="false" ht="13.8" hidden="false" customHeight="false" outlineLevel="0" collapsed="false"/>
    <row r="141" customFormat="false" ht="21.75" hidden="false" customHeight="true" outlineLevel="0" collapsed="false">
      <c r="B141" s="3" t="s">
        <v>216</v>
      </c>
      <c r="C141" s="3"/>
      <c r="D141" s="3"/>
      <c r="E141" s="3"/>
    </row>
    <row r="142" customFormat="false" ht="13.8" hidden="false" customHeight="false" outlineLevel="0" collapsed="false">
      <c r="B142" s="4" t="s">
        <v>217</v>
      </c>
      <c r="C142" s="4"/>
      <c r="D142" s="4"/>
      <c r="E142" s="5" t="s">
        <v>218</v>
      </c>
    </row>
    <row r="143" customFormat="false" ht="13.8" hidden="false" customHeight="false" outlineLevel="0" collapsed="false">
      <c r="B143" s="4" t="s">
        <v>219</v>
      </c>
      <c r="C143" s="6" t="n">
        <v>1</v>
      </c>
      <c r="D143" s="4"/>
      <c r="E143" s="5" t="s">
        <v>220</v>
      </c>
    </row>
    <row r="144" customFormat="false" ht="13.8" hidden="false" customHeight="false" outlineLevel="0" collapsed="false">
      <c r="B144" s="4" t="s">
        <v>221</v>
      </c>
      <c r="C144" s="4"/>
      <c r="D144" s="4"/>
      <c r="E144" s="5" t="s">
        <v>222</v>
      </c>
    </row>
    <row r="145" customFormat="false" ht="13.8" hidden="false" customHeight="false" outlineLevel="0" collapsed="false">
      <c r="B145" s="4" t="s">
        <v>223</v>
      </c>
      <c r="C145" s="4"/>
      <c r="D145" s="4"/>
      <c r="E145" s="5" t="s">
        <v>224</v>
      </c>
    </row>
    <row r="146" customFormat="false" ht="13.8" hidden="false" customHeight="false" outlineLevel="0" collapsed="false">
      <c r="B146" s="4" t="s">
        <v>225</v>
      </c>
      <c r="C146" s="8" t="n">
        <v>120000</v>
      </c>
      <c r="D146" s="4"/>
      <c r="E146" s="5" t="s">
        <v>177</v>
      </c>
    </row>
    <row r="147" customFormat="false" ht="13.8" hidden="false" customHeight="false" outlineLevel="0" collapsed="false">
      <c r="B147" s="4" t="s">
        <v>226</v>
      </c>
      <c r="C147" s="8" t="n">
        <v>1200</v>
      </c>
      <c r="D147" s="4"/>
      <c r="E147" s="5" t="s">
        <v>177</v>
      </c>
    </row>
    <row r="148" customFormat="false" ht="13.8" hidden="false" customHeight="false" outlineLevel="0" collapsed="false">
      <c r="B148" s="4" t="s">
        <v>227</v>
      </c>
      <c r="C148" s="9" t="n">
        <v>0.085</v>
      </c>
      <c r="D148" s="4"/>
      <c r="E148" s="4"/>
    </row>
    <row r="149" customFormat="false" ht="13.8" hidden="false" customHeight="false" outlineLevel="0" collapsed="false">
      <c r="B149" s="4" t="s">
        <v>228</v>
      </c>
      <c r="C149" s="6" t="n">
        <v>15</v>
      </c>
      <c r="D149" s="4"/>
      <c r="E149" s="4"/>
    </row>
    <row r="150" customFormat="false" ht="23.85" hidden="false" customHeight="false" outlineLevel="0" collapsed="false">
      <c r="B150" s="4" t="s">
        <v>229</v>
      </c>
      <c r="C150" s="8" t="n">
        <v>180000</v>
      </c>
      <c r="D150" s="4"/>
      <c r="E150" s="5" t="s">
        <v>230</v>
      </c>
    </row>
    <row r="151" customFormat="false" ht="13.8" hidden="false" customHeight="false" outlineLevel="0" collapsed="false">
      <c r="B151" s="4" t="s">
        <v>231</v>
      </c>
      <c r="C151" s="8" t="n">
        <v>900000</v>
      </c>
      <c r="D151" s="4"/>
      <c r="E151" s="5" t="s">
        <v>232</v>
      </c>
    </row>
    <row r="152" customFormat="false" ht="13.8" hidden="false" customHeight="false" outlineLevel="0" collapsed="false">
      <c r="B152" s="4" t="s">
        <v>233</v>
      </c>
      <c r="C152" s="8" t="n">
        <v>800000</v>
      </c>
      <c r="D152" s="4"/>
      <c r="E152" s="5" t="s">
        <v>177</v>
      </c>
    </row>
    <row r="153" customFormat="false" ht="13.8" hidden="false" customHeight="false" outlineLevel="0" collapsed="false">
      <c r="B153" s="4" t="s">
        <v>234</v>
      </c>
      <c r="C153" s="4"/>
      <c r="D153" s="4"/>
      <c r="E153" s="5" t="s">
        <v>235</v>
      </c>
    </row>
    <row r="154" customFormat="false" ht="13.8" hidden="false" customHeight="false" outlineLevel="0" collapsed="false">
      <c r="B154" s="4" t="s">
        <v>236</v>
      </c>
      <c r="C154" s="8" t="n">
        <v>5400000</v>
      </c>
      <c r="D154" s="4"/>
      <c r="E154" s="5" t="s">
        <v>237</v>
      </c>
    </row>
    <row r="155" customFormat="false" ht="13.8" hidden="false" customHeight="false" outlineLevel="0" collapsed="false">
      <c r="B155" s="4" t="s">
        <v>238</v>
      </c>
      <c r="C155" s="8" t="n">
        <v>3000</v>
      </c>
      <c r="D155" s="4"/>
      <c r="E155" s="5" t="s">
        <v>239</v>
      </c>
    </row>
    <row r="156" customFormat="false" ht="13.8" hidden="false" customHeight="false" outlineLevel="0" collapsed="false">
      <c r="B156" s="4" t="s">
        <v>240</v>
      </c>
      <c r="C156" s="8" t="n">
        <v>3000</v>
      </c>
      <c r="D156" s="4"/>
      <c r="E156" s="5" t="s">
        <v>177</v>
      </c>
    </row>
    <row r="157" customFormat="false" ht="13.8" hidden="false" customHeight="false" outlineLevel="0" collapsed="false">
      <c r="B157" s="4" t="s">
        <v>241</v>
      </c>
      <c r="C157" s="8" t="n">
        <v>6000</v>
      </c>
      <c r="D157" s="4"/>
      <c r="E157" s="5" t="s">
        <v>242</v>
      </c>
    </row>
    <row r="158" customFormat="false" ht="13.8" hidden="false" customHeight="false" outlineLevel="0" collapsed="false">
      <c r="B158" s="4" t="s">
        <v>243</v>
      </c>
      <c r="C158" s="8" t="n">
        <v>15750000</v>
      </c>
      <c r="D158" s="4"/>
      <c r="E158" s="5" t="s">
        <v>244</v>
      </c>
    </row>
    <row r="159" customFormat="false" ht="13.8" hidden="false" customHeight="false" outlineLevel="0" collapsed="false">
      <c r="B159" s="4" t="s">
        <v>245</v>
      </c>
      <c r="C159" s="4"/>
      <c r="D159" s="4"/>
      <c r="E159" s="5" t="s">
        <v>246</v>
      </c>
    </row>
    <row r="160" customFormat="false" ht="13.8" hidden="false" customHeight="false" outlineLevel="0" collapsed="false"/>
    <row r="161" customFormat="false" ht="21.75" hidden="false" customHeight="true" outlineLevel="0" collapsed="false">
      <c r="B161" s="3" t="s">
        <v>247</v>
      </c>
      <c r="C161" s="3"/>
      <c r="D161" s="3"/>
      <c r="E161" s="3"/>
    </row>
    <row r="162" customFormat="false" ht="13.8" hidden="false" customHeight="false" outlineLevel="0" collapsed="false">
      <c r="B162" s="4" t="s">
        <v>248</v>
      </c>
      <c r="C162" s="8" t="n">
        <v>450</v>
      </c>
      <c r="D162" s="4"/>
      <c r="E162" s="4"/>
    </row>
    <row r="163" customFormat="false" ht="13.8" hidden="false" customHeight="false" outlineLevel="0" collapsed="false">
      <c r="B163" s="4" t="s">
        <v>249</v>
      </c>
      <c r="C163" s="9" t="n">
        <v>0.039</v>
      </c>
      <c r="D163" s="4"/>
      <c r="E163" s="4"/>
    </row>
    <row r="164" customFormat="false" ht="13.8" hidden="false" customHeight="false" outlineLevel="0" collapsed="false">
      <c r="B164" s="4" t="s">
        <v>250</v>
      </c>
      <c r="C164" s="9" t="n">
        <v>0.039</v>
      </c>
      <c r="D164" s="4"/>
      <c r="E164" s="4"/>
    </row>
    <row r="165" customFormat="false" ht="13.8" hidden="false" customHeight="false" outlineLevel="0" collapsed="false">
      <c r="B165" s="4" t="s">
        <v>251</v>
      </c>
      <c r="C165" s="9" t="n">
        <v>0.01</v>
      </c>
      <c r="D165" s="4"/>
      <c r="E165" s="4"/>
    </row>
    <row r="166" customFormat="false" ht="13.8" hidden="false" customHeight="false" outlineLevel="0" collapsed="false">
      <c r="B166" s="4" t="s">
        <v>252</v>
      </c>
      <c r="C166" s="9" t="n">
        <v>0.039</v>
      </c>
      <c r="D166" s="4"/>
      <c r="E166" s="4"/>
    </row>
    <row r="167" customFormat="false" ht="13.8" hidden="false" customHeight="false" outlineLevel="0" collapsed="false">
      <c r="B167" s="4" t="s">
        <v>253</v>
      </c>
      <c r="C167" s="9" t="n">
        <v>0.039</v>
      </c>
      <c r="D167" s="4"/>
      <c r="E167" s="4"/>
    </row>
    <row r="168" customFormat="false" ht="13.8" hidden="false" customHeight="false" outlineLevel="0" collapsed="false">
      <c r="B168" s="4" t="s">
        <v>254</v>
      </c>
      <c r="C168" s="6" t="n">
        <v>2026</v>
      </c>
      <c r="D168" s="4"/>
      <c r="E168" s="4"/>
    </row>
    <row r="169" customFormat="false" ht="13.8" hidden="false" customHeight="false" outlineLevel="0" collapsed="false">
      <c r="B169" s="4" t="s">
        <v>255</v>
      </c>
      <c r="C169" s="6" t="n">
        <v>95</v>
      </c>
      <c r="D169" s="4"/>
      <c r="E169" s="4"/>
    </row>
    <row r="170" customFormat="false" ht="13.8" hidden="false" customHeight="false" outlineLevel="0" collapsed="false">
      <c r="B170" s="4" t="s">
        <v>256</v>
      </c>
      <c r="C170" s="9" t="n">
        <v>0.06</v>
      </c>
      <c r="D170" s="4"/>
      <c r="E170" s="4"/>
    </row>
    <row r="171" customFormat="false" ht="13.8" hidden="false" customHeight="false" outlineLevel="0" collapsed="false">
      <c r="B171" s="4" t="s">
        <v>257</v>
      </c>
      <c r="C171" s="9" t="n">
        <v>0.0425</v>
      </c>
      <c r="D171" s="4"/>
      <c r="E171" s="4"/>
    </row>
    <row r="172" customFormat="false" ht="13.8" hidden="false" customHeight="false" outlineLevel="0" collapsed="false">
      <c r="B172" s="4" t="s">
        <v>258</v>
      </c>
      <c r="C172" s="9" t="n">
        <v>0.015</v>
      </c>
      <c r="D172" s="4"/>
      <c r="E172" s="4"/>
    </row>
    <row r="173" customFormat="false" ht="13.8" hidden="false" customHeight="false" outlineLevel="0" collapsed="false">
      <c r="B173" s="4" t="s">
        <v>259</v>
      </c>
      <c r="C173" s="4"/>
      <c r="D173" s="4"/>
      <c r="E173" s="5" t="s">
        <v>260</v>
      </c>
    </row>
    <row r="174" customFormat="false" ht="13.8" hidden="false" customHeight="false" outlineLevel="0" collapsed="false">
      <c r="B174" s="4" t="s">
        <v>261</v>
      </c>
      <c r="C174" s="6" t="n">
        <v>100</v>
      </c>
      <c r="D174" s="4"/>
      <c r="E174" s="4"/>
    </row>
    <row r="175" customFormat="false" ht="13.8" hidden="false" customHeight="false" outlineLevel="0" collapsed="false">
      <c r="B175" s="4" t="s">
        <v>98</v>
      </c>
      <c r="C175" s="8" t="n">
        <v>6</v>
      </c>
      <c r="D175" s="4"/>
      <c r="E175" s="4"/>
    </row>
    <row r="176" customFormat="false" ht="13.8" hidden="false" customHeight="false" outlineLevel="0" collapsed="false">
      <c r="B176" s="4" t="s">
        <v>32</v>
      </c>
      <c r="C176" s="4"/>
      <c r="D176" s="4"/>
      <c r="E176" s="5" t="s">
        <v>262</v>
      </c>
    </row>
    <row r="177" customFormat="false" ht="13.8" hidden="false" customHeight="false" outlineLevel="0" collapsed="false">
      <c r="B177" s="4" t="s">
        <v>263</v>
      </c>
      <c r="C177" s="4"/>
      <c r="D177" s="4"/>
      <c r="E177" s="5" t="s">
        <v>264</v>
      </c>
    </row>
    <row r="178" customFormat="false" ht="13.8" hidden="false" customHeight="false" outlineLevel="0" collapsed="false">
      <c r="B178" s="4" t="s">
        <v>187</v>
      </c>
      <c r="C178" s="4"/>
      <c r="D178" s="4"/>
      <c r="E178" s="5" t="s">
        <v>265</v>
      </c>
    </row>
    <row r="179" customFormat="false" ht="13.8" hidden="false" customHeight="false" outlineLevel="0" collapsed="false">
      <c r="B179" s="4" t="s">
        <v>266</v>
      </c>
      <c r="C179" s="4"/>
      <c r="D179" s="4"/>
      <c r="E179" s="5" t="s">
        <v>267</v>
      </c>
    </row>
    <row r="180" customFormat="false" ht="13.8" hidden="false" customHeight="false" outlineLevel="0" collapsed="false">
      <c r="B180" s="4" t="s">
        <v>268</v>
      </c>
      <c r="C180" s="4"/>
      <c r="D180" s="4"/>
      <c r="E180" s="5" t="s">
        <v>269</v>
      </c>
    </row>
  </sheetData>
  <mergeCells count="15">
    <mergeCell ref="B5:E5"/>
    <mergeCell ref="B22:E22"/>
    <mergeCell ref="B28:E28"/>
    <mergeCell ref="B45:E45"/>
    <mergeCell ref="B52:E52"/>
    <mergeCell ref="B63:E63"/>
    <mergeCell ref="B75:E75"/>
    <mergeCell ref="B84:E84"/>
    <mergeCell ref="B90:E90"/>
    <mergeCell ref="B98:E98"/>
    <mergeCell ref="B111:E111"/>
    <mergeCell ref="B118:E118"/>
    <mergeCell ref="B137:E137"/>
    <mergeCell ref="B141:E141"/>
    <mergeCell ref="B161:E161"/>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O8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0" topLeftCell="F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5"/>
    <col collapsed="false" customWidth="true" hidden="false" outlineLevel="0" max="7" min="7" style="0" width="17"/>
    <col collapsed="false" customWidth="true" hidden="false" outlineLevel="0" max="37" min="8" style="0" width="15"/>
    <col collapsed="false" customWidth="true" hidden="false" outlineLevel="0" max="38" min="38" style="0" width="13"/>
    <col collapsed="false" customWidth="true" hidden="false" outlineLevel="0" max="39" min="39" style="0" width="15"/>
    <col collapsed="false" customWidth="true" hidden="false" outlineLevel="0" max="41" min="40" style="0" width="16"/>
  </cols>
  <sheetData>
    <row r="1" customFormat="false" ht="24" hidden="false" customHeight="true" outlineLevel="0" collapsed="false">
      <c r="B1" s="1" t="s">
        <v>270</v>
      </c>
    </row>
    <row r="2" customFormat="false" ht="13.8" hidden="false" customHeight="false" outlineLevel="0" collapsed="false">
      <c r="B2" s="10" t="s">
        <v>271</v>
      </c>
    </row>
    <row r="3" customFormat="false" ht="13.8" hidden="false" customHeight="false" outlineLevel="0" collapsed="false"/>
    <row r="4" customFormat="false" ht="21.75" hidden="false" customHeight="true" outlineLevel="0" collapsed="false">
      <c r="B4" s="3" t="s">
        <v>272</v>
      </c>
      <c r="C4" s="3"/>
      <c r="D4" s="3"/>
      <c r="E4" s="3"/>
      <c r="F4" s="3"/>
      <c r="G4" s="3"/>
      <c r="I4" s="3" t="s">
        <v>273</v>
      </c>
      <c r="J4" s="3"/>
      <c r="K4" s="3"/>
      <c r="L4" s="3"/>
      <c r="M4" s="3"/>
      <c r="N4" s="3"/>
      <c r="O4" s="3"/>
      <c r="P4" s="3"/>
      <c r="R4" s="3" t="s">
        <v>274</v>
      </c>
      <c r="S4" s="3"/>
      <c r="T4" s="3"/>
      <c r="U4" s="3"/>
      <c r="V4" s="3"/>
      <c r="W4" s="3"/>
      <c r="X4" s="3"/>
      <c r="Z4" s="3" t="s">
        <v>275</v>
      </c>
      <c r="AA4" s="3"/>
      <c r="AB4" s="3"/>
      <c r="AC4" s="3"/>
      <c r="AD4" s="3"/>
      <c r="AE4" s="3"/>
      <c r="AG4" s="3" t="s">
        <v>276</v>
      </c>
      <c r="AH4" s="3"/>
      <c r="AI4" s="3"/>
      <c r="AJ4" s="3"/>
      <c r="AK4" s="3"/>
      <c r="AL4" s="3"/>
      <c r="AM4" s="3"/>
      <c r="AN4" s="3"/>
      <c r="AO4" s="3"/>
    </row>
    <row r="5" customFormat="false" ht="30" hidden="false" customHeight="true" outlineLevel="0" collapsed="false">
      <c r="F5" s="2" t="s">
        <v>277</v>
      </c>
      <c r="G5" s="2" t="s">
        <v>278</v>
      </c>
      <c r="L5" s="2" t="s">
        <v>279</v>
      </c>
      <c r="M5" s="2" t="s">
        <v>280</v>
      </c>
      <c r="N5" s="2" t="s">
        <v>281</v>
      </c>
      <c r="O5" s="2" t="s">
        <v>282</v>
      </c>
      <c r="P5" s="2" t="s">
        <v>283</v>
      </c>
      <c r="U5" s="2" t="s">
        <v>279</v>
      </c>
      <c r="V5" s="2" t="s">
        <v>280</v>
      </c>
      <c r="W5" s="2" t="s">
        <v>281</v>
      </c>
      <c r="X5" s="2" t="s">
        <v>283</v>
      </c>
      <c r="AC5" s="2" t="s">
        <v>279</v>
      </c>
      <c r="AD5" s="2" t="s">
        <v>280</v>
      </c>
      <c r="AE5" s="2" t="s">
        <v>281</v>
      </c>
    </row>
    <row r="6" customFormat="false" ht="19.5" hidden="false" customHeight="true" outlineLevel="0" collapsed="false">
      <c r="B6" s="11" t="s">
        <v>284</v>
      </c>
      <c r="C6" s="11"/>
      <c r="D6" s="11"/>
      <c r="E6" s="11"/>
      <c r="F6" s="11"/>
      <c r="G6" s="11"/>
      <c r="I6" s="11" t="s">
        <v>285</v>
      </c>
      <c r="J6" s="11"/>
      <c r="K6" s="11"/>
      <c r="L6" s="11"/>
      <c r="M6" s="11"/>
      <c r="N6" s="11"/>
      <c r="O6" s="11"/>
      <c r="P6" s="11"/>
      <c r="R6" s="11" t="s">
        <v>286</v>
      </c>
      <c r="S6" s="11"/>
      <c r="T6" s="11"/>
      <c r="U6" s="11"/>
      <c r="V6" s="11"/>
      <c r="W6" s="11"/>
      <c r="X6" s="11"/>
      <c r="Z6" s="11" t="s">
        <v>287</v>
      </c>
      <c r="AA6" s="11"/>
      <c r="AB6" s="11"/>
      <c r="AC6" s="11"/>
      <c r="AD6" s="11"/>
      <c r="AE6" s="11"/>
      <c r="AG6" s="11" t="s">
        <v>288</v>
      </c>
      <c r="AH6" s="11"/>
      <c r="AI6" s="11"/>
      <c r="AJ6" s="11"/>
      <c r="AL6" s="11" t="s">
        <v>289</v>
      </c>
      <c r="AM6" s="11"/>
      <c r="AN6" s="11"/>
      <c r="AO6" s="11"/>
    </row>
    <row r="7" customFormat="false" ht="18" hidden="false" customHeight="true" outlineLevel="0" collapsed="false">
      <c r="B7" s="4" t="s">
        <v>248</v>
      </c>
      <c r="C7" s="4"/>
      <c r="D7" s="4"/>
      <c r="E7" s="4"/>
      <c r="F7" s="12" t="n">
        <v>450</v>
      </c>
      <c r="G7" s="13" t="s">
        <v>290</v>
      </c>
      <c r="I7" s="4" t="s">
        <v>291</v>
      </c>
      <c r="J7" s="4"/>
      <c r="K7" s="4"/>
      <c r="L7" s="8" t="n">
        <f aca="false">Ingresos!$D$6</f>
        <v>2700000</v>
      </c>
      <c r="M7" s="13" t="str">
        <f aca="false">Ingresos!$E$6</f>
        <v>CRC</v>
      </c>
      <c r="N7" s="8" t="n">
        <f aca="false">Ingresos!$G$6</f>
        <v>6000</v>
      </c>
      <c r="O7" s="13" t="n">
        <f aca="false">Ingresos!$H$6</f>
        <v>1</v>
      </c>
      <c r="P7" s="13" t="n">
        <f aca="false">Ingresos!$I$6</f>
        <v>14</v>
      </c>
      <c r="R7" s="4" t="s">
        <v>176</v>
      </c>
      <c r="S7" s="4"/>
      <c r="T7" s="4"/>
      <c r="U7" s="8" t="n">
        <f aca="false">Gastos!$D$6</f>
        <v>5500</v>
      </c>
      <c r="V7" s="13" t="str">
        <f aca="false">Gastos!$E$6</f>
        <v>USD</v>
      </c>
      <c r="W7" s="8" t="n">
        <f aca="false">Gastos!$G$6</f>
        <v>5500</v>
      </c>
      <c r="X7" s="4"/>
      <c r="Z7" s="4" t="s">
        <v>292</v>
      </c>
      <c r="AA7" s="4"/>
      <c r="AB7" s="4"/>
      <c r="AC7" s="8" t="n">
        <f aca="false">Inversiones!$D$6</f>
        <v>250000</v>
      </c>
      <c r="AD7" s="13" t="str">
        <f aca="false">Inversiones!$E$6</f>
        <v>USD</v>
      </c>
      <c r="AE7" s="8" t="n">
        <f aca="false">Inversiones!$G$6</f>
        <v>250000</v>
      </c>
      <c r="AG7" s="4" t="s">
        <v>293</v>
      </c>
      <c r="AH7" s="4"/>
      <c r="AI7" s="4"/>
      <c r="AJ7" s="8" t="n">
        <f aca="false">SUM(M30:M79)</f>
        <v>5643124.40977774</v>
      </c>
      <c r="AL7" s="4" t="s">
        <v>294</v>
      </c>
      <c r="AM7" s="4"/>
      <c r="AN7" s="4"/>
      <c r="AO7" s="8" t="n">
        <f aca="false">AG30</f>
        <v>250000</v>
      </c>
    </row>
    <row r="8" customFormat="false" ht="18" hidden="false" customHeight="true" outlineLevel="0" collapsed="false">
      <c r="B8" s="4" t="s">
        <v>249</v>
      </c>
      <c r="C8" s="4"/>
      <c r="D8" s="4"/>
      <c r="E8" s="4"/>
      <c r="F8" s="14" t="n">
        <v>0.039</v>
      </c>
      <c r="G8" s="13" t="s">
        <v>290</v>
      </c>
      <c r="I8" s="4" t="s">
        <v>295</v>
      </c>
      <c r="J8" s="4"/>
      <c r="K8" s="4"/>
      <c r="L8" s="8" t="n">
        <f aca="false">Ingresos!$D$7</f>
        <v>0</v>
      </c>
      <c r="M8" s="13" t="str">
        <f aca="false">Ingresos!$E$7</f>
        <v>USD</v>
      </c>
      <c r="N8" s="8" t="n">
        <f aca="false">Ingresos!$G$7</f>
        <v>0</v>
      </c>
      <c r="O8" s="13" t="n">
        <f aca="false">Ingresos!$H$7</f>
        <v>1</v>
      </c>
      <c r="P8" s="13" t="n">
        <f aca="false">Ingresos!$I$7</f>
        <v>0</v>
      </c>
      <c r="R8" s="4" t="s">
        <v>296</v>
      </c>
      <c r="S8" s="4"/>
      <c r="T8" s="4"/>
      <c r="U8" s="4"/>
      <c r="V8" s="4"/>
      <c r="W8" s="9" t="n">
        <f aca="false">$F$18</f>
        <v>1</v>
      </c>
      <c r="X8" s="4"/>
      <c r="Z8" s="4" t="s">
        <v>297</v>
      </c>
      <c r="AA8" s="4"/>
      <c r="AB8" s="4"/>
      <c r="AC8" s="4"/>
      <c r="AD8" s="4"/>
      <c r="AE8" s="9" t="n">
        <f aca="false">$F$13</f>
        <v>0.0585725</v>
      </c>
      <c r="AG8" s="4" t="s">
        <v>298</v>
      </c>
      <c r="AH8" s="4"/>
      <c r="AI8" s="4"/>
      <c r="AJ8" s="8" t="n">
        <f aca="false">SUM(P30:P79)</f>
        <v>283622.368463526</v>
      </c>
      <c r="AL8" s="4" t="s">
        <v>299</v>
      </c>
      <c r="AM8" s="4"/>
      <c r="AN8" s="4"/>
      <c r="AO8" s="8" t="n">
        <f aca="false">SUM(AA30:AA79)</f>
        <v>-5563769.26018004</v>
      </c>
    </row>
    <row r="9" customFormat="false" ht="19.5" hidden="false" customHeight="true" outlineLevel="0" collapsed="false">
      <c r="B9" s="4" t="s">
        <v>250</v>
      </c>
      <c r="C9" s="4"/>
      <c r="D9" s="4"/>
      <c r="E9" s="4"/>
      <c r="F9" s="14" t="n">
        <v>0.039</v>
      </c>
      <c r="G9" s="13" t="s">
        <v>290</v>
      </c>
      <c r="I9" s="4" t="s">
        <v>300</v>
      </c>
      <c r="J9" s="4"/>
      <c r="K9" s="4"/>
      <c r="L9" s="8" t="n">
        <f aca="false">Ingresos!$D$8</f>
        <v>500000</v>
      </c>
      <c r="M9" s="13" t="str">
        <f aca="false">Ingresos!$E$8</f>
        <v>CRC</v>
      </c>
      <c r="N9" s="8" t="n">
        <f aca="false">Ingresos!$G$8</f>
        <v>1111.11111111111</v>
      </c>
      <c r="O9" s="13" t="n">
        <f aca="false">Ingresos!$H$8</f>
        <v>5</v>
      </c>
      <c r="P9" s="13" t="n">
        <f aca="false">Ingresos!$I$8</f>
        <v>50</v>
      </c>
      <c r="R9" s="4" t="s">
        <v>301</v>
      </c>
      <c r="S9" s="4"/>
      <c r="T9" s="4"/>
      <c r="U9" s="4"/>
      <c r="V9" s="4"/>
      <c r="W9" s="8" t="n">
        <f aca="false">Gastos!G18</f>
        <v>12000</v>
      </c>
      <c r="X9" s="4"/>
      <c r="Z9" s="11" t="s">
        <v>302</v>
      </c>
      <c r="AA9" s="11"/>
      <c r="AB9" s="11"/>
      <c r="AC9" s="11"/>
      <c r="AD9" s="11"/>
      <c r="AE9" s="11"/>
      <c r="AG9" s="4" t="s">
        <v>303</v>
      </c>
      <c r="AH9" s="4"/>
      <c r="AI9" s="4"/>
      <c r="AJ9" s="8" t="n">
        <f aca="false">-SUM(V30:V79)</f>
        <v>-10458609.9323128</v>
      </c>
      <c r="AL9" s="4" t="s">
        <v>304</v>
      </c>
      <c r="AM9" s="4"/>
      <c r="AN9" s="4"/>
      <c r="AO9" s="8" t="n">
        <f aca="false">SUM(AF30:AF79)</f>
        <v>414011.680773998</v>
      </c>
    </row>
    <row r="10" customFormat="false" ht="18" hidden="false" customHeight="true" outlineLevel="0" collapsed="false">
      <c r="B10" s="4" t="s">
        <v>251</v>
      </c>
      <c r="C10" s="4"/>
      <c r="D10" s="4"/>
      <c r="E10" s="4"/>
      <c r="F10" s="14" t="n">
        <v>0.01</v>
      </c>
      <c r="G10" s="13" t="s">
        <v>290</v>
      </c>
      <c r="I10" s="4" t="s">
        <v>305</v>
      </c>
      <c r="J10" s="4"/>
      <c r="K10" s="4"/>
      <c r="L10" s="8" t="n">
        <f aca="false">Pensiones!$H$6</f>
        <v>800000</v>
      </c>
      <c r="M10" s="13" t="str">
        <f aca="false">Pensiones!$I$6</f>
        <v>CRC</v>
      </c>
      <c r="N10" s="8" t="n">
        <f aca="false">Pensiones!$K$6</f>
        <v>1777.77777777778</v>
      </c>
      <c r="O10" s="13" t="n">
        <f aca="false">Pensiones!$L$6</f>
        <v>20</v>
      </c>
      <c r="P10" s="4"/>
      <c r="R10" s="4" t="s">
        <v>306</v>
      </c>
      <c r="S10" s="4"/>
      <c r="T10" s="4"/>
      <c r="U10" s="8" t="n">
        <f aca="false">Gastos!$D$7</f>
        <v>3000</v>
      </c>
      <c r="V10" s="13" t="str">
        <f aca="false">Gastos!$E$7</f>
        <v>USD</v>
      </c>
      <c r="W10" s="8" t="n">
        <f aca="false">Gastos!$G$7</f>
        <v>3000</v>
      </c>
      <c r="X10" s="4"/>
      <c r="Z10" s="4" t="s">
        <v>307</v>
      </c>
      <c r="AA10" s="4"/>
      <c r="AB10" s="4"/>
      <c r="AC10" s="4"/>
      <c r="AD10" s="4"/>
      <c r="AE10" s="8" t="n">
        <f aca="false">Desinversiones!G11</f>
        <v>180000</v>
      </c>
      <c r="AG10" s="4" t="s">
        <v>308</v>
      </c>
      <c r="AH10" s="4"/>
      <c r="AI10" s="4"/>
      <c r="AJ10" s="8" t="n">
        <f aca="false">-SUM(Y30:Y79)</f>
        <v>-1031906.10610854</v>
      </c>
      <c r="AL10" s="4" t="s">
        <v>309</v>
      </c>
      <c r="AM10" s="4"/>
      <c r="AN10" s="4"/>
      <c r="AO10" s="8" t="n">
        <f aca="false">SUM(AH30:AH79)</f>
        <v>1310830.70579279</v>
      </c>
    </row>
    <row r="11" customFormat="false" ht="18" hidden="false" customHeight="true" outlineLevel="0" collapsed="false">
      <c r="B11" s="4" t="s">
        <v>310</v>
      </c>
      <c r="C11" s="4"/>
      <c r="D11" s="4"/>
      <c r="E11" s="4"/>
      <c r="F11" s="14" t="n">
        <v>0.039</v>
      </c>
      <c r="G11" s="13" t="s">
        <v>290</v>
      </c>
      <c r="I11" s="4" t="s">
        <v>311</v>
      </c>
      <c r="J11" s="4"/>
      <c r="K11" s="4"/>
      <c r="L11" s="4"/>
      <c r="M11" s="4"/>
      <c r="N11" s="8" t="n">
        <f aca="false">Ingresos!G18</f>
        <v>1100</v>
      </c>
      <c r="O11" s="4"/>
      <c r="P11" s="4"/>
      <c r="R11" s="4" t="s">
        <v>226</v>
      </c>
      <c r="S11" s="4"/>
      <c r="T11" s="4"/>
      <c r="U11" s="8" t="n">
        <f aca="false">Gastos!$D$8</f>
        <v>1200</v>
      </c>
      <c r="V11" s="13" t="str">
        <f aca="false">Gastos!$E$8</f>
        <v>USD</v>
      </c>
      <c r="W11" s="8" t="n">
        <f aca="false">Gastos!$G$8</f>
        <v>1200</v>
      </c>
      <c r="X11" s="13" t="n">
        <f aca="false">Gastos!$I$8</f>
        <v>15</v>
      </c>
      <c r="Z11" s="4" t="s">
        <v>312</v>
      </c>
      <c r="AA11" s="4"/>
      <c r="AB11" s="4"/>
      <c r="AC11" s="4"/>
      <c r="AD11" s="4"/>
      <c r="AE11" s="8" t="n">
        <f aca="false">Desinversiones!G12</f>
        <v>0</v>
      </c>
      <c r="AG11" s="15" t="s">
        <v>313</v>
      </c>
      <c r="AH11" s="15"/>
      <c r="AI11" s="15"/>
      <c r="AJ11" s="15" t="n">
        <f aca="false">SUM(AA30:AA79)</f>
        <v>-5563769.26018004</v>
      </c>
      <c r="AL11" s="4" t="s">
        <v>314</v>
      </c>
      <c r="AM11" s="4"/>
      <c r="AN11" s="4"/>
      <c r="AO11" s="8" t="n">
        <f aca="false">SUM(AM30:AM79)</f>
        <v>3588926.87361325</v>
      </c>
    </row>
    <row r="12" customFormat="false" ht="19.5" hidden="false" customHeight="true" outlineLevel="0" collapsed="false">
      <c r="B12" s="4" t="s">
        <v>253</v>
      </c>
      <c r="C12" s="4"/>
      <c r="D12" s="4"/>
      <c r="E12" s="4"/>
      <c r="F12" s="14" t="n">
        <v>0.039</v>
      </c>
      <c r="G12" s="13" t="s">
        <v>290</v>
      </c>
      <c r="I12" s="4" t="s">
        <v>315</v>
      </c>
      <c r="J12" s="4"/>
      <c r="K12" s="4"/>
      <c r="L12" s="4" t="s">
        <v>316</v>
      </c>
      <c r="M12" s="4"/>
      <c r="N12" s="4"/>
      <c r="O12" s="4"/>
      <c r="P12" s="4"/>
      <c r="R12" s="4" t="s">
        <v>317</v>
      </c>
      <c r="S12" s="4"/>
      <c r="T12" s="4"/>
      <c r="U12" s="4"/>
      <c r="V12" s="4"/>
      <c r="W12" s="8" t="n">
        <f aca="false">IF(Gastos!$G$28="Sí",0,Gastos!G27)</f>
        <v>500</v>
      </c>
      <c r="X12" s="4"/>
      <c r="Z12" s="4" t="s">
        <v>318</v>
      </c>
      <c r="AA12" s="4"/>
      <c r="AB12" s="4"/>
      <c r="AC12" s="4"/>
      <c r="AD12" s="4"/>
      <c r="AE12" s="8" t="n">
        <f aca="false">Desinversiones!G13</f>
        <v>150000</v>
      </c>
      <c r="AG12" s="11" t="s">
        <v>319</v>
      </c>
      <c r="AH12" s="11"/>
      <c r="AI12" s="11"/>
      <c r="AJ12" s="11"/>
      <c r="AL12" s="15" t="s">
        <v>320</v>
      </c>
      <c r="AM12" s="15"/>
      <c r="AN12" s="15"/>
      <c r="AO12" s="15" t="n">
        <f aca="false">AO7+AO8+AO9+AO10+AO11</f>
        <v>0</v>
      </c>
    </row>
    <row r="13" customFormat="false" ht="19.5" hidden="false" customHeight="true" outlineLevel="0" collapsed="false">
      <c r="B13" s="4" t="s">
        <v>321</v>
      </c>
      <c r="C13" s="4"/>
      <c r="D13" s="4"/>
      <c r="E13" s="4"/>
      <c r="F13" s="14" t="n">
        <v>0.0585725</v>
      </c>
      <c r="G13" s="13" t="s">
        <v>39</v>
      </c>
      <c r="I13" s="4" t="s">
        <v>322</v>
      </c>
      <c r="J13" s="4"/>
      <c r="K13" s="4"/>
      <c r="L13" s="4" t="s">
        <v>316</v>
      </c>
      <c r="M13" s="4"/>
      <c r="N13" s="4"/>
      <c r="O13" s="4"/>
      <c r="P13" s="4"/>
      <c r="R13" s="11" t="s">
        <v>323</v>
      </c>
      <c r="S13" s="11"/>
      <c r="T13" s="11"/>
      <c r="U13" s="11"/>
      <c r="V13" s="11"/>
      <c r="W13" s="11"/>
      <c r="X13" s="11"/>
      <c r="AG13" s="4" t="s">
        <v>324</v>
      </c>
      <c r="AH13" s="4"/>
      <c r="AI13" s="4"/>
      <c r="AJ13" s="8" t="n">
        <v>0</v>
      </c>
      <c r="AL13" s="15" t="s">
        <v>325</v>
      </c>
      <c r="AM13" s="15"/>
      <c r="AN13" s="15"/>
      <c r="AO13" s="15" t="n">
        <f aca="false">AK79</f>
        <v>0</v>
      </c>
    </row>
    <row r="14" customFormat="false" ht="19.5" hidden="false" customHeight="true" outlineLevel="0" collapsed="false">
      <c r="B14" s="4" t="s">
        <v>256</v>
      </c>
      <c r="C14" s="4"/>
      <c r="D14" s="4"/>
      <c r="E14" s="4"/>
      <c r="F14" s="14" t="n">
        <v>0.06</v>
      </c>
      <c r="G14" s="13" t="s">
        <v>290</v>
      </c>
      <c r="I14" s="11" t="s">
        <v>326</v>
      </c>
      <c r="J14" s="11"/>
      <c r="K14" s="11"/>
      <c r="L14" s="11"/>
      <c r="M14" s="11"/>
      <c r="N14" s="11"/>
      <c r="O14" s="11"/>
      <c r="P14" s="11"/>
      <c r="R14" s="4" t="s">
        <v>308</v>
      </c>
      <c r="S14" s="4"/>
      <c r="T14" s="4"/>
      <c r="U14" s="4"/>
      <c r="V14" s="4"/>
      <c r="W14" s="8" t="n">
        <f aca="false">Gastos!G38</f>
        <v>41000</v>
      </c>
      <c r="X14" s="4"/>
      <c r="AG14" s="4" t="s">
        <v>120</v>
      </c>
      <c r="AH14" s="4"/>
      <c r="AI14" s="4"/>
      <c r="AJ14" s="13" t="n">
        <f aca="false">IF(AO14&gt;0,SUMPRODUCT(MIN((AM30:AM79&gt;0)*C30:C79+(AM30:AM79&lt;=0)*1000)),"No se agota")</f>
        <v>79</v>
      </c>
      <c r="AL14" s="4" t="s">
        <v>327</v>
      </c>
      <c r="AM14" s="4"/>
      <c r="AN14" s="4"/>
      <c r="AO14" s="8" t="n">
        <f aca="false">SUMPRODUCT(AM30:AM79/(1+$F$9)^D30:D79)</f>
        <v>689048.232565483</v>
      </c>
    </row>
    <row r="15" customFormat="false" ht="18" hidden="false" customHeight="true" outlineLevel="0" collapsed="false">
      <c r="B15" s="4" t="s">
        <v>328</v>
      </c>
      <c r="C15" s="4"/>
      <c r="D15" s="4"/>
      <c r="E15" s="4"/>
      <c r="F15" s="14" t="n">
        <v>0.0425</v>
      </c>
      <c r="G15" s="13" t="s">
        <v>290</v>
      </c>
      <c r="I15" s="4" t="s">
        <v>298</v>
      </c>
      <c r="J15" s="4"/>
      <c r="K15" s="4"/>
      <c r="L15" s="4"/>
      <c r="M15" s="4"/>
      <c r="N15" s="8" t="n">
        <f aca="false">Ingresos!G27</f>
        <v>160000</v>
      </c>
      <c r="O15" s="4"/>
      <c r="P15" s="4"/>
      <c r="R15" s="4" t="s">
        <v>329</v>
      </c>
      <c r="S15" s="4"/>
      <c r="T15" s="4"/>
      <c r="U15" s="4"/>
      <c r="V15" s="4"/>
      <c r="W15" s="8" t="n">
        <f aca="false">'Retiros del portafolio'!G19</f>
        <v>50000</v>
      </c>
      <c r="X15" s="4"/>
      <c r="AG15" s="15" t="s">
        <v>121</v>
      </c>
      <c r="AH15" s="15"/>
      <c r="AI15" s="15"/>
      <c r="AJ15" s="15" t="str">
        <f aca="false">IF(AND(AO14&lt;=0,AO13&gt;=AJ13),"Sí alcanza","No alcanza")</f>
        <v>No alcanza</v>
      </c>
      <c r="AL15" s="4" t="s">
        <v>330</v>
      </c>
      <c r="AM15" s="4"/>
      <c r="AN15" s="4"/>
      <c r="AO15" s="8" t="n">
        <f aca="false">Pensiones!H68</f>
        <v>52881.5843219297</v>
      </c>
    </row>
    <row r="16" customFormat="false" ht="18" hidden="false" customHeight="true" outlineLevel="0" collapsed="false">
      <c r="B16" s="4" t="s">
        <v>331</v>
      </c>
      <c r="C16" s="4"/>
      <c r="D16" s="4"/>
      <c r="E16" s="4"/>
      <c r="F16" s="14" t="n">
        <v>0.015</v>
      </c>
      <c r="G16" s="13" t="s">
        <v>290</v>
      </c>
      <c r="I16" s="4" t="s">
        <v>332</v>
      </c>
      <c r="J16" s="4"/>
      <c r="K16" s="4"/>
      <c r="L16" s="4" t="s">
        <v>316</v>
      </c>
      <c r="M16" s="4"/>
      <c r="N16" s="4"/>
      <c r="O16" s="4"/>
      <c r="P16" s="4"/>
      <c r="R16" s="4" t="s">
        <v>333</v>
      </c>
      <c r="S16" s="4"/>
      <c r="T16" s="4"/>
      <c r="U16" s="4"/>
      <c r="V16" s="4"/>
      <c r="W16" s="8" t="n">
        <f aca="false">'Retiros del portafolio'!G10</f>
        <v>40000</v>
      </c>
      <c r="X16" s="4"/>
    </row>
    <row r="17" customFormat="false" ht="19.5" hidden="false" customHeight="true" outlineLevel="0" collapsed="false">
      <c r="B17" s="11" t="s">
        <v>334</v>
      </c>
      <c r="C17" s="11"/>
      <c r="D17" s="11"/>
      <c r="E17" s="11"/>
      <c r="F17" s="11"/>
      <c r="G17" s="11"/>
    </row>
    <row r="18" customFormat="false" ht="18" hidden="false" customHeight="true" outlineLevel="0" collapsed="false">
      <c r="B18" s="4" t="s">
        <v>183</v>
      </c>
      <c r="C18" s="4"/>
      <c r="D18" s="4"/>
      <c r="E18" s="4"/>
      <c r="F18" s="14" t="n">
        <v>1</v>
      </c>
      <c r="G18" s="13" t="s">
        <v>335</v>
      </c>
    </row>
    <row r="19" customFormat="false" ht="18" hidden="false" customHeight="true" outlineLevel="0" collapsed="false">
      <c r="B19" s="4" t="s">
        <v>336</v>
      </c>
      <c r="C19" s="4"/>
      <c r="D19" s="4"/>
      <c r="E19" s="4"/>
      <c r="F19" s="16" t="n">
        <v>14</v>
      </c>
      <c r="G19" s="13" t="s">
        <v>335</v>
      </c>
    </row>
    <row r="20" customFormat="false" ht="18" hidden="false" customHeight="true" outlineLevel="0" collapsed="false">
      <c r="B20" s="4" t="s">
        <v>187</v>
      </c>
      <c r="C20" s="4"/>
      <c r="D20" s="4"/>
      <c r="E20" s="4"/>
      <c r="F20" s="16" t="n">
        <v>65</v>
      </c>
      <c r="G20" s="13" t="s">
        <v>335</v>
      </c>
    </row>
    <row r="21" customFormat="false" ht="18" hidden="false" customHeight="true" outlineLevel="0" collapsed="false">
      <c r="B21" s="4" t="s">
        <v>337</v>
      </c>
      <c r="C21" s="4"/>
      <c r="D21" s="4"/>
      <c r="E21" s="4"/>
      <c r="F21" s="16" t="n">
        <v>5</v>
      </c>
      <c r="G21" s="13" t="s">
        <v>335</v>
      </c>
    </row>
    <row r="22" customFormat="false" ht="18" hidden="false" customHeight="true" outlineLevel="0" collapsed="false">
      <c r="B22" s="4" t="s">
        <v>338</v>
      </c>
      <c r="C22" s="4"/>
      <c r="D22" s="4"/>
      <c r="E22" s="4"/>
      <c r="F22" s="14" t="n">
        <v>0.3</v>
      </c>
      <c r="G22" s="13" t="s">
        <v>335</v>
      </c>
    </row>
    <row r="23" customFormat="false" ht="18" hidden="false" customHeight="true" outlineLevel="0" collapsed="false">
      <c r="B23" s="4" t="s">
        <v>339</v>
      </c>
      <c r="C23" s="4"/>
      <c r="D23" s="4"/>
      <c r="E23" s="4"/>
      <c r="F23" s="9" t="n">
        <f aca="false">1-$F$22</f>
        <v>0.7</v>
      </c>
      <c r="G23" s="13" t="s">
        <v>340</v>
      </c>
    </row>
    <row r="24" customFormat="false" ht="18" hidden="false" customHeight="true" outlineLevel="0" collapsed="false">
      <c r="B24" s="4" t="s">
        <v>341</v>
      </c>
      <c r="C24" s="4"/>
      <c r="D24" s="4"/>
      <c r="E24" s="4"/>
      <c r="F24" s="16" t="n">
        <v>3</v>
      </c>
      <c r="G24" s="13" t="s">
        <v>342</v>
      </c>
    </row>
    <row r="25" customFormat="false" ht="13.8" hidden="false" customHeight="false" outlineLevel="0" collapsed="false"/>
    <row r="26" customFormat="false" ht="13.8" hidden="false" customHeight="false" outlineLevel="0" collapsed="false"/>
    <row r="27" customFormat="false" ht="21.75" hidden="false" customHeight="true" outlineLevel="0" collapsed="false">
      <c r="B27" s="3" t="s">
        <v>343</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row>
    <row r="28" customFormat="false" ht="30" hidden="false" customHeight="true" outlineLevel="0" collapsed="false">
      <c r="B28" s="17" t="s">
        <v>344</v>
      </c>
      <c r="C28" s="17"/>
      <c r="D28" s="17"/>
      <c r="E28" s="17"/>
      <c r="F28" s="17" t="s">
        <v>293</v>
      </c>
      <c r="G28" s="17"/>
      <c r="H28" s="17"/>
      <c r="I28" s="17"/>
      <c r="J28" s="17"/>
      <c r="K28" s="17"/>
      <c r="L28" s="17"/>
      <c r="M28" s="17"/>
      <c r="N28" s="17" t="s">
        <v>298</v>
      </c>
      <c r="O28" s="17"/>
      <c r="P28" s="17"/>
      <c r="Q28" s="17" t="s">
        <v>345</v>
      </c>
      <c r="R28" s="17" t="s">
        <v>303</v>
      </c>
      <c r="S28" s="17"/>
      <c r="T28" s="17"/>
      <c r="U28" s="17"/>
      <c r="V28" s="17"/>
      <c r="W28" s="17" t="s">
        <v>308</v>
      </c>
      <c r="X28" s="17"/>
      <c r="Y28" s="17"/>
      <c r="Z28" s="17" t="s">
        <v>346</v>
      </c>
      <c r="AA28" s="17" t="s">
        <v>313</v>
      </c>
      <c r="AB28" s="17" t="s">
        <v>347</v>
      </c>
      <c r="AC28" s="17"/>
      <c r="AD28" s="17"/>
      <c r="AE28" s="17"/>
      <c r="AF28" s="17" t="s">
        <v>348</v>
      </c>
      <c r="AG28" s="17" t="s">
        <v>349</v>
      </c>
      <c r="AH28" s="17"/>
      <c r="AI28" s="17"/>
      <c r="AJ28" s="17"/>
      <c r="AK28" s="17"/>
      <c r="AL28" s="17"/>
      <c r="AM28" s="17"/>
    </row>
    <row r="29" customFormat="false" ht="43.5" hidden="false" customHeight="true" outlineLevel="0" collapsed="false">
      <c r="B29" s="2" t="s">
        <v>350</v>
      </c>
      <c r="C29" s="2" t="s">
        <v>351</v>
      </c>
      <c r="D29" s="2" t="s">
        <v>344</v>
      </c>
      <c r="E29" s="2" t="s">
        <v>352</v>
      </c>
      <c r="F29" s="2" t="s">
        <v>353</v>
      </c>
      <c r="G29" s="2" t="s">
        <v>354</v>
      </c>
      <c r="H29" s="2" t="s">
        <v>355</v>
      </c>
      <c r="I29" s="2" t="s">
        <v>356</v>
      </c>
      <c r="J29" s="2" t="s">
        <v>357</v>
      </c>
      <c r="K29" s="2" t="s">
        <v>315</v>
      </c>
      <c r="L29" s="2" t="s">
        <v>322</v>
      </c>
      <c r="M29" s="2" t="s">
        <v>358</v>
      </c>
      <c r="N29" s="2" t="s">
        <v>298</v>
      </c>
      <c r="O29" s="2" t="s">
        <v>332</v>
      </c>
      <c r="P29" s="2" t="s">
        <v>359</v>
      </c>
      <c r="Q29" s="2" t="s">
        <v>360</v>
      </c>
      <c r="R29" s="2" t="s">
        <v>361</v>
      </c>
      <c r="S29" s="2" t="s">
        <v>362</v>
      </c>
      <c r="T29" s="2" t="s">
        <v>363</v>
      </c>
      <c r="U29" s="2" t="s">
        <v>364</v>
      </c>
      <c r="V29" s="2" t="s">
        <v>365</v>
      </c>
      <c r="W29" s="2" t="s">
        <v>308</v>
      </c>
      <c r="X29" s="2" t="s">
        <v>366</v>
      </c>
      <c r="Y29" s="2" t="s">
        <v>367</v>
      </c>
      <c r="Z29" s="2" t="s">
        <v>368</v>
      </c>
      <c r="AA29" s="2" t="s">
        <v>299</v>
      </c>
      <c r="AB29" s="2" t="s">
        <v>307</v>
      </c>
      <c r="AC29" s="2" t="s">
        <v>312</v>
      </c>
      <c r="AD29" s="2" t="s">
        <v>318</v>
      </c>
      <c r="AE29" s="2" t="s">
        <v>369</v>
      </c>
      <c r="AF29" s="2" t="s">
        <v>304</v>
      </c>
      <c r="AG29" s="2" t="s">
        <v>370</v>
      </c>
      <c r="AH29" s="2" t="s">
        <v>371</v>
      </c>
      <c r="AI29" s="2" t="s">
        <v>313</v>
      </c>
      <c r="AJ29" s="2" t="s">
        <v>115</v>
      </c>
      <c r="AK29" s="2" t="s">
        <v>372</v>
      </c>
      <c r="AL29" s="2" t="s">
        <v>373</v>
      </c>
      <c r="AM29" s="2" t="s">
        <v>374</v>
      </c>
    </row>
    <row r="30" customFormat="false" ht="13.8" hidden="false" customHeight="false" outlineLevel="0" collapsed="false">
      <c r="B30" s="16" t="n">
        <v>2026</v>
      </c>
      <c r="C30" s="16" t="n">
        <v>46</v>
      </c>
      <c r="D30" s="13" t="n">
        <v>1</v>
      </c>
      <c r="E30" s="4" t="str">
        <f aca="false">IF(D30&lt;=$F$19,"Acumulación","Retiro")</f>
        <v>Acumulación</v>
      </c>
      <c r="F30" s="8" t="n">
        <f aca="false">IF(D30&lt;=$P$7,$N$7*12*(1+IF($M$7="CRC",N($F$8),$F$9))^(D30-1),0)*$F$24/12</f>
        <v>18000</v>
      </c>
      <c r="G30" s="8" t="n">
        <f aca="false">IF(D30&lt;=$P$8,$N$8*12*(1+IF($M$8="CRC",N($F$8),$F$9))^(D30-1),0)*$F$24/12</f>
        <v>0</v>
      </c>
      <c r="H30" s="8" t="n">
        <f aca="false">IF(AND($N$9&gt;0,D30&gt;=$O$9,D30&lt;=$P$9),$N$9*12*(1+IF($M$9="CRC",N($F$8),$F$9))^(D30-1),0)*$F$24/12</f>
        <v>0</v>
      </c>
      <c r="I30" s="8" t="n">
        <f aca="false">SUMPRODUCT((Ingresos!$H$14:$H$17&gt;=B30)*Ingresos!$G$14:$G$17*(1+(Ingresos!$E$14:$E$17="CRC")*N($F$8)+(Ingresos!$E$14:$E$17&lt;&gt;"CRC")*$F$9)^(D30-1))*12*$F$24/12</f>
        <v>3300</v>
      </c>
      <c r="J30" s="8" t="n">
        <f aca="false">IF(AND($N$10&gt;0,D30&gt;=N($O$10)),$N$10*12*(1+IF($M$10="CRC",N($F$8),$F$9))^(N($O$10)-1)*(1+N($F$10))^(D30-N($O$10))*MIN(IF(D30=N($O$10),IF(AND(ISNUMBER($F$21),N($F$20)&gt;=$C$30),(12-$F$21)/12,1),1),$F$24/12),0)</f>
        <v>0</v>
      </c>
      <c r="K30" s="8" t="n">
        <f aca="false">Pensiones!T19</f>
        <v>0</v>
      </c>
      <c r="L30" s="8" t="n">
        <f aca="false">Pensiones!U19</f>
        <v>0</v>
      </c>
      <c r="M30" s="15" t="n">
        <f aca="false">SUM(F30:L30)</f>
        <v>21300</v>
      </c>
      <c r="N30" s="8" t="n">
        <f aca="false">SUMPRODUCT((Ingresos!$H$22:$H$26=B30)*Ingresos!$G$22:$G$26*(1+(Ingresos!$E$22:$E$26="CRC")*N($F$8)+(Ingresos!$E$22:$E$26&lt;&gt;"CRC")*$F$9)^(D30-1))</f>
        <v>0</v>
      </c>
      <c r="O30" s="8" t="n">
        <f aca="false">Pensiones!S19</f>
        <v>0</v>
      </c>
      <c r="P30" s="15" t="n">
        <f aca="false">SUM(N30:O30)</f>
        <v>0</v>
      </c>
      <c r="Q30" s="15" t="n">
        <f aca="false">M30+P30</f>
        <v>21300</v>
      </c>
      <c r="R30" s="8" t="n">
        <f aca="false">$W$7*12*(N($F$22)*(1+$F$9)^(D30-1)+(1-N($F$22))*(1+N($F$8))^(D30-1))*IF(D30&gt;$F$19,$F$18,1)*$F$24/12</f>
        <v>16500</v>
      </c>
      <c r="S30" s="8" t="n">
        <f aca="false">SUMPRODUCT((Gastos!$H$14:$H$17&lt;=B30)*(Gastos!$H$14:$H$17+Gastos!$I$14:$I$17&gt;B30)*Gastos!$G$14:$G$17*(1+(Gastos!$E$14:$E$17="CRC")*N($F$8)+(Gastos!$E$14:$E$17&lt;&gt;"CRC")*$F$9)^(D30-1))*$F$24/12</f>
        <v>0</v>
      </c>
      <c r="T30" s="8" t="n">
        <f aca="false">$W$10*(1+IF($V$10="CRC",N($F$8),$F$9))^(D30-1)*$F$24/12</f>
        <v>750</v>
      </c>
      <c r="U30" s="8" t="n">
        <f aca="false">(IF(D30&lt;=$X$11,$W$11*12,0)+IF(Gastos!$G$28="Sí",0,SUMPRODUCT((Gastos!$H$22:$H$26&gt;=B30)*Gastos!$G$22:$G$26)*12)+SUMPRODUCT((Gastos!$H$43:$H$45&lt;=B30)*(Gastos!$H$43:$H$45+Gastos!$I$43:$I$45-1&gt;=B30)*Gastos!$K$43:$K$45))*$F$24/12</f>
        <v>5100</v>
      </c>
      <c r="V30" s="15" t="n">
        <f aca="false">SUM(R30:U30)</f>
        <v>22350</v>
      </c>
      <c r="W30" s="8" t="n">
        <f aca="false">SUMPRODUCT((Gastos!$I$33:$I$37=1)*(Gastos!$H$33:$H$37=B30)*Gastos!$G$33:$G$37*(1+(Gastos!$E$33:$E$37="CRC")*N($F$8)+(Gastos!$E$33:$E$37&lt;&gt;"CRC")*$F$9)^(D30-1))+SUMPRODUCT((Gastos!$I$33:$I$37=2)*(Gastos!$H$33:$H$37&lt;=B30)*Gastos!$G$33:$G$37*(1+(Gastos!$E$33:$E$37="CRC")*N($F$8)+(Gastos!$E$33:$E$37&lt;&gt;"CRC")*$F$9)^(D30-1))*$F$24/12+SUMPRODUCT(('Retiros del portafolio'!$H$15:$H$18=B30)*'Retiros del portafolio'!$G$15:$G$18*(1+('Retiros del portafolio'!$E$15:$E$18="CRC")*N($F$8)+('Retiros del portafolio'!$E$15:$E$18&lt;&gt;"CRC")*$F$9)^(D30-1))</f>
        <v>0</v>
      </c>
      <c r="X30" s="8" t="n">
        <f aca="false">SUMPRODUCT(('Retiros del portafolio'!$H$6:$H$9=B30)*'Retiros del portafolio'!$G$6:$G$9*(1+('Retiros del portafolio'!$E$6:$E$9="CRC")*N($F$8)+('Retiros del portafolio'!$E$6:$E$9&lt;&gt;"CRC")*$F$9)^(D30-1))</f>
        <v>0</v>
      </c>
      <c r="Y30" s="15" t="n">
        <f aca="false">W30+X30</f>
        <v>0</v>
      </c>
      <c r="Z30" s="15" t="n">
        <f aca="false">V30+Y30</f>
        <v>22350</v>
      </c>
      <c r="AA30" s="15" t="n">
        <f aca="false">Q30-Z30</f>
        <v>-1050</v>
      </c>
      <c r="AB30" s="8" t="n">
        <f aca="false">SUMPRODUCT((Desinversiones!$H$6:$H$10=B30)*(Desinversiones!$I$6:$I$10=1)*Desinversiones!$G$6:$G$10*(1+(Desinversiones!$E$6:$E$10="CRC")*N($F$8)+(Desinversiones!$E$6:$E$10&lt;&gt;"CRC")*$F$9)^(D30-1))</f>
        <v>0</v>
      </c>
      <c r="AC30" s="8" t="n">
        <f aca="false">SUMPRODUCT((Desinversiones!$H$6:$H$10=B30)*(Desinversiones!$I$6:$I$10=2)*Desinversiones!$G$6:$G$10*(1+(Desinversiones!$E$6:$E$10="CRC")*N($F$8)+(Desinversiones!$E$6:$E$10&lt;&gt;"CRC")*$F$9)^(D30-1))</f>
        <v>0</v>
      </c>
      <c r="AD30" s="8" t="n">
        <f aca="false">SUMPRODUCT((Desinversiones!$H$6:$H$10=B30)*(Desinversiones!$I$6:$I$10=3)*Desinversiones!$G$6:$G$10*(1+(Desinversiones!$E$6:$E$10="CRC")*N($F$8)+(Desinversiones!$E$6:$E$10&lt;&gt;"CRC")*$F$9)^(D30-1))</f>
        <v>0</v>
      </c>
      <c r="AE30" s="15" t="n">
        <f aca="false">SUM(AB30:AD30)</f>
        <v>0</v>
      </c>
      <c r="AF30" s="15" t="n">
        <f aca="false">AE30</f>
        <v>0</v>
      </c>
      <c r="AG30" s="8" t="n">
        <f aca="false">$AE$7</f>
        <v>250000</v>
      </c>
      <c r="AH30" s="8" t="n">
        <f aca="false">AG30*$F$13*$F$24/12</f>
        <v>3660.78125</v>
      </c>
      <c r="AI30" s="15" t="n">
        <f aca="false">AA30+AF30</f>
        <v>-1050</v>
      </c>
      <c r="AJ30" s="15" t="n">
        <f aca="false">AG30+AH30+AI30+AM30</f>
        <v>252610.78125</v>
      </c>
      <c r="AK30" s="8" t="n">
        <f aca="false">AJ30/(1+$F$9)^(D30-1+$F$24/12)</f>
        <v>250206.158513576</v>
      </c>
      <c r="AL30" s="9" t="n">
        <f aca="false">IF(AG30&lt;=0,0,MAX(0,-AI30)/AG30)</f>
        <v>0.0042</v>
      </c>
      <c r="AM30" s="8" t="n">
        <f aca="false">MAX(0,-(AG30+AH30+AI30))</f>
        <v>0</v>
      </c>
    </row>
    <row r="31" customFormat="false" ht="13.8" hidden="false" customHeight="false" outlineLevel="0" collapsed="false">
      <c r="B31" s="13" t="n">
        <f aca="false">B30+1</f>
        <v>2027</v>
      </c>
      <c r="C31" s="13" t="n">
        <f aca="false">C30+1</f>
        <v>47</v>
      </c>
      <c r="D31" s="13" t="n">
        <f aca="false">D30+1</f>
        <v>2</v>
      </c>
      <c r="E31" s="4" t="str">
        <f aca="false">IF(D31&lt;=$F$19,"Acumulación","Retiro")</f>
        <v>Acumulación</v>
      </c>
      <c r="F31" s="8" t="n">
        <f aca="false">IF(D31&lt;=$P$7,$N$7*12*(1+IF($M$7="CRC",N($F$8),$F$9))^(D31-1),0)</f>
        <v>74808</v>
      </c>
      <c r="G31" s="8" t="n">
        <f aca="false">IF(D31&lt;=$P$8,$N$8*12*(1+IF($M$8="CRC",N($F$8),$F$9))^(D31-1),0)</f>
        <v>0</v>
      </c>
      <c r="H31" s="8" t="n">
        <f aca="false">IF(AND($N$9&gt;0,D31&gt;=$O$9,D31&lt;=$P$9),$N$9*12*(1+IF($M$9="CRC",N($F$8),$F$9))^(D31-1),0)</f>
        <v>0</v>
      </c>
      <c r="I31" s="8" t="n">
        <f aca="false">SUMPRODUCT((Ingresos!$H$14:$H$17&gt;=B31)*Ingresos!$G$14:$G$17*(1+(Ingresos!$E$14:$E$17="CRC")*N($F$8)+(Ingresos!$E$14:$E$17&lt;&gt;"CRC")*$F$9)^(D31-1))*12</f>
        <v>13714.8</v>
      </c>
      <c r="J31" s="8" t="n">
        <f aca="false">IF(AND($N$10&gt;0,D31&gt;=N($O$10)),$N$10*12*(1+IF($M$10="CRC",N($F$8),$F$9))^(N($O$10)-1)*(1+N($F$10))^(D31-N($O$10))*IF(D31=N($O$10),IF(AND(ISNUMBER($F$21),N($F$20)&gt;=$C$30),(12-$F$21)/12,1),1),0)</f>
        <v>0</v>
      </c>
      <c r="K31" s="8" t="n">
        <f aca="false">Pensiones!T20</f>
        <v>0</v>
      </c>
      <c r="L31" s="8" t="n">
        <f aca="false">Pensiones!U20</f>
        <v>0</v>
      </c>
      <c r="M31" s="15" t="n">
        <f aca="false">SUM(F31:L31)</f>
        <v>88522.8</v>
      </c>
      <c r="N31" s="8" t="n">
        <f aca="false">SUMPRODUCT((Ingresos!$H$22:$H$26=B31)*Ingresos!$G$22:$G$26*(1+(Ingresos!$E$22:$E$26="CRC")*N($F$8)+(Ingresos!$E$22:$E$26&lt;&gt;"CRC")*$F$9)^(D31-1))</f>
        <v>0</v>
      </c>
      <c r="O31" s="8" t="n">
        <f aca="false">Pensiones!S20</f>
        <v>0</v>
      </c>
      <c r="P31" s="15" t="n">
        <f aca="false">SUM(N31:O31)</f>
        <v>0</v>
      </c>
      <c r="Q31" s="15" t="n">
        <f aca="false">M31+P31</f>
        <v>88522.8</v>
      </c>
      <c r="R31" s="8" t="n">
        <f aca="false">$W$7*12*(N($F$22)*(1+$F$9)^(D31-1)+(1-N($F$22))*(1+N($F$8))^(D31-1))*IF(D31&gt;$F$19,$F$18,1)</f>
        <v>68574</v>
      </c>
      <c r="S31" s="8" t="n">
        <f aca="false">SUMPRODUCT((Gastos!$H$14:$H$17&lt;=B31)*(Gastos!$H$14:$H$17+Gastos!$I$14:$I$17&gt;B31)*Gastos!$G$14:$G$17*(1+(Gastos!$E$14:$E$17="CRC")*N($F$8)+(Gastos!$E$14:$E$17&lt;&gt;"CRC")*$F$9)^(D31-1))</f>
        <v>0</v>
      </c>
      <c r="T31" s="8" t="n">
        <f aca="false">$W$10*(1+IF($V$10="CRC",N($F$8),$F$9))^(D31-1)</f>
        <v>3117</v>
      </c>
      <c r="U31" s="8" t="n">
        <f aca="false">(IF(D31&lt;=$X$11,$W$11*12,0)+IF(Gastos!$G$28="Sí",0,SUMPRODUCT((Gastos!$H$22:$H$26&gt;=B31)*Gastos!$G$22:$G$26)*12)+SUMPRODUCT((Gastos!$H$43:$H$45&lt;=B31)*(Gastos!$H$43:$H$45+Gastos!$I$43:$I$45-1&gt;=B31)*Gastos!$K$43:$K$45))</f>
        <v>20400</v>
      </c>
      <c r="V31" s="15" t="n">
        <f aca="false">SUM(R31:U31)</f>
        <v>92091</v>
      </c>
      <c r="W31" s="8" t="n">
        <f aca="false">SUMPRODUCT((Gastos!$I$33:$I$37=1)*(Gastos!$H$33:$H$37=B31)*Gastos!$G$33:$G$37*(1+(Gastos!$E$33:$E$37="CRC")*N($F$8)+(Gastos!$E$33:$E$37&lt;&gt;"CRC")*$F$9)^(D31-1))+SUMPRODUCT((Gastos!$I$33:$I$37=2)*(Gastos!$H$33:$H$37&lt;=B31)*Gastos!$G$33:$G$37*(1+(Gastos!$E$33:$E$37="CRC")*N($F$8)+(Gastos!$E$33:$E$37&lt;&gt;"CRC")*$F$9)^(D31-1))+SUMPRODUCT(('Retiros del portafolio'!$H$15:$H$18=B31)*'Retiros del portafolio'!$G$15:$G$18*(1+('Retiros del portafolio'!$E$15:$E$18="CRC")*N($F$8)+('Retiros del portafolio'!$E$15:$E$18&lt;&gt;"CRC")*$F$9)^(D31-1))</f>
        <v>6234</v>
      </c>
      <c r="X31" s="8" t="n">
        <f aca="false">SUMPRODUCT(('Retiros del portafolio'!$H$6:$H$9=B31)*'Retiros del portafolio'!$G$6:$G$9*(1+('Retiros del portafolio'!$E$6:$E$9="CRC")*N($F$8)+('Retiros del portafolio'!$E$6:$E$9&lt;&gt;"CRC")*$F$9)^(D31-1))</f>
        <v>0</v>
      </c>
      <c r="Y31" s="15" t="n">
        <f aca="false">W31+X31</f>
        <v>6234</v>
      </c>
      <c r="Z31" s="15" t="n">
        <f aca="false">V31+Y31</f>
        <v>98325</v>
      </c>
      <c r="AA31" s="15" t="n">
        <f aca="false">Q31-Z31</f>
        <v>-9802.2</v>
      </c>
      <c r="AB31" s="8" t="n">
        <f aca="false">SUMPRODUCT((Desinversiones!$H$6:$H$10=B31)*(Desinversiones!$I$6:$I$10=1)*Desinversiones!$G$6:$G$10*(1+(Desinversiones!$E$6:$E$10="CRC")*N($F$8)+(Desinversiones!$E$6:$E$10&lt;&gt;"CRC")*$F$9)^(D31-1))</f>
        <v>0</v>
      </c>
      <c r="AC31" s="8" t="n">
        <f aca="false">SUMPRODUCT((Desinversiones!$H$6:$H$10=B31)*(Desinversiones!$I$6:$I$10=2)*Desinversiones!$G$6:$G$10*(1+(Desinversiones!$E$6:$E$10="CRC")*N($F$8)+(Desinversiones!$E$6:$E$10&lt;&gt;"CRC")*$F$9)^(D31-1))</f>
        <v>0</v>
      </c>
      <c r="AD31" s="8" t="n">
        <f aca="false">SUMPRODUCT((Desinversiones!$H$6:$H$10=B31)*(Desinversiones!$I$6:$I$10=3)*Desinversiones!$G$6:$G$10*(1+(Desinversiones!$E$6:$E$10="CRC")*N($F$8)+(Desinversiones!$E$6:$E$10&lt;&gt;"CRC")*$F$9)^(D31-1))</f>
        <v>0</v>
      </c>
      <c r="AE31" s="15" t="n">
        <f aca="false">SUM(AB31:AD31)</f>
        <v>0</v>
      </c>
      <c r="AF31" s="15" t="n">
        <f aca="false">AE31</f>
        <v>0</v>
      </c>
      <c r="AG31" s="8" t="n">
        <f aca="false">AJ30</f>
        <v>252610.78125</v>
      </c>
      <c r="AH31" s="8" t="n">
        <f aca="false">AG31*$F$13</f>
        <v>14796.0449847656</v>
      </c>
      <c r="AI31" s="15" t="n">
        <f aca="false">AA31+AF31</f>
        <v>-9802.2</v>
      </c>
      <c r="AJ31" s="15" t="n">
        <f aca="false">AG31+AH31+AI31+AM31</f>
        <v>257604.626234766</v>
      </c>
      <c r="AK31" s="8" t="n">
        <f aca="false">AJ31/(1+$F$9)^(D31-1+$F$24/12)</f>
        <v>245575.040114074</v>
      </c>
      <c r="AL31" s="9" t="n">
        <f aca="false">IF(AG31&lt;=0,0,MAX(0,-AI31)/AG31)</f>
        <v>0.0388035694735416</v>
      </c>
      <c r="AM31" s="8" t="n">
        <f aca="false">MAX(0,-(AG31+AH31+AI31))</f>
        <v>0</v>
      </c>
    </row>
    <row r="32" customFormat="false" ht="13.8" hidden="false" customHeight="false" outlineLevel="0" collapsed="false">
      <c r="B32" s="13" t="n">
        <f aca="false">B31+1</f>
        <v>2028</v>
      </c>
      <c r="C32" s="13" t="n">
        <f aca="false">C31+1</f>
        <v>48</v>
      </c>
      <c r="D32" s="13" t="n">
        <f aca="false">D31+1</f>
        <v>3</v>
      </c>
      <c r="E32" s="4" t="str">
        <f aca="false">IF(D32&lt;=$F$19,"Acumulación","Retiro")</f>
        <v>Acumulación</v>
      </c>
      <c r="F32" s="8" t="n">
        <f aca="false">IF(D32&lt;=$P$7,$N$7*12*(1+IF($M$7="CRC",N($F$8),$F$9))^(D32-1),0)</f>
        <v>77725.512</v>
      </c>
      <c r="G32" s="8" t="n">
        <f aca="false">IF(D32&lt;=$P$8,$N$8*12*(1+IF($M$8="CRC",N($F$8),$F$9))^(D32-1),0)</f>
        <v>0</v>
      </c>
      <c r="H32" s="8" t="n">
        <f aca="false">IF(AND($N$9&gt;0,D32&gt;=$O$9,D32&lt;=$P$9),$N$9*12*(1+IF($M$9="CRC",N($F$8),$F$9))^(D32-1),0)</f>
        <v>0</v>
      </c>
      <c r="I32" s="8" t="n">
        <f aca="false">SUMPRODUCT((Ingresos!$H$14:$H$17&gt;=B32)*Ingresos!$G$14:$G$17*(1+(Ingresos!$E$14:$E$17="CRC")*N($F$8)+(Ingresos!$E$14:$E$17&lt;&gt;"CRC")*$F$9)^(D32-1))*12</f>
        <v>14249.6772</v>
      </c>
      <c r="J32" s="8" t="n">
        <f aca="false">IF(AND($N$10&gt;0,D32&gt;=N($O$10)),$N$10*12*(1+IF($M$10="CRC",N($F$8),$F$9))^(N($O$10)-1)*(1+N($F$10))^(D32-N($O$10))*IF(D32=N($O$10),IF(AND(ISNUMBER($F$21),N($F$20)&gt;=$C$30),(12-$F$21)/12,1),1),0)</f>
        <v>0</v>
      </c>
      <c r="K32" s="8" t="n">
        <f aca="false">Pensiones!T21</f>
        <v>0</v>
      </c>
      <c r="L32" s="8" t="n">
        <f aca="false">Pensiones!U21</f>
        <v>0</v>
      </c>
      <c r="M32" s="15" t="n">
        <f aca="false">SUM(F32:L32)</f>
        <v>91975.1892</v>
      </c>
      <c r="N32" s="8" t="n">
        <f aca="false">SUMPRODUCT((Ingresos!$H$22:$H$26=B32)*Ingresos!$G$22:$G$26*(1+(Ingresos!$E$22:$E$26="CRC")*N($F$8)+(Ingresos!$E$22:$E$26&lt;&gt;"CRC")*$F$9)^(D32-1))</f>
        <v>43180.84</v>
      </c>
      <c r="O32" s="8" t="n">
        <f aca="false">Pensiones!S21</f>
        <v>0</v>
      </c>
      <c r="P32" s="15" t="n">
        <f aca="false">SUM(N32:O32)</f>
        <v>43180.84</v>
      </c>
      <c r="Q32" s="15" t="n">
        <f aca="false">M32+P32</f>
        <v>135156.0292</v>
      </c>
      <c r="R32" s="8" t="n">
        <f aca="false">$W$7*12*(N($F$22)*(1+$F$9)^(D32-1)+(1-N($F$22))*(1+N($F$8))^(D32-1))*IF(D32&gt;$F$19,$F$18,1)</f>
        <v>71248.386</v>
      </c>
      <c r="S32" s="8" t="n">
        <f aca="false">SUMPRODUCT((Gastos!$H$14:$H$17&lt;=B32)*(Gastos!$H$14:$H$17+Gastos!$I$14:$I$17&gt;B32)*Gastos!$G$14:$G$17*(1+(Gastos!$E$14:$E$17="CRC")*N($F$8)+(Gastos!$E$14:$E$17&lt;&gt;"CRC")*$F$9)^(D32-1))</f>
        <v>0</v>
      </c>
      <c r="T32" s="8" t="n">
        <f aca="false">$W$10*(1+IF($V$10="CRC",N($F$8),$F$9))^(D32-1)</f>
        <v>3238.563</v>
      </c>
      <c r="U32" s="8" t="n">
        <f aca="false">(IF(D32&lt;=$X$11,$W$11*12,0)+IF(Gastos!$G$28="Sí",0,SUMPRODUCT((Gastos!$H$22:$H$26&gt;=B32)*Gastos!$G$22:$G$26)*12)+SUMPRODUCT((Gastos!$H$43:$H$45&lt;=B32)*(Gastos!$H$43:$H$45+Gastos!$I$43:$I$45-1&gt;=B32)*Gastos!$K$43:$K$45))</f>
        <v>18600</v>
      </c>
      <c r="V32" s="15" t="n">
        <f aca="false">SUM(R32:U32)</f>
        <v>93086.949</v>
      </c>
      <c r="W32" s="8" t="n">
        <f aca="false">SUMPRODUCT((Gastos!$I$33:$I$37=1)*(Gastos!$H$33:$H$37=B32)*Gastos!$G$33:$G$37*(1+(Gastos!$E$33:$E$37="CRC")*N($F$8)+(Gastos!$E$33:$E$37&lt;&gt;"CRC")*$F$9)^(D32-1))+SUMPRODUCT((Gastos!$I$33:$I$37=2)*(Gastos!$H$33:$H$37&lt;=B32)*Gastos!$G$33:$G$37*(1+(Gastos!$E$33:$E$37="CRC")*N($F$8)+(Gastos!$E$33:$E$37&lt;&gt;"CRC")*$F$9)^(D32-1))+SUMPRODUCT(('Retiros del portafolio'!$H$15:$H$18=B32)*'Retiros del portafolio'!$G$15:$G$18*(1+('Retiros del portafolio'!$E$15:$E$18="CRC")*N($F$8)+('Retiros del portafolio'!$E$15:$E$18&lt;&gt;"CRC")*$F$9)^(D32-1))</f>
        <v>6477.126</v>
      </c>
      <c r="X32" s="8" t="n">
        <f aca="false">SUMPRODUCT(('Retiros del portafolio'!$H$6:$H$9=B32)*'Retiros del portafolio'!$G$6:$G$9*(1+('Retiros del portafolio'!$E$6:$E$9="CRC")*N($F$8)+('Retiros del portafolio'!$E$6:$E$9&lt;&gt;"CRC")*$F$9)^(D32-1))</f>
        <v>0</v>
      </c>
      <c r="Y32" s="15" t="n">
        <f aca="false">W32+X32</f>
        <v>6477.126</v>
      </c>
      <c r="Z32" s="15" t="n">
        <f aca="false">V32+Y32</f>
        <v>99564.075</v>
      </c>
      <c r="AA32" s="15" t="n">
        <f aca="false">Q32-Z32</f>
        <v>35591.9542</v>
      </c>
      <c r="AB32" s="8" t="n">
        <f aca="false">SUMPRODUCT((Desinversiones!$H$6:$H$10=B32)*(Desinversiones!$I$6:$I$10=1)*Desinversiones!$G$6:$G$10*(1+(Desinversiones!$E$6:$E$10="CRC")*N($F$8)+(Desinversiones!$E$6:$E$10&lt;&gt;"CRC")*$F$9)^(D32-1))</f>
        <v>0</v>
      </c>
      <c r="AC32" s="8" t="n">
        <f aca="false">SUMPRODUCT((Desinversiones!$H$6:$H$10=B32)*(Desinversiones!$I$6:$I$10=2)*Desinversiones!$G$6:$G$10*(1+(Desinversiones!$E$6:$E$10="CRC")*N($F$8)+(Desinversiones!$E$6:$E$10&lt;&gt;"CRC")*$F$9)^(D32-1))</f>
        <v>0</v>
      </c>
      <c r="AD32" s="8" t="n">
        <f aca="false">SUMPRODUCT((Desinversiones!$H$6:$H$10=B32)*(Desinversiones!$I$6:$I$10=3)*Desinversiones!$G$6:$G$10*(1+(Desinversiones!$E$6:$E$10="CRC")*N($F$8)+(Desinversiones!$E$6:$E$10&lt;&gt;"CRC")*$F$9)^(D32-1))</f>
        <v>0</v>
      </c>
      <c r="AE32" s="15" t="n">
        <f aca="false">SUM(AB32:AD32)</f>
        <v>0</v>
      </c>
      <c r="AF32" s="15" t="n">
        <f aca="false">AE32</f>
        <v>0</v>
      </c>
      <c r="AG32" s="8" t="n">
        <f aca="false">AJ31</f>
        <v>257604.626234766</v>
      </c>
      <c r="AH32" s="8" t="n">
        <f aca="false">AG32*$F$13</f>
        <v>15088.5469701358</v>
      </c>
      <c r="AI32" s="15" t="n">
        <f aca="false">AA32+AF32</f>
        <v>35591.9542</v>
      </c>
      <c r="AJ32" s="15" t="n">
        <f aca="false">AG32+AH32+AI32+AM32</f>
        <v>308285.127404901</v>
      </c>
      <c r="AK32" s="8" t="n">
        <f aca="false">AJ32/(1+$F$9)^(D32-1+$F$24/12)</f>
        <v>282857.430289079</v>
      </c>
      <c r="AL32" s="9" t="n">
        <f aca="false">IF(AG32&lt;=0,0,MAX(0,-AI32)/AG32)</f>
        <v>0</v>
      </c>
      <c r="AM32" s="8" t="n">
        <f aca="false">MAX(0,-(AG32+AH32+AI32))</f>
        <v>0</v>
      </c>
    </row>
    <row r="33" customFormat="false" ht="13.8" hidden="false" customHeight="false" outlineLevel="0" collapsed="false">
      <c r="B33" s="13" t="n">
        <f aca="false">B32+1</f>
        <v>2029</v>
      </c>
      <c r="C33" s="13" t="n">
        <f aca="false">C32+1</f>
        <v>49</v>
      </c>
      <c r="D33" s="13" t="n">
        <f aca="false">D32+1</f>
        <v>4</v>
      </c>
      <c r="E33" s="4" t="str">
        <f aca="false">IF(D33&lt;=$F$19,"Acumulación","Retiro")</f>
        <v>Acumulación</v>
      </c>
      <c r="F33" s="8" t="n">
        <f aca="false">IF(D33&lt;=$P$7,$N$7*12*(1+IF($M$7="CRC",N($F$8),$F$9))^(D33-1),0)</f>
        <v>80756.806968</v>
      </c>
      <c r="G33" s="8" t="n">
        <f aca="false">IF(D33&lt;=$P$8,$N$8*12*(1+IF($M$8="CRC",N($F$8),$F$9))^(D33-1),0)</f>
        <v>0</v>
      </c>
      <c r="H33" s="8" t="n">
        <f aca="false">IF(AND($N$9&gt;0,D33&gt;=$O$9,D33&lt;=$P$9),$N$9*12*(1+IF($M$9="CRC",N($F$8),$F$9))^(D33-1),0)</f>
        <v>0</v>
      </c>
      <c r="I33" s="8" t="n">
        <f aca="false">SUMPRODUCT((Ingresos!$H$14:$H$17&gt;=B33)*Ingresos!$G$14:$G$17*(1+(Ingresos!$E$14:$E$17="CRC")*N($F$8)+(Ingresos!$E$14:$E$17&lt;&gt;"CRC")*$F$9)^(D33-1))*12</f>
        <v>14805.4146108</v>
      </c>
      <c r="J33" s="8" t="n">
        <f aca="false">IF(AND($N$10&gt;0,D33&gt;=N($O$10)),$N$10*12*(1+IF($M$10="CRC",N($F$8),$F$9))^(N($O$10)-1)*(1+N($F$10))^(D33-N($O$10))*IF(D33=N($O$10),IF(AND(ISNUMBER($F$21),N($F$20)&gt;=$C$30),(12-$F$21)/12,1),1),0)</f>
        <v>0</v>
      </c>
      <c r="K33" s="8" t="n">
        <f aca="false">Pensiones!T22</f>
        <v>0</v>
      </c>
      <c r="L33" s="8" t="n">
        <f aca="false">Pensiones!U22</f>
        <v>0</v>
      </c>
      <c r="M33" s="15" t="n">
        <f aca="false">SUM(F33:L33)</f>
        <v>95562.2215788</v>
      </c>
      <c r="N33" s="8" t="n">
        <f aca="false">SUMPRODUCT((Ingresos!$H$22:$H$26=B33)*Ingresos!$G$22:$G$26*(1+(Ingresos!$E$22:$E$26="CRC")*N($F$8)+(Ingresos!$E$22:$E$26&lt;&gt;"CRC")*$F$9)^(D33-1))</f>
        <v>0</v>
      </c>
      <c r="O33" s="8" t="n">
        <f aca="false">Pensiones!S22</f>
        <v>0</v>
      </c>
      <c r="P33" s="15" t="n">
        <f aca="false">SUM(N33:O33)</f>
        <v>0</v>
      </c>
      <c r="Q33" s="15" t="n">
        <f aca="false">M33+P33</f>
        <v>95562.2215788</v>
      </c>
      <c r="R33" s="8" t="n">
        <f aca="false">$W$7*12*(N($F$22)*(1+$F$9)^(D33-1)+(1-N($F$22))*(1+N($F$8))^(D33-1))*IF(D33&gt;$F$19,$F$18,1)</f>
        <v>74027.073054</v>
      </c>
      <c r="S33" s="8" t="n">
        <f aca="false">SUMPRODUCT((Gastos!$H$14:$H$17&lt;=B33)*(Gastos!$H$14:$H$17+Gastos!$I$14:$I$17&gt;B33)*Gastos!$G$14:$G$17*(1+(Gastos!$E$14:$E$17="CRC")*N($F$8)+(Gastos!$E$14:$E$17&lt;&gt;"CRC")*$F$9)^(D33-1))</f>
        <v>0</v>
      </c>
      <c r="T33" s="8" t="n">
        <f aca="false">$W$10*(1+IF($V$10="CRC",N($F$8),$F$9))^(D33-1)</f>
        <v>3364.866957</v>
      </c>
      <c r="U33" s="8" t="n">
        <f aca="false">(IF(D33&lt;=$X$11,$W$11*12,0)+IF(Gastos!$G$28="Sí",0,SUMPRODUCT((Gastos!$H$22:$H$26&gt;=B33)*Gastos!$G$22:$G$26)*12)+SUMPRODUCT((Gastos!$H$43:$H$45&lt;=B33)*(Gastos!$H$43:$H$45+Gastos!$I$43:$I$45-1&gt;=B33)*Gastos!$K$43:$K$45))</f>
        <v>18600</v>
      </c>
      <c r="V33" s="15" t="n">
        <f aca="false">SUM(R33:U33)</f>
        <v>95991.940011</v>
      </c>
      <c r="W33" s="8" t="n">
        <f aca="false">SUMPRODUCT((Gastos!$I$33:$I$37=1)*(Gastos!$H$33:$H$37=B33)*Gastos!$G$33:$G$37*(1+(Gastos!$E$33:$E$37="CRC")*N($F$8)+(Gastos!$E$33:$E$37&lt;&gt;"CRC")*$F$9)^(D33-1))+SUMPRODUCT((Gastos!$I$33:$I$37=2)*(Gastos!$H$33:$H$37&lt;=B33)*Gastos!$G$33:$G$37*(1+(Gastos!$E$33:$E$37="CRC")*N($F$8)+(Gastos!$E$33:$E$37&lt;&gt;"CRC")*$F$9)^(D33-1))+SUMPRODUCT(('Retiros del portafolio'!$H$15:$H$18=B33)*'Retiros del portafolio'!$G$15:$G$18*(1+('Retiros del portafolio'!$E$15:$E$18="CRC")*N($F$8)+('Retiros del portafolio'!$E$15:$E$18&lt;&gt;"CRC")*$F$9)^(D33-1))</f>
        <v>6729.733914</v>
      </c>
      <c r="X33" s="8" t="n">
        <f aca="false">SUMPRODUCT(('Retiros del portafolio'!$H$6:$H$9=B33)*'Retiros del portafolio'!$G$6:$G$9*(1+('Retiros del portafolio'!$E$6:$E$9="CRC")*N($F$8)+('Retiros del portafolio'!$E$6:$E$9&lt;&gt;"CRC")*$F$9)^(D33-1))</f>
        <v>0</v>
      </c>
      <c r="Y33" s="15" t="n">
        <f aca="false">W33+X33</f>
        <v>6729.733914</v>
      </c>
      <c r="Z33" s="15" t="n">
        <f aca="false">V33+Y33</f>
        <v>102721.673925</v>
      </c>
      <c r="AA33" s="15" t="n">
        <f aca="false">Q33-Z33</f>
        <v>-7159.45234620001</v>
      </c>
      <c r="AB33" s="8" t="n">
        <f aca="false">SUMPRODUCT((Desinversiones!$H$6:$H$10=B33)*(Desinversiones!$I$6:$I$10=1)*Desinversiones!$G$6:$G$10*(1+(Desinversiones!$E$6:$E$10="CRC")*N($F$8)+(Desinversiones!$E$6:$E$10&lt;&gt;"CRC")*$F$9)^(D33-1))</f>
        <v>0</v>
      </c>
      <c r="AC33" s="8" t="n">
        <f aca="false">SUMPRODUCT((Desinversiones!$H$6:$H$10=B33)*(Desinversiones!$I$6:$I$10=2)*Desinversiones!$G$6:$G$10*(1+(Desinversiones!$E$6:$E$10="CRC")*N($F$8)+(Desinversiones!$E$6:$E$10&lt;&gt;"CRC")*$F$9)^(D33-1))</f>
        <v>0</v>
      </c>
      <c r="AD33" s="8" t="n">
        <f aca="false">SUMPRODUCT((Desinversiones!$H$6:$H$10=B33)*(Desinversiones!$I$6:$I$10=3)*Desinversiones!$G$6:$G$10*(1+(Desinversiones!$E$6:$E$10="CRC")*N($F$8)+(Desinversiones!$E$6:$E$10&lt;&gt;"CRC")*$F$9)^(D33-1))</f>
        <v>0</v>
      </c>
      <c r="AE33" s="15" t="n">
        <f aca="false">SUM(AB33:AD33)</f>
        <v>0</v>
      </c>
      <c r="AF33" s="15" t="n">
        <f aca="false">AE33</f>
        <v>0</v>
      </c>
      <c r="AG33" s="8" t="n">
        <f aca="false">AJ32</f>
        <v>308285.127404901</v>
      </c>
      <c r="AH33" s="8" t="n">
        <f aca="false">AG33*$F$13</f>
        <v>18057.0306249236</v>
      </c>
      <c r="AI33" s="15" t="n">
        <f aca="false">AA33+AF33</f>
        <v>-7159.45234620001</v>
      </c>
      <c r="AJ33" s="15" t="n">
        <f aca="false">AG33+AH33+AI33+AM33</f>
        <v>319182.705683625</v>
      </c>
      <c r="AK33" s="8" t="n">
        <f aca="false">AJ33/(1+$F$9)^(D33-1+$F$24/12)</f>
        <v>281863.48825747</v>
      </c>
      <c r="AL33" s="9" t="n">
        <f aca="false">IF(AG33&lt;=0,0,MAX(0,-AI33)/AG33)</f>
        <v>0.0232234762879002</v>
      </c>
      <c r="AM33" s="8" t="n">
        <f aca="false">MAX(0,-(AG33+AH33+AI33))</f>
        <v>0</v>
      </c>
    </row>
    <row r="34" customFormat="false" ht="13.8" hidden="false" customHeight="false" outlineLevel="0" collapsed="false">
      <c r="B34" s="13" t="n">
        <f aca="false">B33+1</f>
        <v>2030</v>
      </c>
      <c r="C34" s="13" t="n">
        <f aca="false">C33+1</f>
        <v>50</v>
      </c>
      <c r="D34" s="13" t="n">
        <f aca="false">D33+1</f>
        <v>5</v>
      </c>
      <c r="E34" s="4" t="str">
        <f aca="false">IF(D34&lt;=$F$19,"Acumulación","Retiro")</f>
        <v>Acumulación</v>
      </c>
      <c r="F34" s="8" t="n">
        <f aca="false">IF(D34&lt;=$P$7,$N$7*12*(1+IF($M$7="CRC",N($F$8),$F$9))^(D34-1),0)</f>
        <v>83906.322439752</v>
      </c>
      <c r="G34" s="8" t="n">
        <f aca="false">IF(D34&lt;=$P$8,$N$8*12*(1+IF($M$8="CRC",N($F$8),$F$9))^(D34-1),0)</f>
        <v>0</v>
      </c>
      <c r="H34" s="8" t="n">
        <f aca="false">IF(AND($N$9&gt;0,D34&gt;=$O$9,D34&lt;=$P$9),$N$9*12*(1+IF($M$9="CRC",N($F$8),$F$9))^(D34-1),0)</f>
        <v>15538.2078592133</v>
      </c>
      <c r="I34" s="8" t="n">
        <f aca="false">SUMPRODUCT((Ingresos!$H$14:$H$17&gt;=B34)*Ingresos!$G$14:$G$17*(1+(Ingresos!$E$14:$E$17="CRC")*N($F$8)+(Ingresos!$E$14:$E$17&lt;&gt;"CRC")*$F$9)^(D34-1))*12</f>
        <v>15382.8257806212</v>
      </c>
      <c r="J34" s="8" t="n">
        <f aca="false">IF(AND($N$10&gt;0,D34&gt;=N($O$10)),$N$10*12*(1+IF($M$10="CRC",N($F$8),$F$9))^(N($O$10)-1)*(1+N($F$10))^(D34-N($O$10))*IF(D34=N($O$10),IF(AND(ISNUMBER($F$21),N($F$20)&gt;=$C$30),(12-$F$21)/12,1),1),0)</f>
        <v>0</v>
      </c>
      <c r="K34" s="8" t="n">
        <f aca="false">Pensiones!T23</f>
        <v>0</v>
      </c>
      <c r="L34" s="8" t="n">
        <f aca="false">Pensiones!U23</f>
        <v>0</v>
      </c>
      <c r="M34" s="15" t="n">
        <f aca="false">SUM(F34:L34)</f>
        <v>114827.356079586</v>
      </c>
      <c r="N34" s="8" t="n">
        <f aca="false">SUMPRODUCT((Ingresos!$H$22:$H$26=B34)*Ingresos!$G$22:$G$26*(1+(Ingresos!$E$22:$E$26="CRC")*N($F$8)+(Ingresos!$E$22:$E$26&lt;&gt;"CRC")*$F$9)^(D34-1))</f>
        <v>0</v>
      </c>
      <c r="O34" s="8" t="n">
        <f aca="false">Pensiones!S23</f>
        <v>0</v>
      </c>
      <c r="P34" s="15" t="n">
        <f aca="false">SUM(N34:O34)</f>
        <v>0</v>
      </c>
      <c r="Q34" s="15" t="n">
        <f aca="false">M34+P34</f>
        <v>114827.356079586</v>
      </c>
      <c r="R34" s="8" t="n">
        <f aca="false">$W$7*12*(N($F$22)*(1+$F$9)^(D34-1)+(1-N($F$22))*(1+N($F$8))^(D34-1))*IF(D34&gt;$F$19,$F$18,1)</f>
        <v>76914.128903106</v>
      </c>
      <c r="S34" s="8" t="n">
        <f aca="false">SUMPRODUCT((Gastos!$H$14:$H$17&lt;=B34)*(Gastos!$H$14:$H$17+Gastos!$I$14:$I$17&gt;B34)*Gastos!$G$14:$G$17*(1+(Gastos!$E$14:$E$17="CRC")*N($F$8)+(Gastos!$E$14:$E$17&lt;&gt;"CRC")*$F$9)^(D34-1))</f>
        <v>13984.387073292</v>
      </c>
      <c r="T34" s="8" t="n">
        <f aca="false">$W$10*(1+IF($V$10="CRC",N($F$8),$F$9))^(D34-1)</f>
        <v>3496.096768323</v>
      </c>
      <c r="U34" s="8" t="n">
        <f aca="false">(IF(D34&lt;=$X$11,$W$11*12,0)+IF(Gastos!$G$28="Sí",0,SUMPRODUCT((Gastos!$H$22:$H$26&gt;=B34)*Gastos!$G$22:$G$26)*12)+SUMPRODUCT((Gastos!$H$43:$H$45&lt;=B34)*(Gastos!$H$43:$H$45+Gastos!$I$43:$I$45-1&gt;=B34)*Gastos!$K$43:$K$45))</f>
        <v>14400</v>
      </c>
      <c r="V34" s="15" t="n">
        <f aca="false">SUM(R34:U34)</f>
        <v>108794.612744721</v>
      </c>
      <c r="W34" s="8" t="n">
        <f aca="false">SUMPRODUCT((Gastos!$I$33:$I$37=1)*(Gastos!$H$33:$H$37=B34)*Gastos!$G$33:$G$37*(1+(Gastos!$E$33:$E$37="CRC")*N($F$8)+(Gastos!$E$33:$E$37&lt;&gt;"CRC")*$F$9)^(D34-1))+SUMPRODUCT((Gastos!$I$33:$I$37=2)*(Gastos!$H$33:$H$37&lt;=B34)*Gastos!$G$33:$G$37*(1+(Gastos!$E$33:$E$37="CRC")*N($F$8)+(Gastos!$E$33:$E$37&lt;&gt;"CRC")*$F$9)^(D34-1))+SUMPRODUCT(('Retiros del portafolio'!$H$15:$H$18=B34)*'Retiros del portafolio'!$G$15:$G$18*(1+('Retiros del portafolio'!$E$15:$E$18="CRC")*N($F$8)+('Retiros del portafolio'!$E$15:$E$18&lt;&gt;"CRC")*$F$9)^(D34-1))</f>
        <v>47779.989167081</v>
      </c>
      <c r="X34" s="8" t="n">
        <f aca="false">SUMPRODUCT(('Retiros del portafolio'!$H$6:$H$9=B34)*'Retiros del portafolio'!$G$6:$G$9*(1+('Retiros del portafolio'!$E$6:$E$9="CRC")*N($F$8)+('Retiros del portafolio'!$E$6:$E$9&lt;&gt;"CRC")*$F$9)^(D34-1))</f>
        <v>0</v>
      </c>
      <c r="Y34" s="15" t="n">
        <f aca="false">W34+X34</f>
        <v>47779.989167081</v>
      </c>
      <c r="Z34" s="15" t="n">
        <f aca="false">V34+Y34</f>
        <v>156574.601911802</v>
      </c>
      <c r="AA34" s="15" t="n">
        <f aca="false">Q34-Z34</f>
        <v>-41747.2458322155</v>
      </c>
      <c r="AB34" s="8" t="n">
        <f aca="false">SUMPRODUCT((Desinversiones!$H$6:$H$10=B34)*(Desinversiones!$I$6:$I$10=1)*Desinversiones!$G$6:$G$10*(1+(Desinversiones!$E$6:$E$10="CRC")*N($F$8)+(Desinversiones!$E$6:$E$10&lt;&gt;"CRC")*$F$9)^(D34-1))</f>
        <v>0</v>
      </c>
      <c r="AC34" s="8" t="n">
        <f aca="false">SUMPRODUCT((Desinversiones!$H$6:$H$10=B34)*(Desinversiones!$I$6:$I$10=2)*Desinversiones!$G$6:$G$10*(1+(Desinversiones!$E$6:$E$10="CRC")*N($F$8)+(Desinversiones!$E$6:$E$10&lt;&gt;"CRC")*$F$9)^(D34-1))</f>
        <v>0</v>
      </c>
      <c r="AD34" s="8" t="n">
        <f aca="false">SUMPRODUCT((Desinversiones!$H$6:$H$10=B34)*(Desinversiones!$I$6:$I$10=3)*Desinversiones!$G$6:$G$10*(1+(Desinversiones!$E$6:$E$10="CRC")*N($F$8)+(Desinversiones!$E$6:$E$10&lt;&gt;"CRC")*$F$9)^(D34-1))</f>
        <v>0</v>
      </c>
      <c r="AE34" s="15" t="n">
        <f aca="false">SUM(AB34:AD34)</f>
        <v>0</v>
      </c>
      <c r="AF34" s="15" t="n">
        <f aca="false">AE34</f>
        <v>0</v>
      </c>
      <c r="AG34" s="8" t="n">
        <f aca="false">AJ33</f>
        <v>319182.705683625</v>
      </c>
      <c r="AH34" s="8" t="n">
        <f aca="false">AG34*$F$13</f>
        <v>18695.3290286541</v>
      </c>
      <c r="AI34" s="15" t="n">
        <f aca="false">AA34+AF34</f>
        <v>-41747.2458322155</v>
      </c>
      <c r="AJ34" s="15" t="n">
        <f aca="false">AG34+AH34+AI34+AM34</f>
        <v>296130.788880064</v>
      </c>
      <c r="AK34" s="8" t="n">
        <f aca="false">AJ34/(1+$F$9)^(D34-1+$F$24/12)</f>
        <v>251690.884200397</v>
      </c>
      <c r="AL34" s="9" t="n">
        <f aca="false">IF(AG34&lt;=0,0,MAX(0,-AI34)/AG34)</f>
        <v>0.130794197457539</v>
      </c>
      <c r="AM34" s="8" t="n">
        <f aca="false">MAX(0,-(AG34+AH34+AI34))</f>
        <v>0</v>
      </c>
    </row>
    <row r="35" customFormat="false" ht="13.8" hidden="false" customHeight="false" outlineLevel="0" collapsed="false">
      <c r="B35" s="13" t="n">
        <f aca="false">B34+1</f>
        <v>2031</v>
      </c>
      <c r="C35" s="13" t="n">
        <f aca="false">C34+1</f>
        <v>51</v>
      </c>
      <c r="D35" s="13" t="n">
        <f aca="false">D34+1</f>
        <v>6</v>
      </c>
      <c r="E35" s="4" t="str">
        <f aca="false">IF(D35&lt;=$F$19,"Acumulación","Retiro")</f>
        <v>Acumulación</v>
      </c>
      <c r="F35" s="8" t="n">
        <f aca="false">IF(D35&lt;=$P$7,$N$7*12*(1+IF($M$7="CRC",N($F$8),$F$9))^(D35-1),0)</f>
        <v>87178.6690149023</v>
      </c>
      <c r="G35" s="8" t="n">
        <f aca="false">IF(D35&lt;=$P$8,$N$8*12*(1+IF($M$8="CRC",N($F$8),$F$9))^(D35-1),0)</f>
        <v>0</v>
      </c>
      <c r="H35" s="8" t="n">
        <f aca="false">IF(AND($N$9&gt;0,D35&gt;=$O$9,D35&lt;=$P$9),$N$9*12*(1+IF($M$9="CRC",N($F$8),$F$9))^(D35-1),0)</f>
        <v>16144.1979657226</v>
      </c>
      <c r="I35" s="8" t="n">
        <f aca="false">SUMPRODUCT((Ingresos!$H$14:$H$17&gt;=B35)*Ingresos!$G$14:$G$17*(1+(Ingresos!$E$14:$E$17="CRC")*N($F$8)+(Ingresos!$E$14:$E$17&lt;&gt;"CRC")*$F$9)^(D35-1))*12</f>
        <v>0</v>
      </c>
      <c r="J35" s="8" t="n">
        <f aca="false">IF(AND($N$10&gt;0,D35&gt;=N($O$10)),$N$10*12*(1+IF($M$10="CRC",N($F$8),$F$9))^(N($O$10)-1)*(1+N($F$10))^(D35-N($O$10))*IF(D35=N($O$10),IF(AND(ISNUMBER($F$21),N($F$20)&gt;=$C$30),(12-$F$21)/12,1),1),0)</f>
        <v>0</v>
      </c>
      <c r="K35" s="8" t="n">
        <f aca="false">Pensiones!T24</f>
        <v>0</v>
      </c>
      <c r="L35" s="8" t="n">
        <f aca="false">Pensiones!U24</f>
        <v>0</v>
      </c>
      <c r="M35" s="15" t="n">
        <f aca="false">SUM(F35:L35)</f>
        <v>103322.866980625</v>
      </c>
      <c r="N35" s="8" t="n">
        <f aca="false">SUMPRODUCT((Ingresos!$H$22:$H$26=B35)*Ingresos!$G$22:$G$26*(1+(Ingresos!$E$22:$E$26="CRC")*N($F$8)+(Ingresos!$E$22:$E$26&lt;&gt;"CRC")*$F$9)^(D35-1))</f>
        <v>0</v>
      </c>
      <c r="O35" s="8" t="n">
        <f aca="false">Pensiones!S24</f>
        <v>0</v>
      </c>
      <c r="P35" s="15" t="n">
        <f aca="false">SUM(N35:O35)</f>
        <v>0</v>
      </c>
      <c r="Q35" s="15" t="n">
        <f aca="false">M35+P35</f>
        <v>103322.866980625</v>
      </c>
      <c r="R35" s="8" t="n">
        <f aca="false">$W$7*12*(N($F$22)*(1+$F$9)^(D35-1)+(1-N($F$22))*(1+N($F$8))^(D35-1))*IF(D35&gt;$F$19,$F$18,1)</f>
        <v>79913.7799303271</v>
      </c>
      <c r="S35" s="8" t="n">
        <f aca="false">SUMPRODUCT((Gastos!$H$14:$H$17&lt;=B35)*(Gastos!$H$14:$H$17+Gastos!$I$14:$I$17&gt;B35)*Gastos!$G$14:$G$17*(1+(Gastos!$E$14:$E$17="CRC")*N($F$8)+(Gastos!$E$14:$E$17&lt;&gt;"CRC")*$F$9)^(D35-1))</f>
        <v>14529.7781691504</v>
      </c>
      <c r="T35" s="8" t="n">
        <f aca="false">$W$10*(1+IF($V$10="CRC",N($F$8),$F$9))^(D35-1)</f>
        <v>3632.4445422876</v>
      </c>
      <c r="U35" s="8" t="n">
        <f aca="false">(IF(D35&lt;=$X$11,$W$11*12,0)+IF(Gastos!$G$28="Sí",0,SUMPRODUCT((Gastos!$H$22:$H$26&gt;=B35)*Gastos!$G$22:$G$26)*12)+SUMPRODUCT((Gastos!$H$43:$H$45&lt;=B35)*(Gastos!$H$43:$H$45+Gastos!$I$43:$I$45-1&gt;=B35)*Gastos!$K$43:$K$45))</f>
        <v>14400</v>
      </c>
      <c r="V35" s="15" t="n">
        <f aca="false">SUM(R35:U35)</f>
        <v>112476.002641765</v>
      </c>
      <c r="W35" s="8" t="n">
        <f aca="false">SUMPRODUCT((Gastos!$I$33:$I$37=1)*(Gastos!$H$33:$H$37=B35)*Gastos!$G$33:$G$37*(1+(Gastos!$E$33:$E$37="CRC")*N($F$8)+(Gastos!$E$33:$E$37&lt;&gt;"CRC")*$F$9)^(D35-1))+SUMPRODUCT((Gastos!$I$33:$I$37=2)*(Gastos!$H$33:$H$37&lt;=B35)*Gastos!$G$33:$G$37*(1+(Gastos!$E$33:$E$37="CRC")*N($F$8)+(Gastos!$E$33:$E$37&lt;&gt;"CRC")*$F$9)^(D35-1))+SUMPRODUCT(('Retiros del portafolio'!$H$15:$H$18=B35)*'Retiros del portafolio'!$G$15:$G$18*(1+('Retiros del portafolio'!$E$15:$E$18="CRC")*N($F$8)+('Retiros del portafolio'!$E$15:$E$18&lt;&gt;"CRC")*$F$9)^(D35-1))</f>
        <v>67805.6314560351</v>
      </c>
      <c r="X35" s="8" t="n">
        <f aca="false">SUMPRODUCT(('Retiros del portafolio'!$H$6:$H$9=B35)*'Retiros del portafolio'!$G$6:$G$9*(1+('Retiros del portafolio'!$E$6:$E$9="CRC")*N($F$8)+('Retiros del portafolio'!$E$6:$E$9&lt;&gt;"CRC")*$F$9)^(D35-1))</f>
        <v>48432.5938971679</v>
      </c>
      <c r="Y35" s="15" t="n">
        <f aca="false">W35+X35</f>
        <v>116238.225353203</v>
      </c>
      <c r="Z35" s="15" t="n">
        <f aca="false">V35+Y35</f>
        <v>228714.227994968</v>
      </c>
      <c r="AA35" s="15" t="n">
        <f aca="false">Q35-Z35</f>
        <v>-125391.361014343</v>
      </c>
      <c r="AB35" s="8" t="n">
        <f aca="false">SUMPRODUCT((Desinversiones!$H$6:$H$10=B35)*(Desinversiones!$I$6:$I$10=1)*Desinversiones!$G$6:$G$10*(1+(Desinversiones!$E$6:$E$10="CRC")*N($F$8)+(Desinversiones!$E$6:$E$10&lt;&gt;"CRC")*$F$9)^(D35-1))</f>
        <v>217946.672537256</v>
      </c>
      <c r="AC35" s="8" t="n">
        <f aca="false">SUMPRODUCT((Desinversiones!$H$6:$H$10=B35)*(Desinversiones!$I$6:$I$10=2)*Desinversiones!$G$6:$G$10*(1+(Desinversiones!$E$6:$E$10="CRC")*N($F$8)+(Desinversiones!$E$6:$E$10&lt;&gt;"CRC")*$F$9)^(D35-1))</f>
        <v>0</v>
      </c>
      <c r="AD35" s="8" t="n">
        <f aca="false">SUMPRODUCT((Desinversiones!$H$6:$H$10=B35)*(Desinversiones!$I$6:$I$10=3)*Desinversiones!$G$6:$G$10*(1+(Desinversiones!$E$6:$E$10="CRC")*N($F$8)+(Desinversiones!$E$6:$E$10&lt;&gt;"CRC")*$F$9)^(D35-1))</f>
        <v>0</v>
      </c>
      <c r="AE35" s="15" t="n">
        <f aca="false">SUM(AB35:AD35)</f>
        <v>217946.672537256</v>
      </c>
      <c r="AF35" s="15" t="n">
        <f aca="false">AE35</f>
        <v>217946.672537256</v>
      </c>
      <c r="AG35" s="8" t="n">
        <f aca="false">AJ34</f>
        <v>296130.788880064</v>
      </c>
      <c r="AH35" s="8" t="n">
        <f aca="false">AG35*$F$13</f>
        <v>17345.1206316775</v>
      </c>
      <c r="AI35" s="15" t="n">
        <f aca="false">AA35+AF35</f>
        <v>92555.3115229125</v>
      </c>
      <c r="AJ35" s="15" t="n">
        <f aca="false">AG35+AH35+AI35+AM35</f>
        <v>406031.221034654</v>
      </c>
      <c r="AK35" s="8" t="n">
        <f aca="false">AJ35/(1+$F$9)^(D35-1+$F$24/12)</f>
        <v>332145.06529052</v>
      </c>
      <c r="AL35" s="9" t="n">
        <f aca="false">IF(AG35&lt;=0,0,MAX(0,-AI35)/AG35)</f>
        <v>0</v>
      </c>
      <c r="AM35" s="8" t="n">
        <f aca="false">MAX(0,-(AG35+AH35+AI35))</f>
        <v>0</v>
      </c>
    </row>
    <row r="36" customFormat="false" ht="13.8" hidden="false" customHeight="false" outlineLevel="0" collapsed="false">
      <c r="B36" s="13" t="n">
        <f aca="false">B35+1</f>
        <v>2032</v>
      </c>
      <c r="C36" s="13" t="n">
        <f aca="false">C35+1</f>
        <v>52</v>
      </c>
      <c r="D36" s="13" t="n">
        <f aca="false">D35+1</f>
        <v>7</v>
      </c>
      <c r="E36" s="4" t="str">
        <f aca="false">IF(D36&lt;=$F$19,"Acumulación","Retiro")</f>
        <v>Acumulación</v>
      </c>
      <c r="F36" s="8" t="n">
        <f aca="false">IF(D36&lt;=$P$7,$N$7*12*(1+IF($M$7="CRC",N($F$8),$F$9))^(D36-1),0)</f>
        <v>90578.6371064835</v>
      </c>
      <c r="G36" s="8" t="n">
        <f aca="false">IF(D36&lt;=$P$8,$N$8*12*(1+IF($M$8="CRC",N($F$8),$F$9))^(D36-1),0)</f>
        <v>0</v>
      </c>
      <c r="H36" s="8" t="n">
        <f aca="false">IF(AND($N$9&gt;0,D36&gt;=$O$9,D36&lt;=$P$9),$N$9*12*(1+IF($M$9="CRC",N($F$8),$F$9))^(D36-1),0)</f>
        <v>16773.8216863858</v>
      </c>
      <c r="I36" s="8" t="n">
        <f aca="false">SUMPRODUCT((Ingresos!$H$14:$H$17&gt;=B36)*Ingresos!$G$14:$G$17*(1+(Ingresos!$E$14:$E$17="CRC")*N($F$8)+(Ingresos!$E$14:$E$17&lt;&gt;"CRC")*$F$9)^(D36-1))*12</f>
        <v>0</v>
      </c>
      <c r="J36" s="8" t="n">
        <f aca="false">IF(AND($N$10&gt;0,D36&gt;=N($O$10)),$N$10*12*(1+IF($M$10="CRC",N($F$8),$F$9))^(N($O$10)-1)*(1+N($F$10))^(D36-N($O$10))*IF(D36=N($O$10),IF(AND(ISNUMBER($F$21),N($F$20)&gt;=$C$30),(12-$F$21)/12,1),1),0)</f>
        <v>0</v>
      </c>
      <c r="K36" s="8" t="n">
        <f aca="false">Pensiones!T25</f>
        <v>0</v>
      </c>
      <c r="L36" s="8" t="n">
        <f aca="false">Pensiones!U25</f>
        <v>0</v>
      </c>
      <c r="M36" s="15" t="n">
        <f aca="false">SUM(F36:L36)</f>
        <v>107352.458792869</v>
      </c>
      <c r="N36" s="8" t="n">
        <f aca="false">SUMPRODUCT((Ingresos!$H$22:$H$26=B36)*Ingresos!$G$22:$G$26*(1+(Ingresos!$E$22:$E$26="CRC")*N($F$8)+(Ingresos!$E$22:$E$26&lt;&gt;"CRC")*$F$9)^(D36-1))</f>
        <v>150964.395177472</v>
      </c>
      <c r="O36" s="8" t="n">
        <f aca="false">Pensiones!S25</f>
        <v>0</v>
      </c>
      <c r="P36" s="15" t="n">
        <f aca="false">SUM(N36:O36)</f>
        <v>150964.395177472</v>
      </c>
      <c r="Q36" s="15" t="n">
        <f aca="false">M36+P36</f>
        <v>258316.853970342</v>
      </c>
      <c r="R36" s="8" t="n">
        <f aca="false">$W$7*12*(N($F$22)*(1+$F$9)^(D36-1)+(1-N($F$22))*(1+N($F$8))^(D36-1))*IF(D36&gt;$F$19,$F$18,1)</f>
        <v>83030.4173476098</v>
      </c>
      <c r="S36" s="8" t="n">
        <f aca="false">SUMPRODUCT((Gastos!$H$14:$H$17&lt;=B36)*(Gastos!$H$14:$H$17+Gastos!$I$14:$I$17&gt;B36)*Gastos!$G$14:$G$17*(1+(Gastos!$E$14:$E$17="CRC")*N($F$8)+(Gastos!$E$14:$E$17&lt;&gt;"CRC")*$F$9)^(D36-1))</f>
        <v>15096.4395177472</v>
      </c>
      <c r="T36" s="8" t="n">
        <f aca="false">$W$10*(1+IF($V$10="CRC",N($F$8),$F$9))^(D36-1)</f>
        <v>3774.10987943681</v>
      </c>
      <c r="U36" s="8" t="n">
        <f aca="false">(IF(D36&lt;=$X$11,$W$11*12,0)+IF(Gastos!$G$28="Sí",0,SUMPRODUCT((Gastos!$H$22:$H$26&gt;=B36)*Gastos!$G$22:$G$26)*12)+SUMPRODUCT((Gastos!$H$43:$H$45&lt;=B36)*(Gastos!$H$43:$H$45+Gastos!$I$43:$I$45-1&gt;=B36)*Gastos!$K$43:$K$45))</f>
        <v>14400</v>
      </c>
      <c r="V36" s="15" t="n">
        <f aca="false">SUM(R36:U36)</f>
        <v>116300.966744794</v>
      </c>
      <c r="W36" s="8" t="n">
        <f aca="false">SUMPRODUCT((Gastos!$I$33:$I$37=1)*(Gastos!$H$33:$H$37=B36)*Gastos!$G$33:$G$37*(1+(Gastos!$E$33:$E$37="CRC")*N($F$8)+(Gastos!$E$33:$E$37&lt;&gt;"CRC")*$F$9)^(D36-1))+SUMPRODUCT((Gastos!$I$33:$I$37=2)*(Gastos!$H$33:$H$37&lt;=B36)*Gastos!$G$33:$G$37*(1+(Gastos!$E$33:$E$37="CRC")*N($F$8)+(Gastos!$E$33:$E$37&lt;&gt;"CRC")*$F$9)^(D36-1))+SUMPRODUCT(('Retiros del portafolio'!$H$15:$H$18=B36)*'Retiros del portafolio'!$G$15:$G$18*(1+('Retiros del portafolio'!$E$15:$E$18="CRC")*N($F$8)+('Retiros del portafolio'!$E$15:$E$18&lt;&gt;"CRC")*$F$9)^(D36-1))</f>
        <v>7548.21975887362</v>
      </c>
      <c r="X36" s="8" t="n">
        <f aca="false">SUMPRODUCT(('Retiros del portafolio'!$H$6:$H$9=B36)*'Retiros del portafolio'!$G$6:$G$9*(1+('Retiros del portafolio'!$E$6:$E$9="CRC")*N($F$8)+('Retiros del portafolio'!$E$6:$E$9&lt;&gt;"CRC")*$F$9)^(D36-1))</f>
        <v>0</v>
      </c>
      <c r="Y36" s="15" t="n">
        <f aca="false">W36+X36</f>
        <v>7548.21975887362</v>
      </c>
      <c r="Z36" s="15" t="n">
        <f aca="false">V36+Y36</f>
        <v>123849.186503668</v>
      </c>
      <c r="AA36" s="15" t="n">
        <f aca="false">Q36-Z36</f>
        <v>134467.667466674</v>
      </c>
      <c r="AB36" s="8" t="n">
        <f aca="false">SUMPRODUCT((Desinversiones!$H$6:$H$10=B36)*(Desinversiones!$I$6:$I$10=1)*Desinversiones!$G$6:$G$10*(1+(Desinversiones!$E$6:$E$10="CRC")*N($F$8)+(Desinversiones!$E$6:$E$10&lt;&gt;"CRC")*$F$9)^(D36-1))</f>
        <v>0</v>
      </c>
      <c r="AC36" s="8" t="n">
        <f aca="false">SUMPRODUCT((Desinversiones!$H$6:$H$10=B36)*(Desinversiones!$I$6:$I$10=2)*Desinversiones!$G$6:$G$10*(1+(Desinversiones!$E$6:$E$10="CRC")*N($F$8)+(Desinversiones!$E$6:$E$10&lt;&gt;"CRC")*$F$9)^(D36-1))</f>
        <v>0</v>
      </c>
      <c r="AD36" s="8" t="n">
        <f aca="false">SUMPRODUCT((Desinversiones!$H$6:$H$10=B36)*(Desinversiones!$I$6:$I$10=3)*Desinversiones!$G$6:$G$10*(1+(Desinversiones!$E$6:$E$10="CRC")*N($F$8)+(Desinversiones!$E$6:$E$10&lt;&gt;"CRC")*$F$9)^(D36-1))</f>
        <v>0</v>
      </c>
      <c r="AE36" s="15" t="n">
        <f aca="false">SUM(AB36:AD36)</f>
        <v>0</v>
      </c>
      <c r="AF36" s="15" t="n">
        <f aca="false">AE36</f>
        <v>0</v>
      </c>
      <c r="AG36" s="8" t="n">
        <f aca="false">AJ35</f>
        <v>406031.221034654</v>
      </c>
      <c r="AH36" s="8" t="n">
        <f aca="false">AG36*$F$13</f>
        <v>23782.2636940523</v>
      </c>
      <c r="AI36" s="15" t="n">
        <f aca="false">AA36+AF36</f>
        <v>134467.667466674</v>
      </c>
      <c r="AJ36" s="15" t="n">
        <f aca="false">AG36+AH36+AI36+AM36</f>
        <v>564281.15219538</v>
      </c>
      <c r="AK36" s="8" t="n">
        <f aca="false">AJ36/(1+$F$9)^(D36-1+$F$24/12)</f>
        <v>444271.416175431</v>
      </c>
      <c r="AL36" s="9" t="n">
        <f aca="false">IF(AG36&lt;=0,0,MAX(0,-AI36)/AG36)</f>
        <v>0</v>
      </c>
      <c r="AM36" s="8" t="n">
        <f aca="false">MAX(0,-(AG36+AH36+AI36))</f>
        <v>0</v>
      </c>
    </row>
    <row r="37" customFormat="false" ht="13.8" hidden="false" customHeight="false" outlineLevel="0" collapsed="false">
      <c r="B37" s="13" t="n">
        <f aca="false">B36+1</f>
        <v>2033</v>
      </c>
      <c r="C37" s="13" t="n">
        <f aca="false">C36+1</f>
        <v>53</v>
      </c>
      <c r="D37" s="13" t="n">
        <f aca="false">D36+1</f>
        <v>8</v>
      </c>
      <c r="E37" s="4" t="str">
        <f aca="false">IF(D37&lt;=$F$19,"Acumulación","Retiro")</f>
        <v>Acumulación</v>
      </c>
      <c r="F37" s="8" t="n">
        <f aca="false">IF(D37&lt;=$P$7,$N$7*12*(1+IF($M$7="CRC",N($F$8),$F$9))^(D37-1),0)</f>
        <v>94111.2039536363</v>
      </c>
      <c r="G37" s="8" t="n">
        <f aca="false">IF(D37&lt;=$P$8,$N$8*12*(1+IF($M$8="CRC",N($F$8),$F$9))^(D37-1),0)</f>
        <v>0</v>
      </c>
      <c r="H37" s="8" t="n">
        <f aca="false">IF(AND($N$9&gt;0,D37&gt;=$O$9,D37&lt;=$P$9),$N$9*12*(1+IF($M$9="CRC",N($F$8),$F$9))^(D37-1),0)</f>
        <v>17428.0007321549</v>
      </c>
      <c r="I37" s="8" t="n">
        <f aca="false">SUMPRODUCT((Ingresos!$H$14:$H$17&gt;=B37)*Ingresos!$G$14:$G$17*(1+(Ingresos!$E$14:$E$17="CRC")*N($F$8)+(Ingresos!$E$14:$E$17&lt;&gt;"CRC")*$F$9)^(D37-1))*12</f>
        <v>0</v>
      </c>
      <c r="J37" s="8" t="n">
        <f aca="false">IF(AND($N$10&gt;0,D37&gt;=N($O$10)),$N$10*12*(1+IF($M$10="CRC",N($F$8),$F$9))^(N($O$10)-1)*(1+N($F$10))^(D37-N($O$10))*IF(D37=N($O$10),IF(AND(ISNUMBER($F$21),N($F$20)&gt;=$C$30),(12-$F$21)/12,1),1),0)</f>
        <v>0</v>
      </c>
      <c r="K37" s="8" t="n">
        <f aca="false">Pensiones!T26</f>
        <v>0</v>
      </c>
      <c r="L37" s="8" t="n">
        <f aca="false">Pensiones!U26</f>
        <v>0</v>
      </c>
      <c r="M37" s="15" t="n">
        <f aca="false">SUM(F37:L37)</f>
        <v>111539.204685791</v>
      </c>
      <c r="N37" s="8" t="n">
        <f aca="false">SUMPRODUCT((Ingresos!$H$22:$H$26=B37)*Ingresos!$G$22:$G$26*(1+(Ingresos!$E$22:$E$26="CRC")*N($F$8)+(Ingresos!$E$22:$E$26&lt;&gt;"CRC")*$F$9)^(D37-1))</f>
        <v>0</v>
      </c>
      <c r="O37" s="8" t="n">
        <f aca="false">Pensiones!S26</f>
        <v>0</v>
      </c>
      <c r="P37" s="15" t="n">
        <f aca="false">SUM(N37:O37)</f>
        <v>0</v>
      </c>
      <c r="Q37" s="15" t="n">
        <f aca="false">M37+P37</f>
        <v>111539.204685791</v>
      </c>
      <c r="R37" s="8" t="n">
        <f aca="false">$W$7*12*(N($F$22)*(1+$F$9)^(D37-1)+(1-N($F$22))*(1+N($F$8))^(D37-1))*IF(D37&gt;$F$19,$F$18,1)</f>
        <v>86268.6036241666</v>
      </c>
      <c r="S37" s="8" t="n">
        <f aca="false">SUMPRODUCT((Gastos!$H$14:$H$17&lt;=B37)*(Gastos!$H$14:$H$17+Gastos!$I$14:$I$17&gt;B37)*Gastos!$G$14:$G$17*(1+(Gastos!$E$14:$E$17="CRC")*N($F$8)+(Gastos!$E$14:$E$17&lt;&gt;"CRC")*$F$9)^(D37-1))</f>
        <v>15685.2006589394</v>
      </c>
      <c r="T37" s="8" t="n">
        <f aca="false">$W$10*(1+IF($V$10="CRC",N($F$8),$F$9))^(D37-1)</f>
        <v>3921.30016473485</v>
      </c>
      <c r="U37" s="8" t="n">
        <f aca="false">(IF(D37&lt;=$X$11,$W$11*12,0)+IF(Gastos!$G$28="Sí",0,SUMPRODUCT((Gastos!$H$22:$H$26&gt;=B37)*Gastos!$G$22:$G$26)*12)+SUMPRODUCT((Gastos!$H$43:$H$45&lt;=B37)*(Gastos!$H$43:$H$45+Gastos!$I$43:$I$45-1&gt;=B37)*Gastos!$K$43:$K$45))</f>
        <v>14400</v>
      </c>
      <c r="V37" s="15" t="n">
        <f aca="false">SUM(R37:U37)</f>
        <v>120275.104447841</v>
      </c>
      <c r="W37" s="8" t="n">
        <f aca="false">SUMPRODUCT((Gastos!$I$33:$I$37=1)*(Gastos!$H$33:$H$37=B37)*Gastos!$G$33:$G$37*(1+(Gastos!$E$33:$E$37="CRC")*N($F$8)+(Gastos!$E$33:$E$37&lt;&gt;"CRC")*$F$9)^(D37-1))+SUMPRODUCT((Gastos!$I$33:$I$37=2)*(Gastos!$H$33:$H$37&lt;=B37)*Gastos!$G$33:$G$37*(1+(Gastos!$E$33:$E$37="CRC")*N($F$8)+(Gastos!$E$33:$E$37&lt;&gt;"CRC")*$F$9)^(D37-1))+SUMPRODUCT(('Retiros del portafolio'!$H$15:$H$18=B37)*'Retiros del portafolio'!$G$15:$G$18*(1+('Retiros del portafolio'!$E$15:$E$18="CRC")*N($F$8)+('Retiros del portafolio'!$E$15:$E$18&lt;&gt;"CRC")*$F$9)^(D37-1))</f>
        <v>7842.60032946969</v>
      </c>
      <c r="X37" s="8" t="n">
        <f aca="false">SUMPRODUCT(('Retiros del portafolio'!$H$6:$H$9=B37)*'Retiros del portafolio'!$G$6:$G$9*(1+('Retiros del portafolio'!$E$6:$E$9="CRC")*N($F$8)+('Retiros del portafolio'!$E$6:$E$9&lt;&gt;"CRC")*$F$9)^(D37-1))</f>
        <v>0</v>
      </c>
      <c r="Y37" s="15" t="n">
        <f aca="false">W37+X37</f>
        <v>7842.60032946969</v>
      </c>
      <c r="Z37" s="15" t="n">
        <f aca="false">V37+Y37</f>
        <v>128117.704777311</v>
      </c>
      <c r="AA37" s="15" t="n">
        <f aca="false">Q37-Z37</f>
        <v>-16578.5000915193</v>
      </c>
      <c r="AB37" s="8" t="n">
        <f aca="false">SUMPRODUCT((Desinversiones!$H$6:$H$10=B37)*(Desinversiones!$I$6:$I$10=1)*Desinversiones!$G$6:$G$10*(1+(Desinversiones!$E$6:$E$10="CRC")*N($F$8)+(Desinversiones!$E$6:$E$10&lt;&gt;"CRC")*$F$9)^(D37-1))</f>
        <v>0</v>
      </c>
      <c r="AC37" s="8" t="n">
        <f aca="false">SUMPRODUCT((Desinversiones!$H$6:$H$10=B37)*(Desinversiones!$I$6:$I$10=2)*Desinversiones!$G$6:$G$10*(1+(Desinversiones!$E$6:$E$10="CRC")*N($F$8)+(Desinversiones!$E$6:$E$10&lt;&gt;"CRC")*$F$9)^(D37-1))</f>
        <v>0</v>
      </c>
      <c r="AD37" s="8" t="n">
        <f aca="false">SUMPRODUCT((Desinversiones!$H$6:$H$10=B37)*(Desinversiones!$I$6:$I$10=3)*Desinversiones!$G$6:$G$10*(1+(Desinversiones!$E$6:$E$10="CRC")*N($F$8)+(Desinversiones!$E$6:$E$10&lt;&gt;"CRC")*$F$9)^(D37-1))</f>
        <v>196065.008236742</v>
      </c>
      <c r="AE37" s="15" t="n">
        <f aca="false">SUM(AB37:AD37)</f>
        <v>196065.008236742</v>
      </c>
      <c r="AF37" s="15" t="n">
        <f aca="false">AE37</f>
        <v>196065.008236742</v>
      </c>
      <c r="AG37" s="8" t="n">
        <f aca="false">AJ36</f>
        <v>564281.15219538</v>
      </c>
      <c r="AH37" s="8" t="n">
        <f aca="false">AG37*$F$13</f>
        <v>33051.3577869639</v>
      </c>
      <c r="AI37" s="15" t="n">
        <f aca="false">AA37+AF37</f>
        <v>179486.508145223</v>
      </c>
      <c r="AJ37" s="15" t="n">
        <f aca="false">AG37+AH37+AI37+AM37</f>
        <v>776819.018127567</v>
      </c>
      <c r="AK37" s="8" t="n">
        <f aca="false">AJ37/(1+$F$9)^(D37-1+$F$24/12)</f>
        <v>588649.97466498</v>
      </c>
      <c r="AL37" s="9" t="n">
        <f aca="false">IF(AG37&lt;=0,0,MAX(0,-AI37)/AG37)</f>
        <v>0</v>
      </c>
      <c r="AM37" s="8" t="n">
        <f aca="false">MAX(0,-(AG37+AH37+AI37))</f>
        <v>0</v>
      </c>
    </row>
    <row r="38" customFormat="false" ht="13.8" hidden="false" customHeight="false" outlineLevel="0" collapsed="false">
      <c r="B38" s="13" t="n">
        <f aca="false">B37+1</f>
        <v>2034</v>
      </c>
      <c r="C38" s="13" t="n">
        <f aca="false">C37+1</f>
        <v>54</v>
      </c>
      <c r="D38" s="13" t="n">
        <f aca="false">D37+1</f>
        <v>9</v>
      </c>
      <c r="E38" s="4" t="str">
        <f aca="false">IF(D38&lt;=$F$19,"Acumulación","Retiro")</f>
        <v>Acumulación</v>
      </c>
      <c r="F38" s="8" t="n">
        <f aca="false">IF(D38&lt;=$P$7,$N$7*12*(1+IF($M$7="CRC",N($F$8),$F$9))^(D38-1),0)</f>
        <v>97781.5409078281</v>
      </c>
      <c r="G38" s="8" t="n">
        <f aca="false">IF(D38&lt;=$P$8,$N$8*12*(1+IF($M$8="CRC",N($F$8),$F$9))^(D38-1),0)</f>
        <v>0</v>
      </c>
      <c r="H38" s="8" t="n">
        <f aca="false">IF(AND($N$9&gt;0,D38&gt;=$O$9,D38&lt;=$P$9),$N$9*12*(1+IF($M$9="CRC",N($F$8),$F$9))^(D38-1),0)</f>
        <v>18107.6927607089</v>
      </c>
      <c r="I38" s="8" t="n">
        <f aca="false">SUMPRODUCT((Ingresos!$H$14:$H$17&gt;=B38)*Ingresos!$G$14:$G$17*(1+(Ingresos!$E$14:$E$17="CRC")*N($F$8)+(Ingresos!$E$14:$E$17&lt;&gt;"CRC")*$F$9)^(D38-1))*12</f>
        <v>0</v>
      </c>
      <c r="J38" s="8" t="n">
        <f aca="false">IF(AND($N$10&gt;0,D38&gt;=N($O$10)),$N$10*12*(1+IF($M$10="CRC",N($F$8),$F$9))^(N($O$10)-1)*(1+N($F$10))^(D38-N($O$10))*IF(D38=N($O$10),IF(AND(ISNUMBER($F$21),N($F$20)&gt;=$C$30),(12-$F$21)/12,1),1),0)</f>
        <v>0</v>
      </c>
      <c r="K38" s="8" t="n">
        <f aca="false">Pensiones!T27</f>
        <v>0</v>
      </c>
      <c r="L38" s="8" t="n">
        <f aca="false">Pensiones!U27</f>
        <v>0</v>
      </c>
      <c r="M38" s="15" t="n">
        <f aca="false">SUM(F38:L38)</f>
        <v>115889.233668537</v>
      </c>
      <c r="N38" s="8" t="n">
        <f aca="false">SUMPRODUCT((Ingresos!$H$22:$H$26=B38)*Ingresos!$G$22:$G$26*(1+(Ingresos!$E$22:$E$26="CRC")*N($F$8)+(Ingresos!$E$22:$E$26&lt;&gt;"CRC")*$F$9)^(D38-1))</f>
        <v>0</v>
      </c>
      <c r="O38" s="8" t="n">
        <f aca="false">Pensiones!S27</f>
        <v>0</v>
      </c>
      <c r="P38" s="15" t="n">
        <f aca="false">SUM(N38:O38)</f>
        <v>0</v>
      </c>
      <c r="Q38" s="15" t="n">
        <f aca="false">M38+P38</f>
        <v>115889.233668537</v>
      </c>
      <c r="R38" s="8" t="n">
        <f aca="false">$W$7*12*(N($F$22)*(1+$F$9)^(D38-1)+(1-N($F$22))*(1+N($F$8))^(D38-1))*IF(D38&gt;$F$19,$F$18,1)</f>
        <v>89633.0791655091</v>
      </c>
      <c r="S38" s="8" t="n">
        <f aca="false">SUMPRODUCT((Gastos!$H$14:$H$17&lt;=B38)*(Gastos!$H$14:$H$17+Gastos!$I$14:$I$17&gt;B38)*Gastos!$G$14:$G$17*(1+(Gastos!$E$14:$E$17="CRC")*N($F$8)+(Gastos!$E$14:$E$17&lt;&gt;"CRC")*$F$9)^(D38-1))</f>
        <v>16296.923484638</v>
      </c>
      <c r="T38" s="8" t="n">
        <f aca="false">$W$10*(1+IF($V$10="CRC",N($F$8),$F$9))^(D38-1)</f>
        <v>4074.23087115951</v>
      </c>
      <c r="U38" s="8" t="n">
        <f aca="false">(IF(D38&lt;=$X$11,$W$11*12,0)+IF(Gastos!$G$28="Sí",0,SUMPRODUCT((Gastos!$H$22:$H$26&gt;=B38)*Gastos!$G$22:$G$26)*12)+SUMPRODUCT((Gastos!$H$43:$H$45&lt;=B38)*(Gastos!$H$43:$H$45+Gastos!$I$43:$I$45-1&gt;=B38)*Gastos!$K$43:$K$45))</f>
        <v>14400</v>
      </c>
      <c r="V38" s="15" t="n">
        <f aca="false">SUM(R38:U38)</f>
        <v>124404.233521307</v>
      </c>
      <c r="W38" s="8" t="n">
        <f aca="false">SUMPRODUCT((Gastos!$I$33:$I$37=1)*(Gastos!$H$33:$H$37=B38)*Gastos!$G$33:$G$37*(1+(Gastos!$E$33:$E$37="CRC")*N($F$8)+(Gastos!$E$33:$E$37&lt;&gt;"CRC")*$F$9)^(D38-1))+SUMPRODUCT((Gastos!$I$33:$I$37=2)*(Gastos!$H$33:$H$37&lt;=B38)*Gastos!$G$33:$G$37*(1+(Gastos!$E$33:$E$37="CRC")*N($F$8)+(Gastos!$E$33:$E$37&lt;&gt;"CRC")*$F$9)^(D38-1))+SUMPRODUCT(('Retiros del portafolio'!$H$15:$H$18=B38)*'Retiros del portafolio'!$G$15:$G$18*(1+('Retiros del portafolio'!$E$15:$E$18="CRC")*N($F$8)+('Retiros del portafolio'!$E$15:$E$18&lt;&gt;"CRC")*$F$9)^(D38-1))</f>
        <v>8148.46174231901</v>
      </c>
      <c r="X38" s="8" t="n">
        <f aca="false">SUMPRODUCT(('Retiros del portafolio'!$H$6:$H$9=B38)*'Retiros del portafolio'!$G$6:$G$9*(1+('Retiros del portafolio'!$E$6:$E$9="CRC")*N($F$8)+('Retiros del portafolio'!$E$6:$E$9&lt;&gt;"CRC")*$F$9)^(D38-1))</f>
        <v>0</v>
      </c>
      <c r="Y38" s="15" t="n">
        <f aca="false">W38+X38</f>
        <v>8148.46174231901</v>
      </c>
      <c r="Z38" s="15" t="n">
        <f aca="false">V38+Y38</f>
        <v>132552.695263626</v>
      </c>
      <c r="AA38" s="15" t="n">
        <f aca="false">Q38-Z38</f>
        <v>-16663.4615950886</v>
      </c>
      <c r="AB38" s="8" t="n">
        <f aca="false">SUMPRODUCT((Desinversiones!$H$6:$H$10=B38)*(Desinversiones!$I$6:$I$10=1)*Desinversiones!$G$6:$G$10*(1+(Desinversiones!$E$6:$E$10="CRC")*N($F$8)+(Desinversiones!$E$6:$E$10&lt;&gt;"CRC")*$F$9)^(D38-1))</f>
        <v>0</v>
      </c>
      <c r="AC38" s="8" t="n">
        <f aca="false">SUMPRODUCT((Desinversiones!$H$6:$H$10=B38)*(Desinversiones!$I$6:$I$10=2)*Desinversiones!$G$6:$G$10*(1+(Desinversiones!$E$6:$E$10="CRC")*N($F$8)+(Desinversiones!$E$6:$E$10&lt;&gt;"CRC")*$F$9)^(D38-1))</f>
        <v>0</v>
      </c>
      <c r="AD38" s="8" t="n">
        <f aca="false">SUMPRODUCT((Desinversiones!$H$6:$H$10=B38)*(Desinversiones!$I$6:$I$10=3)*Desinversiones!$G$6:$G$10*(1+(Desinversiones!$E$6:$E$10="CRC")*N($F$8)+(Desinversiones!$E$6:$E$10&lt;&gt;"CRC")*$F$9)^(D38-1))</f>
        <v>0</v>
      </c>
      <c r="AE38" s="15" t="n">
        <f aca="false">SUM(AB38:AD38)</f>
        <v>0</v>
      </c>
      <c r="AF38" s="15" t="n">
        <f aca="false">AE38</f>
        <v>0</v>
      </c>
      <c r="AG38" s="8" t="n">
        <f aca="false">AJ37</f>
        <v>776819.018127567</v>
      </c>
      <c r="AH38" s="8" t="n">
        <f aca="false">AG38*$F$13</f>
        <v>45500.2319392769</v>
      </c>
      <c r="AI38" s="15" t="n">
        <f aca="false">AA38+AF38</f>
        <v>-16663.4615950886</v>
      </c>
      <c r="AJ38" s="15" t="n">
        <f aca="false">AG38+AH38+AI38+AM38</f>
        <v>805655.788471756</v>
      </c>
      <c r="AK38" s="8" t="n">
        <f aca="false">AJ38/(1+$F$9)^(D38-1+$F$24/12)</f>
        <v>587585.76296221</v>
      </c>
      <c r="AL38" s="9" t="n">
        <f aca="false">IF(AG38&lt;=0,0,MAX(0,-AI38)/AG38)</f>
        <v>0.0214508929444775</v>
      </c>
      <c r="AM38" s="8" t="n">
        <f aca="false">MAX(0,-(AG38+AH38+AI38))</f>
        <v>0</v>
      </c>
    </row>
    <row r="39" customFormat="false" ht="13.8" hidden="false" customHeight="false" outlineLevel="0" collapsed="false">
      <c r="B39" s="13" t="n">
        <f aca="false">B38+1</f>
        <v>2035</v>
      </c>
      <c r="C39" s="13" t="n">
        <f aca="false">C38+1</f>
        <v>55</v>
      </c>
      <c r="D39" s="13" t="n">
        <f aca="false">D38+1</f>
        <v>10</v>
      </c>
      <c r="E39" s="4" t="str">
        <f aca="false">IF(D39&lt;=$F$19,"Acumulación","Retiro")</f>
        <v>Acumulación</v>
      </c>
      <c r="F39" s="8" t="n">
        <f aca="false">IF(D39&lt;=$P$7,$N$7*12*(1+IF($M$7="CRC",N($F$8),$F$9))^(D39-1),0)</f>
        <v>101595.021003233</v>
      </c>
      <c r="G39" s="8" t="n">
        <f aca="false">IF(D39&lt;=$P$8,$N$8*12*(1+IF($M$8="CRC",N($F$8),$F$9))^(D39-1),0)</f>
        <v>0</v>
      </c>
      <c r="H39" s="8" t="n">
        <f aca="false">IF(AND($N$9&gt;0,D39&gt;=$O$9,D39&lt;=$P$9),$N$9*12*(1+IF($M$9="CRC",N($F$8),$F$9))^(D39-1),0)</f>
        <v>18813.8927783766</v>
      </c>
      <c r="I39" s="8" t="n">
        <f aca="false">SUMPRODUCT((Ingresos!$H$14:$H$17&gt;=B39)*Ingresos!$G$14:$G$17*(1+(Ingresos!$E$14:$E$17="CRC")*N($F$8)+(Ingresos!$E$14:$E$17&lt;&gt;"CRC")*$F$9)^(D39-1))*12</f>
        <v>0</v>
      </c>
      <c r="J39" s="8" t="n">
        <f aca="false">IF(AND($N$10&gt;0,D39&gt;=N($O$10)),$N$10*12*(1+IF($M$10="CRC",N($F$8),$F$9))^(N($O$10)-1)*(1+N($F$10))^(D39-N($O$10))*IF(D39=N($O$10),IF(AND(ISNUMBER($F$21),N($F$20)&gt;=$C$30),(12-$F$21)/12,1),1),0)</f>
        <v>0</v>
      </c>
      <c r="K39" s="8" t="n">
        <f aca="false">Pensiones!T28</f>
        <v>0</v>
      </c>
      <c r="L39" s="8" t="n">
        <f aca="false">Pensiones!U28</f>
        <v>0</v>
      </c>
      <c r="M39" s="15" t="n">
        <f aca="false">SUM(F39:L39)</f>
        <v>120408.91378161</v>
      </c>
      <c r="N39" s="8" t="n">
        <f aca="false">SUMPRODUCT((Ingresos!$H$22:$H$26=B39)*Ingresos!$G$22:$G$26*(1+(Ingresos!$E$22:$E$26="CRC")*N($F$8)+(Ingresos!$E$22:$E$26&lt;&gt;"CRC")*$F$9)^(D39-1))</f>
        <v>0</v>
      </c>
      <c r="O39" s="8" t="n">
        <f aca="false">Pensiones!S28</f>
        <v>0</v>
      </c>
      <c r="P39" s="15" t="n">
        <f aca="false">SUM(N39:O39)</f>
        <v>0</v>
      </c>
      <c r="Q39" s="15" t="n">
        <f aca="false">M39+P39</f>
        <v>120408.91378161</v>
      </c>
      <c r="R39" s="8" t="n">
        <f aca="false">$W$7*12*(N($F$22)*(1+$F$9)^(D39-1)+(1-N($F$22))*(1+N($F$8))^(D39-1))*IF(D39&gt;$F$19,$F$18,1)</f>
        <v>93128.769252964</v>
      </c>
      <c r="S39" s="8" t="n">
        <f aca="false">SUMPRODUCT((Gastos!$H$14:$H$17&lt;=B39)*(Gastos!$H$14:$H$17+Gastos!$I$14:$I$17&gt;B39)*Gastos!$G$14:$G$17*(1+(Gastos!$E$14:$E$17="CRC")*N($F$8)+(Gastos!$E$14:$E$17&lt;&gt;"CRC")*$F$9)^(D39-1))</f>
        <v>0</v>
      </c>
      <c r="T39" s="8" t="n">
        <f aca="false">$W$10*(1+IF($V$10="CRC",N($F$8),$F$9))^(D39-1)</f>
        <v>4233.12587513473</v>
      </c>
      <c r="U39" s="8" t="n">
        <f aca="false">(IF(D39&lt;=$X$11,$W$11*12,0)+IF(Gastos!$G$28="Sí",0,SUMPRODUCT((Gastos!$H$22:$H$26&gt;=B39)*Gastos!$G$22:$G$26)*12)+SUMPRODUCT((Gastos!$H$43:$H$45&lt;=B39)*(Gastos!$H$43:$H$45+Gastos!$I$43:$I$45-1&gt;=B39)*Gastos!$K$43:$K$45))</f>
        <v>14400</v>
      </c>
      <c r="V39" s="15" t="n">
        <f aca="false">SUM(R39:U39)</f>
        <v>111761.895128099</v>
      </c>
      <c r="W39" s="8" t="n">
        <f aca="false">SUMPRODUCT((Gastos!$I$33:$I$37=1)*(Gastos!$H$33:$H$37=B39)*Gastos!$G$33:$G$37*(1+(Gastos!$E$33:$E$37="CRC")*N($F$8)+(Gastos!$E$33:$E$37&lt;&gt;"CRC")*$F$9)^(D39-1))+SUMPRODUCT((Gastos!$I$33:$I$37=2)*(Gastos!$H$33:$H$37&lt;=B39)*Gastos!$G$33:$G$37*(1+(Gastos!$E$33:$E$37="CRC")*N($F$8)+(Gastos!$E$33:$E$37&lt;&gt;"CRC")*$F$9)^(D39-1))+SUMPRODUCT(('Retiros del portafolio'!$H$15:$H$18=B39)*'Retiros del portafolio'!$G$15:$G$18*(1+('Retiros del portafolio'!$E$15:$E$18="CRC")*N($F$8)+('Retiros del portafolio'!$E$15:$E$18&lt;&gt;"CRC")*$F$9)^(D39-1))</f>
        <v>8466.25175026945</v>
      </c>
      <c r="X39" s="8" t="n">
        <f aca="false">SUMPRODUCT(('Retiros del portafolio'!$H$6:$H$9=B39)*'Retiros del portafolio'!$G$6:$G$9*(1+('Retiros del portafolio'!$E$6:$E$9="CRC")*N($F$8)+('Retiros del portafolio'!$E$6:$E$9&lt;&gt;"CRC")*$F$9)^(D39-1))</f>
        <v>0</v>
      </c>
      <c r="Y39" s="15" t="n">
        <f aca="false">W39+X39</f>
        <v>8466.25175026945</v>
      </c>
      <c r="Z39" s="15" t="n">
        <f aca="false">V39+Y39</f>
        <v>120228.146878368</v>
      </c>
      <c r="AA39" s="15" t="n">
        <f aca="false">Q39-Z39</f>
        <v>180.766903241849</v>
      </c>
      <c r="AB39" s="8" t="n">
        <f aca="false">SUMPRODUCT((Desinversiones!$H$6:$H$10=B39)*(Desinversiones!$I$6:$I$10=1)*Desinversiones!$G$6:$G$10*(1+(Desinversiones!$E$6:$E$10="CRC")*N($F$8)+(Desinversiones!$E$6:$E$10&lt;&gt;"CRC")*$F$9)^(D39-1))</f>
        <v>0</v>
      </c>
      <c r="AC39" s="8" t="n">
        <f aca="false">SUMPRODUCT((Desinversiones!$H$6:$H$10=B39)*(Desinversiones!$I$6:$I$10=2)*Desinversiones!$G$6:$G$10*(1+(Desinversiones!$E$6:$E$10="CRC")*N($F$8)+(Desinversiones!$E$6:$E$10&lt;&gt;"CRC")*$F$9)^(D39-1))</f>
        <v>0</v>
      </c>
      <c r="AD39" s="8" t="n">
        <f aca="false">SUMPRODUCT((Desinversiones!$H$6:$H$10=B39)*(Desinversiones!$I$6:$I$10=3)*Desinversiones!$G$6:$G$10*(1+(Desinversiones!$E$6:$E$10="CRC")*N($F$8)+(Desinversiones!$E$6:$E$10&lt;&gt;"CRC")*$F$9)^(D39-1))</f>
        <v>0</v>
      </c>
      <c r="AE39" s="15" t="n">
        <f aca="false">SUM(AB39:AD39)</f>
        <v>0</v>
      </c>
      <c r="AF39" s="15" t="n">
        <f aca="false">AE39</f>
        <v>0</v>
      </c>
      <c r="AG39" s="8" t="n">
        <f aca="false">AJ38</f>
        <v>805655.788471756</v>
      </c>
      <c r="AH39" s="8" t="n">
        <f aca="false">AG39*$F$13</f>
        <v>47189.2736702619</v>
      </c>
      <c r="AI39" s="15" t="n">
        <f aca="false">AA39+AF39</f>
        <v>180.766903241849</v>
      </c>
      <c r="AJ39" s="15" t="n">
        <f aca="false">AG39+AH39+AI39+AM39</f>
        <v>853025.829045259</v>
      </c>
      <c r="AK39" s="8" t="n">
        <f aca="false">AJ39/(1+$F$9)^(D39-1+$F$24/12)</f>
        <v>598781.489968111</v>
      </c>
      <c r="AL39" s="9" t="n">
        <f aca="false">IF(AG39&lt;=0,0,MAX(0,-AI39)/AG39)</f>
        <v>0</v>
      </c>
      <c r="AM39" s="8" t="n">
        <f aca="false">MAX(0,-(AG39+AH39+AI39))</f>
        <v>0</v>
      </c>
    </row>
    <row r="40" customFormat="false" ht="13.8" hidden="false" customHeight="false" outlineLevel="0" collapsed="false">
      <c r="B40" s="13" t="n">
        <f aca="false">B39+1</f>
        <v>2036</v>
      </c>
      <c r="C40" s="13" t="n">
        <f aca="false">C39+1</f>
        <v>56</v>
      </c>
      <c r="D40" s="13" t="n">
        <f aca="false">D39+1</f>
        <v>11</v>
      </c>
      <c r="E40" s="4" t="str">
        <f aca="false">IF(D40&lt;=$F$19,"Acumulación","Retiro")</f>
        <v>Acumulación</v>
      </c>
      <c r="F40" s="8" t="n">
        <f aca="false">IF(D40&lt;=$P$7,$N$7*12*(1+IF($M$7="CRC",N($F$8),$F$9))^(D40-1),0)</f>
        <v>105557.22682236</v>
      </c>
      <c r="G40" s="8" t="n">
        <f aca="false">IF(D40&lt;=$P$8,$N$8*12*(1+IF($M$8="CRC",N($F$8),$F$9))^(D40-1),0)</f>
        <v>0</v>
      </c>
      <c r="H40" s="8" t="n">
        <f aca="false">IF(AND($N$9&gt;0,D40&gt;=$O$9,D40&lt;=$P$9),$N$9*12*(1+IF($M$9="CRC",N($F$8),$F$9))^(D40-1),0)</f>
        <v>19547.6345967332</v>
      </c>
      <c r="I40" s="8" t="n">
        <f aca="false">SUMPRODUCT((Ingresos!$H$14:$H$17&gt;=B40)*Ingresos!$G$14:$G$17*(1+(Ingresos!$E$14:$E$17="CRC")*N($F$8)+(Ingresos!$E$14:$E$17&lt;&gt;"CRC")*$F$9)^(D40-1))*12</f>
        <v>0</v>
      </c>
      <c r="J40" s="8" t="n">
        <f aca="false">IF(AND($N$10&gt;0,D40&gt;=N($O$10)),$N$10*12*(1+IF($M$10="CRC",N($F$8),$F$9))^(N($O$10)-1)*(1+N($F$10))^(D40-N($O$10))*IF(D40=N($O$10),IF(AND(ISNUMBER($F$21),N($F$20)&gt;=$C$30),(12-$F$21)/12,1),1),0)</f>
        <v>0</v>
      </c>
      <c r="K40" s="8" t="n">
        <f aca="false">Pensiones!T29</f>
        <v>0</v>
      </c>
      <c r="L40" s="8" t="n">
        <f aca="false">Pensiones!U29</f>
        <v>0</v>
      </c>
      <c r="M40" s="15" t="n">
        <f aca="false">SUM(F40:L40)</f>
        <v>125104.861419093</v>
      </c>
      <c r="N40" s="8" t="n">
        <f aca="false">SUMPRODUCT((Ingresos!$H$22:$H$26=B40)*Ingresos!$G$22:$G$26*(1+(Ingresos!$E$22:$E$26="CRC")*N($F$8)+(Ingresos!$E$22:$E$26&lt;&gt;"CRC")*$F$9)^(D40-1))</f>
        <v>0</v>
      </c>
      <c r="O40" s="8" t="n">
        <f aca="false">Pensiones!S29</f>
        <v>0</v>
      </c>
      <c r="P40" s="15" t="n">
        <f aca="false">SUM(N40:O40)</f>
        <v>0</v>
      </c>
      <c r="Q40" s="15" t="n">
        <f aca="false">M40+P40</f>
        <v>125104.861419093</v>
      </c>
      <c r="R40" s="8" t="n">
        <f aca="false">$W$7*12*(N($F$22)*(1+$F$9)^(D40-1)+(1-N($F$22))*(1+N($F$8))^(D40-1))*IF(D40&gt;$F$19,$F$18,1)</f>
        <v>96760.7912538296</v>
      </c>
      <c r="S40" s="8" t="n">
        <f aca="false">SUMPRODUCT((Gastos!$H$14:$H$17&lt;=B40)*(Gastos!$H$14:$H$17+Gastos!$I$14:$I$17&gt;B40)*Gastos!$G$14:$G$17*(1+(Gastos!$E$14:$E$17="CRC")*N($F$8)+(Gastos!$E$14:$E$17&lt;&gt;"CRC")*$F$9)^(D40-1))</f>
        <v>0</v>
      </c>
      <c r="T40" s="8" t="n">
        <f aca="false">$W$10*(1+IF($V$10="CRC",N($F$8),$F$9))^(D40-1)</f>
        <v>4398.21778426498</v>
      </c>
      <c r="U40" s="8" t="n">
        <f aca="false">(IF(D40&lt;=$X$11,$W$11*12,0)+IF(Gastos!$G$28="Sí",0,SUMPRODUCT((Gastos!$H$22:$H$26&gt;=B40)*Gastos!$G$22:$G$26)*12)+SUMPRODUCT((Gastos!$H$43:$H$45&lt;=B40)*(Gastos!$H$43:$H$45+Gastos!$I$43:$I$45-1&gt;=B40)*Gastos!$K$43:$K$45))</f>
        <v>14400</v>
      </c>
      <c r="V40" s="15" t="n">
        <f aca="false">SUM(R40:U40)</f>
        <v>115559.009038095</v>
      </c>
      <c r="W40" s="8" t="n">
        <f aca="false">SUMPRODUCT((Gastos!$I$33:$I$37=1)*(Gastos!$H$33:$H$37=B40)*Gastos!$G$33:$G$37*(1+(Gastos!$E$33:$E$37="CRC")*N($F$8)+(Gastos!$E$33:$E$37&lt;&gt;"CRC")*$F$9)^(D40-1))+SUMPRODUCT((Gastos!$I$33:$I$37=2)*(Gastos!$H$33:$H$37&lt;=B40)*Gastos!$G$33:$G$37*(1+(Gastos!$E$33:$E$37="CRC")*N($F$8)+(Gastos!$E$33:$E$37&lt;&gt;"CRC")*$F$9)^(D40-1))+SUMPRODUCT(('Retiros del portafolio'!$H$15:$H$18=B40)*'Retiros del portafolio'!$G$15:$G$18*(1+('Retiros del portafolio'!$E$15:$E$18="CRC")*N($F$8)+('Retiros del portafolio'!$E$15:$E$18&lt;&gt;"CRC")*$F$9)^(D40-1))</f>
        <v>8796.43556852996</v>
      </c>
      <c r="X40" s="8" t="n">
        <f aca="false">SUMPRODUCT(('Retiros del portafolio'!$H$6:$H$9=B40)*'Retiros del portafolio'!$G$6:$G$9*(1+('Retiros del portafolio'!$E$6:$E$9="CRC")*N($F$8)+('Retiros del portafolio'!$E$6:$E$9&lt;&gt;"CRC")*$F$9)^(D40-1))</f>
        <v>0</v>
      </c>
      <c r="Y40" s="15" t="n">
        <f aca="false">W40+X40</f>
        <v>8796.43556852996</v>
      </c>
      <c r="Z40" s="15" t="n">
        <f aca="false">V40+Y40</f>
        <v>124355.444606625</v>
      </c>
      <c r="AA40" s="15" t="n">
        <f aca="false">Q40-Z40</f>
        <v>749.416812468247</v>
      </c>
      <c r="AB40" s="8" t="n">
        <f aca="false">SUMPRODUCT((Desinversiones!$H$6:$H$10=B40)*(Desinversiones!$I$6:$I$10=1)*Desinversiones!$G$6:$G$10*(1+(Desinversiones!$E$6:$E$10="CRC")*N($F$8)+(Desinversiones!$E$6:$E$10&lt;&gt;"CRC")*$F$9)^(D40-1))</f>
        <v>0</v>
      </c>
      <c r="AC40" s="8" t="n">
        <f aca="false">SUMPRODUCT((Desinversiones!$H$6:$H$10=B40)*(Desinversiones!$I$6:$I$10=2)*Desinversiones!$G$6:$G$10*(1+(Desinversiones!$E$6:$E$10="CRC")*N($F$8)+(Desinversiones!$E$6:$E$10&lt;&gt;"CRC")*$F$9)^(D40-1))</f>
        <v>0</v>
      </c>
      <c r="AD40" s="8" t="n">
        <f aca="false">SUMPRODUCT((Desinversiones!$H$6:$H$10=B40)*(Desinversiones!$I$6:$I$10=3)*Desinversiones!$G$6:$G$10*(1+(Desinversiones!$E$6:$E$10="CRC")*N($F$8)+(Desinversiones!$E$6:$E$10&lt;&gt;"CRC")*$F$9)^(D40-1))</f>
        <v>0</v>
      </c>
      <c r="AE40" s="15" t="n">
        <f aca="false">SUM(AB40:AD40)</f>
        <v>0</v>
      </c>
      <c r="AF40" s="15" t="n">
        <f aca="false">AE40</f>
        <v>0</v>
      </c>
      <c r="AG40" s="8" t="n">
        <f aca="false">AJ39</f>
        <v>853025.829045259</v>
      </c>
      <c r="AH40" s="8" t="n">
        <f aca="false">AG40*$F$13</f>
        <v>49963.8553717534</v>
      </c>
      <c r="AI40" s="15" t="n">
        <f aca="false">AA40+AF40</f>
        <v>749.416812468247</v>
      </c>
      <c r="AJ40" s="15" t="n">
        <f aca="false">AG40+AH40+AI40+AM40</f>
        <v>903739.101229481</v>
      </c>
      <c r="AK40" s="8" t="n">
        <f aca="false">AJ40/(1+$F$9)^(D40-1+$F$24/12)</f>
        <v>610567.537948916</v>
      </c>
      <c r="AL40" s="9" t="n">
        <f aca="false">IF(AG40&lt;=0,0,MAX(0,-AI40)/AG40)</f>
        <v>0</v>
      </c>
      <c r="AM40" s="8" t="n">
        <f aca="false">MAX(0,-(AG40+AH40+AI40))</f>
        <v>0</v>
      </c>
    </row>
    <row r="41" customFormat="false" ht="13.8" hidden="false" customHeight="false" outlineLevel="0" collapsed="false">
      <c r="B41" s="13" t="n">
        <f aca="false">B40+1</f>
        <v>2037</v>
      </c>
      <c r="C41" s="13" t="n">
        <f aca="false">C40+1</f>
        <v>57</v>
      </c>
      <c r="D41" s="13" t="n">
        <f aca="false">D40+1</f>
        <v>12</v>
      </c>
      <c r="E41" s="4" t="str">
        <f aca="false">IF(D41&lt;=$F$19,"Acumulación","Retiro")</f>
        <v>Acumulación</v>
      </c>
      <c r="F41" s="8" t="n">
        <f aca="false">IF(D41&lt;=$P$7,$N$7*12*(1+IF($M$7="CRC",N($F$8),$F$9))^(D41-1),0)</f>
        <v>109673.958668432</v>
      </c>
      <c r="G41" s="8" t="n">
        <f aca="false">IF(D41&lt;=$P$8,$N$8*12*(1+IF($M$8="CRC",N($F$8),$F$9))^(D41-1),0)</f>
        <v>0</v>
      </c>
      <c r="H41" s="8" t="n">
        <f aca="false">IF(AND($N$9&gt;0,D41&gt;=$O$9,D41&lt;=$P$9),$N$9*12*(1+IF($M$9="CRC",N($F$8),$F$9))^(D41-1),0)</f>
        <v>20309.9923460058</v>
      </c>
      <c r="I41" s="8" t="n">
        <f aca="false">SUMPRODUCT((Ingresos!$H$14:$H$17&gt;=B41)*Ingresos!$G$14:$G$17*(1+(Ingresos!$E$14:$E$17="CRC")*N($F$8)+(Ingresos!$E$14:$E$17&lt;&gt;"CRC")*$F$9)^(D41-1))*12</f>
        <v>0</v>
      </c>
      <c r="J41" s="8" t="n">
        <f aca="false">IF(AND($N$10&gt;0,D41&gt;=N($O$10)),$N$10*12*(1+IF($M$10="CRC",N($F$8),$F$9))^(N($O$10)-1)*(1+N($F$10))^(D41-N($O$10))*IF(D41=N($O$10),IF(AND(ISNUMBER($F$21),N($F$20)&gt;=$C$30),(12-$F$21)/12,1),1),0)</f>
        <v>0</v>
      </c>
      <c r="K41" s="8" t="n">
        <f aca="false">Pensiones!T30</f>
        <v>0</v>
      </c>
      <c r="L41" s="8" t="n">
        <f aca="false">Pensiones!U30</f>
        <v>0</v>
      </c>
      <c r="M41" s="15" t="n">
        <f aca="false">SUM(F41:L41)</f>
        <v>129983.951014437</v>
      </c>
      <c r="N41" s="8" t="n">
        <f aca="false">SUMPRODUCT((Ingresos!$H$22:$H$26=B41)*Ingresos!$G$22:$G$26*(1+(Ingresos!$E$22:$E$26="CRC")*N($F$8)+(Ingresos!$E$22:$E$26&lt;&gt;"CRC")*$F$9)^(D41-1))</f>
        <v>0</v>
      </c>
      <c r="O41" s="8" t="n">
        <f aca="false">Pensiones!S30</f>
        <v>0</v>
      </c>
      <c r="P41" s="15" t="n">
        <f aca="false">SUM(N41:O41)</f>
        <v>0</v>
      </c>
      <c r="Q41" s="15" t="n">
        <f aca="false">M41+P41</f>
        <v>129983.951014437</v>
      </c>
      <c r="R41" s="8" t="n">
        <f aca="false">$W$7*12*(N($F$22)*(1+$F$9)^(D41-1)+(1-N($F$22))*(1+N($F$8))^(D41-1))*IF(D41&gt;$F$19,$F$18,1)</f>
        <v>100534.462112729</v>
      </c>
      <c r="S41" s="8" t="n">
        <f aca="false">SUMPRODUCT((Gastos!$H$14:$H$17&lt;=B41)*(Gastos!$H$14:$H$17+Gastos!$I$14:$I$17&gt;B41)*Gastos!$G$14:$G$17*(1+(Gastos!$E$14:$E$17="CRC")*N($F$8)+(Gastos!$E$14:$E$17&lt;&gt;"CRC")*$F$9)^(D41-1))</f>
        <v>0</v>
      </c>
      <c r="T41" s="8" t="n">
        <f aca="false">$W$10*(1+IF($V$10="CRC",N($F$8),$F$9))^(D41-1)</f>
        <v>4569.74827785131</v>
      </c>
      <c r="U41" s="8" t="n">
        <f aca="false">(IF(D41&lt;=$X$11,$W$11*12,0)+IF(Gastos!$G$28="Sí",0,SUMPRODUCT((Gastos!$H$22:$H$26&gt;=B41)*Gastos!$G$22:$G$26)*12)+SUMPRODUCT((Gastos!$H$43:$H$45&lt;=B41)*(Gastos!$H$43:$H$45+Gastos!$I$43:$I$45-1&gt;=B41)*Gastos!$K$43:$K$45))</f>
        <v>14400</v>
      </c>
      <c r="V41" s="15" t="n">
        <f aca="false">SUM(R41:U41)</f>
        <v>119504.21039058</v>
      </c>
      <c r="W41" s="8" t="n">
        <f aca="false">SUMPRODUCT((Gastos!$I$33:$I$37=1)*(Gastos!$H$33:$H$37=B41)*Gastos!$G$33:$G$37*(1+(Gastos!$E$33:$E$37="CRC")*N($F$8)+(Gastos!$E$33:$E$37&lt;&gt;"CRC")*$F$9)^(D41-1))+SUMPRODUCT((Gastos!$I$33:$I$37=2)*(Gastos!$H$33:$H$37&lt;=B41)*Gastos!$G$33:$G$37*(1+(Gastos!$E$33:$E$37="CRC")*N($F$8)+(Gastos!$E$33:$E$37&lt;&gt;"CRC")*$F$9)^(D41-1))+SUMPRODUCT(('Retiros del portafolio'!$H$15:$H$18=B41)*'Retiros del portafolio'!$G$15:$G$18*(1+('Retiros del portafolio'!$E$15:$E$18="CRC")*N($F$8)+('Retiros del portafolio'!$E$15:$E$18&lt;&gt;"CRC")*$F$9)^(D41-1))</f>
        <v>9139.49655570263</v>
      </c>
      <c r="X41" s="8" t="n">
        <f aca="false">SUMPRODUCT(('Retiros del portafolio'!$H$6:$H$9=B41)*'Retiros del portafolio'!$G$6:$G$9*(1+('Retiros del portafolio'!$E$6:$E$9="CRC")*N($F$8)+('Retiros del portafolio'!$E$6:$E$9&lt;&gt;"CRC")*$F$9)^(D41-1))</f>
        <v>0</v>
      </c>
      <c r="Y41" s="15" t="n">
        <f aca="false">W41+X41</f>
        <v>9139.49655570263</v>
      </c>
      <c r="Z41" s="15" t="n">
        <f aca="false">V41+Y41</f>
        <v>128643.706946283</v>
      </c>
      <c r="AA41" s="15" t="n">
        <f aca="false">Q41-Z41</f>
        <v>1340.24406815454</v>
      </c>
      <c r="AB41" s="8" t="n">
        <f aca="false">SUMPRODUCT((Desinversiones!$H$6:$H$10=B41)*(Desinversiones!$I$6:$I$10=1)*Desinversiones!$G$6:$G$10*(1+(Desinversiones!$E$6:$E$10="CRC")*N($F$8)+(Desinversiones!$E$6:$E$10&lt;&gt;"CRC")*$F$9)^(D41-1))</f>
        <v>0</v>
      </c>
      <c r="AC41" s="8" t="n">
        <f aca="false">SUMPRODUCT((Desinversiones!$H$6:$H$10=B41)*(Desinversiones!$I$6:$I$10=2)*Desinversiones!$G$6:$G$10*(1+(Desinversiones!$E$6:$E$10="CRC")*N($F$8)+(Desinversiones!$E$6:$E$10&lt;&gt;"CRC")*$F$9)^(D41-1))</f>
        <v>0</v>
      </c>
      <c r="AD41" s="8" t="n">
        <f aca="false">SUMPRODUCT((Desinversiones!$H$6:$H$10=B41)*(Desinversiones!$I$6:$I$10=3)*Desinversiones!$G$6:$G$10*(1+(Desinversiones!$E$6:$E$10="CRC")*N($F$8)+(Desinversiones!$E$6:$E$10&lt;&gt;"CRC")*$F$9)^(D41-1))</f>
        <v>0</v>
      </c>
      <c r="AE41" s="15" t="n">
        <f aca="false">SUM(AB41:AD41)</f>
        <v>0</v>
      </c>
      <c r="AF41" s="15" t="n">
        <f aca="false">AE41</f>
        <v>0</v>
      </c>
      <c r="AG41" s="8" t="n">
        <f aca="false">AJ40</f>
        <v>903739.101229481</v>
      </c>
      <c r="AH41" s="8" t="n">
        <f aca="false">AG41*$F$13</f>
        <v>52934.2585067638</v>
      </c>
      <c r="AI41" s="15" t="n">
        <f aca="false">AA41+AF41</f>
        <v>1340.24406815454</v>
      </c>
      <c r="AJ41" s="15" t="n">
        <f aca="false">AG41+AH41+AI41+AM41</f>
        <v>958013.603804399</v>
      </c>
      <c r="AK41" s="8" t="n">
        <f aca="false">AJ41/(1+$F$9)^(D41-1+$F$24/12)</f>
        <v>622940.785404996</v>
      </c>
      <c r="AL41" s="9" t="n">
        <f aca="false">IF(AG41&lt;=0,0,MAX(0,-AI41)/AG41)</f>
        <v>0</v>
      </c>
      <c r="AM41" s="8" t="n">
        <f aca="false">MAX(0,-(AG41+AH41+AI41))</f>
        <v>0</v>
      </c>
    </row>
    <row r="42" customFormat="false" ht="13.8" hidden="false" customHeight="false" outlineLevel="0" collapsed="false">
      <c r="B42" s="13" t="n">
        <f aca="false">B41+1</f>
        <v>2038</v>
      </c>
      <c r="C42" s="13" t="n">
        <f aca="false">C41+1</f>
        <v>58</v>
      </c>
      <c r="D42" s="13" t="n">
        <f aca="false">D41+1</f>
        <v>13</v>
      </c>
      <c r="E42" s="4" t="str">
        <f aca="false">IF(D42&lt;=$F$19,"Acumulación","Retiro")</f>
        <v>Acumulación</v>
      </c>
      <c r="F42" s="8" t="n">
        <f aca="false">IF(D42&lt;=$P$7,$N$7*12*(1+IF($M$7="CRC",N($F$8),$F$9))^(D42-1),0)</f>
        <v>113951.2430565</v>
      </c>
      <c r="G42" s="8" t="n">
        <f aca="false">IF(D42&lt;=$P$8,$N$8*12*(1+IF($M$8="CRC",N($F$8),$F$9))^(D42-1),0)</f>
        <v>0</v>
      </c>
      <c r="H42" s="8" t="n">
        <f aca="false">IF(AND($N$9&gt;0,D42&gt;=$O$9,D42&lt;=$P$9),$N$9*12*(1+IF($M$9="CRC",N($F$8),$F$9))^(D42-1),0)</f>
        <v>21102.0820475001</v>
      </c>
      <c r="I42" s="8" t="n">
        <f aca="false">SUMPRODUCT((Ingresos!$H$14:$H$17&gt;=B42)*Ingresos!$G$14:$G$17*(1+(Ingresos!$E$14:$E$17="CRC")*N($F$8)+(Ingresos!$E$14:$E$17&lt;&gt;"CRC")*$F$9)^(D42-1))*12</f>
        <v>0</v>
      </c>
      <c r="J42" s="8" t="n">
        <f aca="false">IF(AND($N$10&gt;0,D42&gt;=N($O$10)),$N$10*12*(1+IF($M$10="CRC",N($F$8),$F$9))^(N($O$10)-1)*(1+N($F$10))^(D42-N($O$10))*IF(D42=N($O$10),IF(AND(ISNUMBER($F$21),N($F$20)&gt;=$C$30),(12-$F$21)/12,1),1),0)</f>
        <v>0</v>
      </c>
      <c r="K42" s="8" t="n">
        <f aca="false">Pensiones!T31</f>
        <v>0</v>
      </c>
      <c r="L42" s="8" t="n">
        <f aca="false">Pensiones!U31</f>
        <v>0</v>
      </c>
      <c r="M42" s="15" t="n">
        <f aca="false">SUM(F42:L42)</f>
        <v>135053.325104</v>
      </c>
      <c r="N42" s="8" t="n">
        <f aca="false">SUMPRODUCT((Ingresos!$H$22:$H$26=B42)*Ingresos!$G$22:$G$26*(1+(Ingresos!$E$22:$E$26="CRC")*N($F$8)+(Ingresos!$E$22:$E$26&lt;&gt;"CRC")*$F$9)^(D42-1))</f>
        <v>0</v>
      </c>
      <c r="O42" s="8" t="n">
        <f aca="false">Pensiones!S31</f>
        <v>0</v>
      </c>
      <c r="P42" s="15" t="n">
        <f aca="false">SUM(N42:O42)</f>
        <v>0</v>
      </c>
      <c r="Q42" s="15" t="n">
        <f aca="false">M42+P42</f>
        <v>135053.325104</v>
      </c>
      <c r="R42" s="8" t="n">
        <f aca="false">$W$7*12*(N($F$22)*(1+$F$9)^(D42-1)+(1-N($F$22))*(1+N($F$8))^(D42-1))*IF(D42&gt;$F$19,$F$18,1)</f>
        <v>104455.306135125</v>
      </c>
      <c r="S42" s="8" t="n">
        <f aca="false">SUMPRODUCT((Gastos!$H$14:$H$17&lt;=B42)*(Gastos!$H$14:$H$17+Gastos!$I$14:$I$17&gt;B42)*Gastos!$G$14:$G$17*(1+(Gastos!$E$14:$E$17="CRC")*N($F$8)+(Gastos!$E$14:$E$17&lt;&gt;"CRC")*$F$9)^(D42-1))</f>
        <v>0</v>
      </c>
      <c r="T42" s="8" t="n">
        <f aca="false">$W$10*(1+IF($V$10="CRC",N($F$8),$F$9))^(D42-1)</f>
        <v>4747.96846068752</v>
      </c>
      <c r="U42" s="8" t="n">
        <f aca="false">(IF(D42&lt;=$X$11,$W$11*12,0)+IF(Gastos!$G$28="Sí",0,SUMPRODUCT((Gastos!$H$22:$H$26&gt;=B42)*Gastos!$G$22:$G$26)*12)+SUMPRODUCT((Gastos!$H$43:$H$45&lt;=B42)*(Gastos!$H$43:$H$45+Gastos!$I$43:$I$45-1&gt;=B42)*Gastos!$K$43:$K$45))</f>
        <v>14400</v>
      </c>
      <c r="V42" s="15" t="n">
        <f aca="false">SUM(R42:U42)</f>
        <v>123603.274595813</v>
      </c>
      <c r="W42" s="8" t="n">
        <f aca="false">SUMPRODUCT((Gastos!$I$33:$I$37=1)*(Gastos!$H$33:$H$37=B42)*Gastos!$G$33:$G$37*(1+(Gastos!$E$33:$E$37="CRC")*N($F$8)+(Gastos!$E$33:$E$37&lt;&gt;"CRC")*$F$9)^(D42-1))+SUMPRODUCT((Gastos!$I$33:$I$37=2)*(Gastos!$H$33:$H$37&lt;=B42)*Gastos!$G$33:$G$37*(1+(Gastos!$E$33:$E$37="CRC")*N($F$8)+(Gastos!$E$33:$E$37&lt;&gt;"CRC")*$F$9)^(D42-1))+SUMPRODUCT(('Retiros del portafolio'!$H$15:$H$18=B42)*'Retiros del portafolio'!$G$15:$G$18*(1+('Retiros del portafolio'!$E$15:$E$18="CRC")*N($F$8)+('Retiros del portafolio'!$E$15:$E$18&lt;&gt;"CRC")*$F$9)^(D42-1))</f>
        <v>9495.93692137503</v>
      </c>
      <c r="X42" s="8" t="n">
        <f aca="false">SUMPRODUCT(('Retiros del portafolio'!$H$6:$H$9=B42)*'Retiros del portafolio'!$G$6:$G$9*(1+('Retiros del portafolio'!$E$6:$E$9="CRC")*N($F$8)+('Retiros del portafolio'!$E$6:$E$9&lt;&gt;"CRC")*$F$9)^(D42-1))</f>
        <v>0</v>
      </c>
      <c r="Y42" s="15" t="n">
        <f aca="false">W42+X42</f>
        <v>9495.93692137503</v>
      </c>
      <c r="Z42" s="15" t="n">
        <f aca="false">V42+Y42</f>
        <v>133099.211517188</v>
      </c>
      <c r="AA42" s="15" t="n">
        <f aca="false">Q42-Z42</f>
        <v>1954.11358681257</v>
      </c>
      <c r="AB42" s="8" t="n">
        <f aca="false">SUMPRODUCT((Desinversiones!$H$6:$H$10=B42)*(Desinversiones!$I$6:$I$10=1)*Desinversiones!$G$6:$G$10*(1+(Desinversiones!$E$6:$E$10="CRC")*N($F$8)+(Desinversiones!$E$6:$E$10&lt;&gt;"CRC")*$F$9)^(D42-1))</f>
        <v>0</v>
      </c>
      <c r="AC42" s="8" t="n">
        <f aca="false">SUMPRODUCT((Desinversiones!$H$6:$H$10=B42)*(Desinversiones!$I$6:$I$10=2)*Desinversiones!$G$6:$G$10*(1+(Desinversiones!$E$6:$E$10="CRC")*N($F$8)+(Desinversiones!$E$6:$E$10&lt;&gt;"CRC")*$F$9)^(D42-1))</f>
        <v>0</v>
      </c>
      <c r="AD42" s="8" t="n">
        <f aca="false">SUMPRODUCT((Desinversiones!$H$6:$H$10=B42)*(Desinversiones!$I$6:$I$10=3)*Desinversiones!$G$6:$G$10*(1+(Desinversiones!$E$6:$E$10="CRC")*N($F$8)+(Desinversiones!$E$6:$E$10&lt;&gt;"CRC")*$F$9)^(D42-1))</f>
        <v>0</v>
      </c>
      <c r="AE42" s="15" t="n">
        <f aca="false">SUM(AB42:AD42)</f>
        <v>0</v>
      </c>
      <c r="AF42" s="15" t="n">
        <f aca="false">AE42</f>
        <v>0</v>
      </c>
      <c r="AG42" s="8" t="n">
        <f aca="false">AJ41</f>
        <v>958013.603804399</v>
      </c>
      <c r="AH42" s="8" t="n">
        <f aca="false">AG42*$F$13</f>
        <v>56113.2518088332</v>
      </c>
      <c r="AI42" s="15" t="n">
        <f aca="false">AA42+AF42</f>
        <v>1954.11358681257</v>
      </c>
      <c r="AJ42" s="15" t="n">
        <f aca="false">AG42+AH42+AI42+AM42</f>
        <v>1016080.96920004</v>
      </c>
      <c r="AK42" s="8" t="n">
        <f aca="false">AJ42/(1+$F$9)^(D42-1+$F$24/12)</f>
        <v>635898.586618332</v>
      </c>
      <c r="AL42" s="9" t="n">
        <f aca="false">IF(AG42&lt;=0,0,MAX(0,-AI42)/AG42)</f>
        <v>0</v>
      </c>
      <c r="AM42" s="8" t="n">
        <f aca="false">MAX(0,-(AG42+AH42+AI42))</f>
        <v>0</v>
      </c>
    </row>
    <row r="43" customFormat="false" ht="13.8" hidden="false" customHeight="false" outlineLevel="0" collapsed="false">
      <c r="B43" s="13" t="n">
        <f aca="false">B42+1</f>
        <v>2039</v>
      </c>
      <c r="C43" s="13" t="n">
        <f aca="false">C42+1</f>
        <v>59</v>
      </c>
      <c r="D43" s="13" t="n">
        <f aca="false">D42+1</f>
        <v>14</v>
      </c>
      <c r="E43" s="4" t="str">
        <f aca="false">IF(D43&lt;=$F$19,"Acumulación","Retiro")</f>
        <v>Acumulación</v>
      </c>
      <c r="F43" s="8" t="n">
        <f aca="false">IF(D43&lt;=$P$7,$N$7*12*(1+IF($M$7="CRC",N($F$8),$F$9))^(D43-1),0)</f>
        <v>118395.341535704</v>
      </c>
      <c r="G43" s="8" t="n">
        <f aca="false">IF(D43&lt;=$P$8,$N$8*12*(1+IF($M$8="CRC",N($F$8),$F$9))^(D43-1),0)</f>
        <v>0</v>
      </c>
      <c r="H43" s="8" t="n">
        <f aca="false">IF(AND($N$9&gt;0,D43&gt;=$O$9,D43&lt;=$P$9),$N$9*12*(1+IF($M$9="CRC",N($F$8),$F$9))^(D43-1),0)</f>
        <v>21925.0632473526</v>
      </c>
      <c r="I43" s="8" t="n">
        <f aca="false">SUMPRODUCT((Ingresos!$H$14:$H$17&gt;=B43)*Ingresos!$G$14:$G$17*(1+(Ingresos!$E$14:$E$17="CRC")*N($F$8)+(Ingresos!$E$14:$E$17&lt;&gt;"CRC")*$F$9)^(D43-1))*12</f>
        <v>0</v>
      </c>
      <c r="J43" s="8" t="n">
        <f aca="false">IF(AND($N$10&gt;0,D43&gt;=N($O$10)),$N$10*12*(1+IF($M$10="CRC",N($F$8),$F$9))^(N($O$10)-1)*(1+N($F$10))^(D43-N($O$10))*IF(D43=N($O$10),IF(AND(ISNUMBER($F$21),N($F$20)&gt;=$C$30),(12-$F$21)/12,1),1),0)</f>
        <v>0</v>
      </c>
      <c r="K43" s="8" t="n">
        <f aca="false">Pensiones!T32</f>
        <v>0</v>
      </c>
      <c r="L43" s="8" t="n">
        <f aca="false">Pensiones!U32</f>
        <v>0</v>
      </c>
      <c r="M43" s="15" t="n">
        <f aca="false">SUM(F43:L43)</f>
        <v>140320.404783056</v>
      </c>
      <c r="N43" s="8" t="n">
        <f aca="false">SUMPRODUCT((Ingresos!$H$22:$H$26=B43)*Ingresos!$G$22:$G$26*(1+(Ingresos!$E$22:$E$26="CRC")*N($F$8)+(Ingresos!$E$22:$E$26&lt;&gt;"CRC")*$F$9)^(D43-1))</f>
        <v>0</v>
      </c>
      <c r="O43" s="8" t="n">
        <f aca="false">Pensiones!S32</f>
        <v>0</v>
      </c>
      <c r="P43" s="15" t="n">
        <f aca="false">SUM(N43:O43)</f>
        <v>0</v>
      </c>
      <c r="Q43" s="15" t="n">
        <f aca="false">M43+P43</f>
        <v>140320.404783056</v>
      </c>
      <c r="R43" s="8" t="n">
        <f aca="false">$W$7*12*(N($F$22)*(1+$F$9)^(D43-1)+(1-N($F$22))*(1+N($F$8))^(D43-1))*IF(D43&gt;$F$19,$F$18,1)</f>
        <v>108529.063074395</v>
      </c>
      <c r="S43" s="8" t="n">
        <f aca="false">SUMPRODUCT((Gastos!$H$14:$H$17&lt;=B43)*(Gastos!$H$14:$H$17+Gastos!$I$14:$I$17&gt;B43)*Gastos!$G$14:$G$17*(1+(Gastos!$E$14:$E$17="CRC")*N($F$8)+(Gastos!$E$14:$E$17&lt;&gt;"CRC")*$F$9)^(D43-1))</f>
        <v>0</v>
      </c>
      <c r="T43" s="8" t="n">
        <f aca="false">$W$10*(1+IF($V$10="CRC",N($F$8),$F$9))^(D43-1)</f>
        <v>4933.13923065433</v>
      </c>
      <c r="U43" s="8" t="n">
        <f aca="false">(IF(D43&lt;=$X$11,$W$11*12,0)+IF(Gastos!$G$28="Sí",0,SUMPRODUCT((Gastos!$H$22:$H$26&gt;=B43)*Gastos!$G$22:$G$26)*12)+SUMPRODUCT((Gastos!$H$43:$H$45&lt;=B43)*(Gastos!$H$43:$H$45+Gastos!$I$43:$I$45-1&gt;=B43)*Gastos!$K$43:$K$45))</f>
        <v>14400</v>
      </c>
      <c r="V43" s="15" t="n">
        <f aca="false">SUM(R43:U43)</f>
        <v>127862.20230505</v>
      </c>
      <c r="W43" s="8" t="n">
        <f aca="false">SUMPRODUCT((Gastos!$I$33:$I$37=1)*(Gastos!$H$33:$H$37=B43)*Gastos!$G$33:$G$37*(1+(Gastos!$E$33:$E$37="CRC")*N($F$8)+(Gastos!$E$33:$E$37&lt;&gt;"CRC")*$F$9)^(D43-1))+SUMPRODUCT((Gastos!$I$33:$I$37=2)*(Gastos!$H$33:$H$37&lt;=B43)*Gastos!$G$33:$G$37*(1+(Gastos!$E$33:$E$37="CRC")*N($F$8)+(Gastos!$E$33:$E$37&lt;&gt;"CRC")*$F$9)^(D43-1))+SUMPRODUCT(('Retiros del portafolio'!$H$15:$H$18=B43)*'Retiros del portafolio'!$G$15:$G$18*(1+('Retiros del portafolio'!$E$15:$E$18="CRC")*N($F$8)+('Retiros del portafolio'!$E$15:$E$18&lt;&gt;"CRC")*$F$9)^(D43-1))</f>
        <v>9866.27846130866</v>
      </c>
      <c r="X43" s="8" t="n">
        <f aca="false">SUMPRODUCT(('Retiros del portafolio'!$H$6:$H$9=B43)*'Retiros del portafolio'!$G$6:$G$9*(1+('Retiros del portafolio'!$E$6:$E$9="CRC")*N($F$8)+('Retiros del portafolio'!$E$6:$E$9&lt;&gt;"CRC")*$F$9)^(D43-1))</f>
        <v>0</v>
      </c>
      <c r="Y43" s="15" t="n">
        <f aca="false">W43+X43</f>
        <v>9866.27846130866</v>
      </c>
      <c r="Z43" s="15" t="n">
        <f aca="false">V43+Y43</f>
        <v>137728.480766358</v>
      </c>
      <c r="AA43" s="15" t="n">
        <f aca="false">Q43-Z43</f>
        <v>2591.92401669826</v>
      </c>
      <c r="AB43" s="8" t="n">
        <f aca="false">SUMPRODUCT((Desinversiones!$H$6:$H$10=B43)*(Desinversiones!$I$6:$I$10=1)*Desinversiones!$G$6:$G$10*(1+(Desinversiones!$E$6:$E$10="CRC")*N($F$8)+(Desinversiones!$E$6:$E$10&lt;&gt;"CRC")*$F$9)^(D43-1))</f>
        <v>0</v>
      </c>
      <c r="AC43" s="8" t="n">
        <f aca="false">SUMPRODUCT((Desinversiones!$H$6:$H$10=B43)*(Desinversiones!$I$6:$I$10=2)*Desinversiones!$G$6:$G$10*(1+(Desinversiones!$E$6:$E$10="CRC")*N($F$8)+(Desinversiones!$E$6:$E$10&lt;&gt;"CRC")*$F$9)^(D43-1))</f>
        <v>0</v>
      </c>
      <c r="AD43" s="8" t="n">
        <f aca="false">SUMPRODUCT((Desinversiones!$H$6:$H$10=B43)*(Desinversiones!$I$6:$I$10=3)*Desinversiones!$G$6:$G$10*(1+(Desinversiones!$E$6:$E$10="CRC")*N($F$8)+(Desinversiones!$E$6:$E$10&lt;&gt;"CRC")*$F$9)^(D43-1))</f>
        <v>0</v>
      </c>
      <c r="AE43" s="15" t="n">
        <f aca="false">SUM(AB43:AD43)</f>
        <v>0</v>
      </c>
      <c r="AF43" s="15" t="n">
        <f aca="false">AE43</f>
        <v>0</v>
      </c>
      <c r="AG43" s="8" t="n">
        <f aca="false">AJ42</f>
        <v>1016080.96920004</v>
      </c>
      <c r="AH43" s="8" t="n">
        <f aca="false">AG43*$F$13</f>
        <v>59514.4025684696</v>
      </c>
      <c r="AI43" s="15" t="n">
        <f aca="false">AA43+AF43</f>
        <v>2591.92401669826</v>
      </c>
      <c r="AJ43" s="15" t="n">
        <f aca="false">AG43+AH43+AI43+AM43</f>
        <v>1078187.29578521</v>
      </c>
      <c r="AK43" s="8" t="n">
        <f aca="false">AJ43/(1+$F$9)^(D43-1+$F$24/12)</f>
        <v>649438.760549019</v>
      </c>
      <c r="AL43" s="9" t="n">
        <f aca="false">IF(AG43&lt;=0,0,MAX(0,-AI43)/AG43)</f>
        <v>0</v>
      </c>
      <c r="AM43" s="8" t="n">
        <f aca="false">MAX(0,-(AG43+AH43+AI43))</f>
        <v>0</v>
      </c>
    </row>
    <row r="44" customFormat="false" ht="13.8" hidden="false" customHeight="false" outlineLevel="0" collapsed="false">
      <c r="B44" s="13" t="n">
        <f aca="false">B43+1</f>
        <v>2040</v>
      </c>
      <c r="C44" s="13" t="n">
        <f aca="false">C43+1</f>
        <v>60</v>
      </c>
      <c r="D44" s="13" t="n">
        <f aca="false">D43+1</f>
        <v>15</v>
      </c>
      <c r="E44" s="4" t="str">
        <f aca="false">IF(D44&lt;=$F$19,"Acumulación","Retiro")</f>
        <v>Retiro</v>
      </c>
      <c r="F44" s="8" t="n">
        <f aca="false">IF(D44&lt;=$P$7,$N$7*12*(1+IF($M$7="CRC",N($F$8),$F$9))^(D44-1),0)</f>
        <v>0</v>
      </c>
      <c r="G44" s="8" t="n">
        <f aca="false">IF(D44&lt;=$P$8,$N$8*12*(1+IF($M$8="CRC",N($F$8),$F$9))^(D44-1),0)</f>
        <v>0</v>
      </c>
      <c r="H44" s="8" t="n">
        <f aca="false">IF(AND($N$9&gt;0,D44&gt;=$O$9,D44&lt;=$P$9),$N$9*12*(1+IF($M$9="CRC",N($F$8),$F$9))^(D44-1),0)</f>
        <v>22780.1407139993</v>
      </c>
      <c r="I44" s="8" t="n">
        <f aca="false">SUMPRODUCT((Ingresos!$H$14:$H$17&gt;=B44)*Ingresos!$G$14:$G$17*(1+(Ingresos!$E$14:$E$17="CRC")*N($F$8)+(Ingresos!$E$14:$E$17&lt;&gt;"CRC")*$F$9)^(D44-1))*12</f>
        <v>0</v>
      </c>
      <c r="J44" s="8" t="n">
        <f aca="false">IF(AND($N$10&gt;0,D44&gt;=N($O$10)),$N$10*12*(1+IF($M$10="CRC",N($F$8),$F$9))^(N($O$10)-1)*(1+N($F$10))^(D44-N($O$10))*IF(D44=N($O$10),IF(AND(ISNUMBER($F$21),N($F$20)&gt;=$C$30),(12-$F$21)/12,1),1),0)</f>
        <v>0</v>
      </c>
      <c r="K44" s="8" t="n">
        <f aca="false">Pensiones!T33</f>
        <v>0</v>
      </c>
      <c r="L44" s="8" t="n">
        <f aca="false">Pensiones!U33</f>
        <v>0</v>
      </c>
      <c r="M44" s="15" t="n">
        <f aca="false">SUM(F44:L44)</f>
        <v>22780.1407139993</v>
      </c>
      <c r="N44" s="8" t="n">
        <f aca="false">SUMPRODUCT((Ingresos!$H$22:$H$26=B44)*Ingresos!$G$22:$G$26*(1+(Ingresos!$E$22:$E$26="CRC")*N($F$8)+(Ingresos!$E$22:$E$26&lt;&gt;"CRC")*$F$9)^(D44-1))</f>
        <v>0</v>
      </c>
      <c r="O44" s="8" t="n">
        <f aca="false">Pensiones!S33</f>
        <v>89477.133286053</v>
      </c>
      <c r="P44" s="15" t="n">
        <f aca="false">SUM(N44:O44)</f>
        <v>89477.133286053</v>
      </c>
      <c r="Q44" s="15" t="n">
        <f aca="false">M44+P44</f>
        <v>112257.274000052</v>
      </c>
      <c r="R44" s="8" t="n">
        <f aca="false">$W$7*12*(N($F$22)*(1+$F$9)^(D44-1)+(1-N($F$22))*(1+N($F$8))^(D44-1))*IF(D44&gt;$F$19,$F$18,1)</f>
        <v>112761.696534297</v>
      </c>
      <c r="S44" s="8" t="n">
        <f aca="false">SUMPRODUCT((Gastos!$H$14:$H$17&lt;=B44)*(Gastos!$H$14:$H$17+Gastos!$I$14:$I$17&gt;B44)*Gastos!$G$14:$G$17*(1+(Gastos!$E$14:$E$17="CRC")*N($F$8)+(Gastos!$E$14:$E$17&lt;&gt;"CRC")*$F$9)^(D44-1))</f>
        <v>0</v>
      </c>
      <c r="T44" s="8" t="n">
        <f aca="false">$W$10*(1+IF($V$10="CRC",N($F$8),$F$9))^(D44-1)</f>
        <v>5125.53166064985</v>
      </c>
      <c r="U44" s="8" t="n">
        <f aca="false">(IF(D44&lt;=$X$11,$W$11*12,0)+IF(Gastos!$G$28="Sí",0,SUMPRODUCT((Gastos!$H$22:$H$26&gt;=B44)*Gastos!$G$22:$G$26)*12)+SUMPRODUCT((Gastos!$H$43:$H$45&lt;=B44)*(Gastos!$H$43:$H$45+Gastos!$I$43:$I$45-1&gt;=B44)*Gastos!$K$43:$K$45))</f>
        <v>14400</v>
      </c>
      <c r="V44" s="15" t="n">
        <f aca="false">SUM(R44:U44)</f>
        <v>132287.228194946</v>
      </c>
      <c r="W44" s="8" t="n">
        <f aca="false">SUMPRODUCT((Gastos!$I$33:$I$37=1)*(Gastos!$H$33:$H$37=B44)*Gastos!$G$33:$G$37*(1+(Gastos!$E$33:$E$37="CRC")*N($F$8)+(Gastos!$E$33:$E$37&lt;&gt;"CRC")*$F$9)^(D44-1))+SUMPRODUCT((Gastos!$I$33:$I$37=2)*(Gastos!$H$33:$H$37&lt;=B44)*Gastos!$G$33:$G$37*(1+(Gastos!$E$33:$E$37="CRC")*N($F$8)+(Gastos!$E$33:$E$37&lt;&gt;"CRC")*$F$9)^(D44-1))+SUMPRODUCT(('Retiros del portafolio'!$H$15:$H$18=B44)*'Retiros del portafolio'!$G$15:$G$18*(1+('Retiros del portafolio'!$E$15:$E$18="CRC")*N($F$8)+('Retiros del portafolio'!$E$15:$E$18&lt;&gt;"CRC")*$F$9)^(D44-1))</f>
        <v>10251.0633212997</v>
      </c>
      <c r="X44" s="8" t="n">
        <f aca="false">SUMPRODUCT(('Retiros del portafolio'!$H$6:$H$9=B44)*'Retiros del portafolio'!$G$6:$G$9*(1+('Retiros del portafolio'!$E$6:$E$9="CRC")*N($F$8)+('Retiros del portafolio'!$E$6:$E$9&lt;&gt;"CRC")*$F$9)^(D44-1))</f>
        <v>0</v>
      </c>
      <c r="Y44" s="15" t="n">
        <f aca="false">W44+X44</f>
        <v>10251.0633212997</v>
      </c>
      <c r="Z44" s="15" t="n">
        <f aca="false">V44+Y44</f>
        <v>142538.291516246</v>
      </c>
      <c r="AA44" s="15" t="n">
        <f aca="false">Q44-Z44</f>
        <v>-30281.0175161938</v>
      </c>
      <c r="AB44" s="8" t="n">
        <f aca="false">SUMPRODUCT((Desinversiones!$H$6:$H$10=B44)*(Desinversiones!$I$6:$I$10=1)*Desinversiones!$G$6:$G$10*(1+(Desinversiones!$E$6:$E$10="CRC")*N($F$8)+(Desinversiones!$E$6:$E$10&lt;&gt;"CRC")*$F$9)^(D44-1))</f>
        <v>0</v>
      </c>
      <c r="AC44" s="8" t="n">
        <f aca="false">SUMPRODUCT((Desinversiones!$H$6:$H$10=B44)*(Desinversiones!$I$6:$I$10=2)*Desinversiones!$G$6:$G$10*(1+(Desinversiones!$E$6:$E$10="CRC")*N($F$8)+(Desinversiones!$E$6:$E$10&lt;&gt;"CRC")*$F$9)^(D44-1))</f>
        <v>0</v>
      </c>
      <c r="AD44" s="8" t="n">
        <f aca="false">SUMPRODUCT((Desinversiones!$H$6:$H$10=B44)*(Desinversiones!$I$6:$I$10=3)*Desinversiones!$G$6:$G$10*(1+(Desinversiones!$E$6:$E$10="CRC")*N($F$8)+(Desinversiones!$E$6:$E$10&lt;&gt;"CRC")*$F$9)^(D44-1))</f>
        <v>0</v>
      </c>
      <c r="AE44" s="15" t="n">
        <f aca="false">SUM(AB44:AD44)</f>
        <v>0</v>
      </c>
      <c r="AF44" s="15" t="n">
        <f aca="false">AE44</f>
        <v>0</v>
      </c>
      <c r="AG44" s="8" t="n">
        <f aca="false">AJ43</f>
        <v>1078187.29578521</v>
      </c>
      <c r="AH44" s="8" t="n">
        <f aca="false">AG44*$F$13</f>
        <v>63152.1253823794</v>
      </c>
      <c r="AI44" s="15" t="n">
        <f aca="false">AA44+AF44</f>
        <v>-30281.0175161938</v>
      </c>
      <c r="AJ44" s="15" t="n">
        <f aca="false">AG44+AH44+AI44+AM44</f>
        <v>1111058.4036514</v>
      </c>
      <c r="AK44" s="8" t="n">
        <f aca="false">AJ44/(1+$F$9)^(D44-1+$F$24/12)</f>
        <v>644117.85185226</v>
      </c>
      <c r="AL44" s="9" t="n">
        <f aca="false">IF(AG44&lt;=0,0,MAX(0,-AI44)/AG44)</f>
        <v>0.0280851180815862</v>
      </c>
      <c r="AM44" s="8" t="n">
        <f aca="false">MAX(0,-(AG44+AH44+AI44))</f>
        <v>0</v>
      </c>
    </row>
    <row r="45" customFormat="false" ht="13.8" hidden="false" customHeight="false" outlineLevel="0" collapsed="false">
      <c r="B45" s="13" t="n">
        <f aca="false">B44+1</f>
        <v>2041</v>
      </c>
      <c r="C45" s="13" t="n">
        <f aca="false">C44+1</f>
        <v>61</v>
      </c>
      <c r="D45" s="13" t="n">
        <f aca="false">D44+1</f>
        <v>16</v>
      </c>
      <c r="E45" s="4" t="str">
        <f aca="false">IF(D45&lt;=$F$19,"Acumulación","Retiro")</f>
        <v>Retiro</v>
      </c>
      <c r="F45" s="8" t="n">
        <f aca="false">IF(D45&lt;=$P$7,$N$7*12*(1+IF($M$7="CRC",N($F$8),$F$9))^(D45-1),0)</f>
        <v>0</v>
      </c>
      <c r="G45" s="8" t="n">
        <f aca="false">IF(D45&lt;=$P$8,$N$8*12*(1+IF($M$8="CRC",N($F$8),$F$9))^(D45-1),0)</f>
        <v>0</v>
      </c>
      <c r="H45" s="8" t="n">
        <f aca="false">IF(AND($N$9&gt;0,D45&gt;=$O$9,D45&lt;=$P$9),$N$9*12*(1+IF($M$9="CRC",N($F$8),$F$9))^(D45-1),0)</f>
        <v>23668.5662018453</v>
      </c>
      <c r="I45" s="8" t="n">
        <f aca="false">SUMPRODUCT((Ingresos!$H$14:$H$17&gt;=B45)*Ingresos!$G$14:$G$17*(1+(Ingresos!$E$14:$E$17="CRC")*N($F$8)+(Ingresos!$E$14:$E$17&lt;&gt;"CRC")*$F$9)^(D45-1))*12</f>
        <v>0</v>
      </c>
      <c r="J45" s="8" t="n">
        <f aca="false">IF(AND($N$10&gt;0,D45&gt;=N($O$10)),$N$10*12*(1+IF($M$10="CRC",N($F$8),$F$9))^(N($O$10)-1)*(1+N($F$10))^(D45-N($O$10))*IF(D45=N($O$10),IF(AND(ISNUMBER($F$21),N($F$20)&gt;=$C$30),(12-$F$21)/12,1),1),0)</f>
        <v>0</v>
      </c>
      <c r="K45" s="8" t="n">
        <f aca="false">Pensiones!T34</f>
        <v>0</v>
      </c>
      <c r="L45" s="8" t="n">
        <f aca="false">Pensiones!U34</f>
        <v>0</v>
      </c>
      <c r="M45" s="15" t="n">
        <f aca="false">SUM(F45:L45)</f>
        <v>23668.5662018453</v>
      </c>
      <c r="N45" s="8" t="n">
        <f aca="false">SUMPRODUCT((Ingresos!$H$22:$H$26=B45)*Ingresos!$G$22:$G$26*(1+(Ingresos!$E$22:$E$26="CRC")*N($F$8)+(Ingresos!$E$22:$E$26&lt;&gt;"CRC")*$F$9)^(D45-1))</f>
        <v>0</v>
      </c>
      <c r="O45" s="8" t="n">
        <f aca="false">Pensiones!S34</f>
        <v>0</v>
      </c>
      <c r="P45" s="15" t="n">
        <f aca="false">SUM(N45:O45)</f>
        <v>0</v>
      </c>
      <c r="Q45" s="15" t="n">
        <f aca="false">M45+P45</f>
        <v>23668.5662018453</v>
      </c>
      <c r="R45" s="8" t="n">
        <f aca="false">$W$7*12*(N($F$22)*(1+$F$9)^(D45-1)+(1-N($F$22))*(1+N($F$8))^(D45-1))*IF(D45&gt;$F$19,$F$18,1)</f>
        <v>117159.402699134</v>
      </c>
      <c r="S45" s="8" t="n">
        <f aca="false">SUMPRODUCT((Gastos!$H$14:$H$17&lt;=B45)*(Gastos!$H$14:$H$17+Gastos!$I$14:$I$17&gt;B45)*Gastos!$G$14:$G$17*(1+(Gastos!$E$14:$E$17="CRC")*N($F$8)+(Gastos!$E$14:$E$17&lt;&gt;"CRC")*$F$9)^(D45-1))</f>
        <v>0</v>
      </c>
      <c r="T45" s="8" t="n">
        <f aca="false">$W$10*(1+IF($V$10="CRC",N($F$8),$F$9))^(D45-1)</f>
        <v>5325.42739541519</v>
      </c>
      <c r="U45" s="8" t="n">
        <f aca="false">(IF(D45&lt;=$X$11,$W$11*12,0)+IF(Gastos!$G$28="Sí",0,SUMPRODUCT((Gastos!$H$22:$H$26&gt;=B45)*Gastos!$G$22:$G$26)*12)+SUMPRODUCT((Gastos!$H$43:$H$45&lt;=B45)*(Gastos!$H$43:$H$45+Gastos!$I$43:$I$45-1&gt;=B45)*Gastos!$K$43:$K$45))</f>
        <v>0</v>
      </c>
      <c r="V45" s="15" t="n">
        <f aca="false">SUM(R45:U45)</f>
        <v>122484.830094549</v>
      </c>
      <c r="W45" s="8" t="n">
        <f aca="false">SUMPRODUCT((Gastos!$I$33:$I$37=1)*(Gastos!$H$33:$H$37=B45)*Gastos!$G$33:$G$37*(1+(Gastos!$E$33:$E$37="CRC")*N($F$8)+(Gastos!$E$33:$E$37&lt;&gt;"CRC")*$F$9)^(D45-1))+SUMPRODUCT((Gastos!$I$33:$I$37=2)*(Gastos!$H$33:$H$37&lt;=B45)*Gastos!$G$33:$G$37*(1+(Gastos!$E$33:$E$37="CRC")*N($F$8)+(Gastos!$E$33:$E$37&lt;&gt;"CRC")*$F$9)^(D45-1))+SUMPRODUCT(('Retiros del portafolio'!$H$15:$H$18=B45)*'Retiros del portafolio'!$G$15:$G$18*(1+('Retiros del portafolio'!$E$15:$E$18="CRC")*N($F$8)+('Retiros del portafolio'!$E$15:$E$18&lt;&gt;"CRC")*$F$9)^(D45-1))</f>
        <v>10650.8547908304</v>
      </c>
      <c r="X45" s="8" t="n">
        <f aca="false">SUMPRODUCT(('Retiros del portafolio'!$H$6:$H$9=B45)*'Retiros del portafolio'!$G$6:$G$9*(1+('Retiros del portafolio'!$E$6:$E$9="CRC")*N($F$8)+('Retiros del portafolio'!$E$6:$E$9&lt;&gt;"CRC")*$F$9)^(D45-1))</f>
        <v>0</v>
      </c>
      <c r="Y45" s="15" t="n">
        <f aca="false">W45+X45</f>
        <v>10650.8547908304</v>
      </c>
      <c r="Z45" s="15" t="n">
        <f aca="false">V45+Y45</f>
        <v>133135.68488538</v>
      </c>
      <c r="AA45" s="15" t="n">
        <f aca="false">Q45-Z45</f>
        <v>-109467.118683534</v>
      </c>
      <c r="AB45" s="8" t="n">
        <f aca="false">SUMPRODUCT((Desinversiones!$H$6:$H$10=B45)*(Desinversiones!$I$6:$I$10=1)*Desinversiones!$G$6:$G$10*(1+(Desinversiones!$E$6:$E$10="CRC")*N($F$8)+(Desinversiones!$E$6:$E$10&lt;&gt;"CRC")*$F$9)^(D45-1))</f>
        <v>0</v>
      </c>
      <c r="AC45" s="8" t="n">
        <f aca="false">SUMPRODUCT((Desinversiones!$H$6:$H$10=B45)*(Desinversiones!$I$6:$I$10=2)*Desinversiones!$G$6:$G$10*(1+(Desinversiones!$E$6:$E$10="CRC")*N($F$8)+(Desinversiones!$E$6:$E$10&lt;&gt;"CRC")*$F$9)^(D45-1))</f>
        <v>0</v>
      </c>
      <c r="AD45" s="8" t="n">
        <f aca="false">SUMPRODUCT((Desinversiones!$H$6:$H$10=B45)*(Desinversiones!$I$6:$I$10=3)*Desinversiones!$G$6:$G$10*(1+(Desinversiones!$E$6:$E$10="CRC")*N($F$8)+(Desinversiones!$E$6:$E$10&lt;&gt;"CRC")*$F$9)^(D45-1))</f>
        <v>0</v>
      </c>
      <c r="AE45" s="15" t="n">
        <f aca="false">SUM(AB45:AD45)</f>
        <v>0</v>
      </c>
      <c r="AF45" s="15" t="n">
        <f aca="false">AE45</f>
        <v>0</v>
      </c>
      <c r="AG45" s="8" t="n">
        <f aca="false">AJ44</f>
        <v>1111058.4036514</v>
      </c>
      <c r="AH45" s="8" t="n">
        <f aca="false">AG45*$F$13</f>
        <v>65077.4683478715</v>
      </c>
      <c r="AI45" s="15" t="n">
        <f aca="false">AA45+AF45</f>
        <v>-109467.118683534</v>
      </c>
      <c r="AJ45" s="15" t="n">
        <f aca="false">AG45+AH45+AI45+AM45</f>
        <v>1066668.75331574</v>
      </c>
      <c r="AK45" s="8" t="n">
        <f aca="false">AJ45/(1+$F$9)^(D45-1+$F$24/12)</f>
        <v>595171.974505271</v>
      </c>
      <c r="AL45" s="9" t="n">
        <f aca="false">IF(AG45&lt;=0,0,MAX(0,-AI45)/AG45)</f>
        <v>0.0985250805212221</v>
      </c>
      <c r="AM45" s="8" t="n">
        <f aca="false">MAX(0,-(AG45+AH45+AI45))</f>
        <v>0</v>
      </c>
    </row>
    <row r="46" customFormat="false" ht="13.8" hidden="false" customHeight="false" outlineLevel="0" collapsed="false">
      <c r="B46" s="13" t="n">
        <f aca="false">B45+1</f>
        <v>2042</v>
      </c>
      <c r="C46" s="13" t="n">
        <f aca="false">C45+1</f>
        <v>62</v>
      </c>
      <c r="D46" s="13" t="n">
        <f aca="false">D45+1</f>
        <v>17</v>
      </c>
      <c r="E46" s="4" t="str">
        <f aca="false">IF(D46&lt;=$F$19,"Acumulación","Retiro")</f>
        <v>Retiro</v>
      </c>
      <c r="F46" s="8" t="n">
        <f aca="false">IF(D46&lt;=$P$7,$N$7*12*(1+IF($M$7="CRC",N($F$8),$F$9))^(D46-1),0)</f>
        <v>0</v>
      </c>
      <c r="G46" s="8" t="n">
        <f aca="false">IF(D46&lt;=$P$8,$N$8*12*(1+IF($M$8="CRC",N($F$8),$F$9))^(D46-1),0)</f>
        <v>0</v>
      </c>
      <c r="H46" s="8" t="n">
        <f aca="false">IF(AND($N$9&gt;0,D46&gt;=$O$9,D46&lt;=$P$9),$N$9*12*(1+IF($M$9="CRC",N($F$8),$F$9))^(D46-1),0)</f>
        <v>24591.6402837173</v>
      </c>
      <c r="I46" s="8" t="n">
        <f aca="false">SUMPRODUCT((Ingresos!$H$14:$H$17&gt;=B46)*Ingresos!$G$14:$G$17*(1+(Ingresos!$E$14:$E$17="CRC")*N($F$8)+(Ingresos!$E$14:$E$17&lt;&gt;"CRC")*$F$9)^(D46-1))*12</f>
        <v>0</v>
      </c>
      <c r="J46" s="8" t="n">
        <f aca="false">IF(AND($N$10&gt;0,D46&gt;=N($O$10)),$N$10*12*(1+IF($M$10="CRC",N($F$8),$F$9))^(N($O$10)-1)*(1+N($F$10))^(D46-N($O$10))*IF(D46=N($O$10),IF(AND(ISNUMBER($F$21),N($F$20)&gt;=$C$30),(12-$F$21)/12,1),1),0)</f>
        <v>0</v>
      </c>
      <c r="K46" s="8" t="n">
        <f aca="false">Pensiones!T35</f>
        <v>0</v>
      </c>
      <c r="L46" s="8" t="n">
        <f aca="false">Pensiones!U35</f>
        <v>0</v>
      </c>
      <c r="M46" s="15" t="n">
        <f aca="false">SUM(F46:L46)</f>
        <v>24591.6402837173</v>
      </c>
      <c r="N46" s="8" t="n">
        <f aca="false">SUMPRODUCT((Ingresos!$H$22:$H$26=B46)*Ingresos!$G$22:$G$26*(1+(Ingresos!$E$22:$E$26="CRC")*N($F$8)+(Ingresos!$E$22:$E$26&lt;&gt;"CRC")*$F$9)^(D46-1))</f>
        <v>0</v>
      </c>
      <c r="O46" s="8" t="n">
        <f aca="false">Pensiones!S35</f>
        <v>0</v>
      </c>
      <c r="P46" s="15" t="n">
        <f aca="false">SUM(N46:O46)</f>
        <v>0</v>
      </c>
      <c r="Q46" s="15" t="n">
        <f aca="false">M46+P46</f>
        <v>24591.6402837173</v>
      </c>
      <c r="R46" s="8" t="n">
        <f aca="false">$W$7*12*(N($F$22)*(1+$F$9)^(D46-1)+(1-N($F$22))*(1+N($F$8))^(D46-1))*IF(D46&gt;$F$19,$F$18,1)</f>
        <v>121728.6194044</v>
      </c>
      <c r="S46" s="8" t="n">
        <f aca="false">SUMPRODUCT((Gastos!$H$14:$H$17&lt;=B46)*(Gastos!$H$14:$H$17+Gastos!$I$14:$I$17&gt;B46)*Gastos!$G$14:$G$17*(1+(Gastos!$E$14:$E$17="CRC")*N($F$8)+(Gastos!$E$14:$E$17&lt;&gt;"CRC")*$F$9)^(D46-1))</f>
        <v>0</v>
      </c>
      <c r="T46" s="8" t="n">
        <f aca="false">$W$10*(1+IF($V$10="CRC",N($F$8),$F$9))^(D46-1)</f>
        <v>5533.11906383638</v>
      </c>
      <c r="U46" s="8" t="n">
        <f aca="false">(IF(D46&lt;=$X$11,$W$11*12,0)+IF(Gastos!$G$28="Sí",0,SUMPRODUCT((Gastos!$H$22:$H$26&gt;=B46)*Gastos!$G$22:$G$26)*12)+SUMPRODUCT((Gastos!$H$43:$H$45&lt;=B46)*(Gastos!$H$43:$H$45+Gastos!$I$43:$I$45-1&gt;=B46)*Gastos!$K$43:$K$45))</f>
        <v>0</v>
      </c>
      <c r="V46" s="15" t="n">
        <f aca="false">SUM(R46:U46)</f>
        <v>127261.738468237</v>
      </c>
      <c r="W46" s="8" t="n">
        <f aca="false">SUMPRODUCT((Gastos!$I$33:$I$37=1)*(Gastos!$H$33:$H$37=B46)*Gastos!$G$33:$G$37*(1+(Gastos!$E$33:$E$37="CRC")*N($F$8)+(Gastos!$E$33:$E$37&lt;&gt;"CRC")*$F$9)^(D46-1))+SUMPRODUCT((Gastos!$I$33:$I$37=2)*(Gastos!$H$33:$H$37&lt;=B46)*Gastos!$G$33:$G$37*(1+(Gastos!$E$33:$E$37="CRC")*N($F$8)+(Gastos!$E$33:$E$37&lt;&gt;"CRC")*$F$9)^(D46-1))+SUMPRODUCT(('Retiros del portafolio'!$H$15:$H$18=B46)*'Retiros del portafolio'!$G$15:$G$18*(1+('Retiros del portafolio'!$E$15:$E$18="CRC")*N($F$8)+('Retiros del portafolio'!$E$15:$E$18&lt;&gt;"CRC")*$F$9)^(D46-1))</f>
        <v>11066.2381276728</v>
      </c>
      <c r="X46" s="8" t="n">
        <f aca="false">SUMPRODUCT(('Retiros del portafolio'!$H$6:$H$9=B46)*'Retiros del portafolio'!$G$6:$G$9*(1+('Retiros del portafolio'!$E$6:$E$9="CRC")*N($F$8)+('Retiros del portafolio'!$E$6:$E$9&lt;&gt;"CRC")*$F$9)^(D46-1))</f>
        <v>0</v>
      </c>
      <c r="Y46" s="15" t="n">
        <f aca="false">W46+X46</f>
        <v>11066.2381276728</v>
      </c>
      <c r="Z46" s="15" t="n">
        <f aca="false">V46+Y46</f>
        <v>138327.97659591</v>
      </c>
      <c r="AA46" s="15" t="n">
        <f aca="false">Q46-Z46</f>
        <v>-113736.336312192</v>
      </c>
      <c r="AB46" s="8" t="n">
        <f aca="false">SUMPRODUCT((Desinversiones!$H$6:$H$10=B46)*(Desinversiones!$I$6:$I$10=1)*Desinversiones!$G$6:$G$10*(1+(Desinversiones!$E$6:$E$10="CRC")*N($F$8)+(Desinversiones!$E$6:$E$10&lt;&gt;"CRC")*$F$9)^(D46-1))</f>
        <v>0</v>
      </c>
      <c r="AC46" s="8" t="n">
        <f aca="false">SUMPRODUCT((Desinversiones!$H$6:$H$10=B46)*(Desinversiones!$I$6:$I$10=2)*Desinversiones!$G$6:$G$10*(1+(Desinversiones!$E$6:$E$10="CRC")*N($F$8)+(Desinversiones!$E$6:$E$10&lt;&gt;"CRC")*$F$9)^(D46-1))</f>
        <v>0</v>
      </c>
      <c r="AD46" s="8" t="n">
        <f aca="false">SUMPRODUCT((Desinversiones!$H$6:$H$10=B46)*(Desinversiones!$I$6:$I$10=3)*Desinversiones!$G$6:$G$10*(1+(Desinversiones!$E$6:$E$10="CRC")*N($F$8)+(Desinversiones!$E$6:$E$10&lt;&gt;"CRC")*$F$9)^(D46-1))</f>
        <v>0</v>
      </c>
      <c r="AE46" s="15" t="n">
        <f aca="false">SUM(AB46:AD46)</f>
        <v>0</v>
      </c>
      <c r="AF46" s="15" t="n">
        <f aca="false">AE46</f>
        <v>0</v>
      </c>
      <c r="AG46" s="8" t="n">
        <f aca="false">AJ45</f>
        <v>1066668.75331574</v>
      </c>
      <c r="AH46" s="8" t="n">
        <f aca="false">AG46*$F$13</f>
        <v>62477.4555535859</v>
      </c>
      <c r="AI46" s="15" t="n">
        <f aca="false">AA46+AF46</f>
        <v>-113736.336312192</v>
      </c>
      <c r="AJ46" s="15" t="n">
        <f aca="false">AG46+AH46+AI46+AM46</f>
        <v>1015409.87255713</v>
      </c>
      <c r="AK46" s="8" t="n">
        <f aca="false">AJ46/(1+$F$9)^(D46-1+$F$24/12)</f>
        <v>545304.063294591</v>
      </c>
      <c r="AL46" s="9" t="n">
        <f aca="false">IF(AG46&lt;=0,0,MAX(0,-AI46)/AG46)</f>
        <v>0.106627606704184</v>
      </c>
      <c r="AM46" s="8" t="n">
        <f aca="false">MAX(0,-(AG46+AH46+AI46))</f>
        <v>0</v>
      </c>
    </row>
    <row r="47" customFormat="false" ht="13.8" hidden="false" customHeight="false" outlineLevel="0" collapsed="false">
      <c r="B47" s="13" t="n">
        <f aca="false">B46+1</f>
        <v>2043</v>
      </c>
      <c r="C47" s="13" t="n">
        <f aca="false">C46+1</f>
        <v>63</v>
      </c>
      <c r="D47" s="13" t="n">
        <f aca="false">D46+1</f>
        <v>18</v>
      </c>
      <c r="E47" s="4" t="str">
        <f aca="false">IF(D47&lt;=$F$19,"Acumulación","Retiro")</f>
        <v>Retiro</v>
      </c>
      <c r="F47" s="8" t="n">
        <f aca="false">IF(D47&lt;=$P$7,$N$7*12*(1+IF($M$7="CRC",N($F$8),$F$9))^(D47-1),0)</f>
        <v>0</v>
      </c>
      <c r="G47" s="8" t="n">
        <f aca="false">IF(D47&lt;=$P$8,$N$8*12*(1+IF($M$8="CRC",N($F$8),$F$9))^(D47-1),0)</f>
        <v>0</v>
      </c>
      <c r="H47" s="8" t="n">
        <f aca="false">IF(AND($N$9&gt;0,D47&gt;=$O$9,D47&lt;=$P$9),$N$9*12*(1+IF($M$9="CRC",N($F$8),$F$9))^(D47-1),0)</f>
        <v>25550.7142547822</v>
      </c>
      <c r="I47" s="8" t="n">
        <f aca="false">SUMPRODUCT((Ingresos!$H$14:$H$17&gt;=B47)*Ingresos!$G$14:$G$17*(1+(Ingresos!$E$14:$E$17="CRC")*N($F$8)+(Ingresos!$E$14:$E$17&lt;&gt;"CRC")*$F$9)^(D47-1))*12</f>
        <v>0</v>
      </c>
      <c r="J47" s="8" t="n">
        <f aca="false">IF(AND($N$10&gt;0,D47&gt;=N($O$10)),$N$10*12*(1+IF($M$10="CRC",N($F$8),$F$9))^(N($O$10)-1)*(1+N($F$10))^(D47-N($O$10))*IF(D47=N($O$10),IF(AND(ISNUMBER($F$21),N($F$20)&gt;=$C$30),(12-$F$21)/12,1),1),0)</f>
        <v>0</v>
      </c>
      <c r="K47" s="8" t="n">
        <f aca="false">Pensiones!T36</f>
        <v>0</v>
      </c>
      <c r="L47" s="8" t="n">
        <f aca="false">Pensiones!U36</f>
        <v>0</v>
      </c>
      <c r="M47" s="15" t="n">
        <f aca="false">SUM(F47:L47)</f>
        <v>25550.7142547822</v>
      </c>
      <c r="N47" s="8" t="n">
        <f aca="false">SUMPRODUCT((Ingresos!$H$22:$H$26=B47)*Ingresos!$G$22:$G$26*(1+(Ingresos!$E$22:$E$26="CRC")*N($F$8)+(Ingresos!$E$22:$E$26&lt;&gt;"CRC")*$F$9)^(D47-1))</f>
        <v>0</v>
      </c>
      <c r="O47" s="8" t="n">
        <f aca="false">Pensiones!S36</f>
        <v>0</v>
      </c>
      <c r="P47" s="15" t="n">
        <f aca="false">SUM(N47:O47)</f>
        <v>0</v>
      </c>
      <c r="Q47" s="15" t="n">
        <f aca="false">M47+P47</f>
        <v>25550.7142547822</v>
      </c>
      <c r="R47" s="8" t="n">
        <f aca="false">$W$7*12*(N($F$22)*(1+$F$9)^(D47-1)+(1-N($F$22))*(1+N($F$8))^(D47-1))*IF(D47&gt;$F$19,$F$18,1)</f>
        <v>126476.035561172</v>
      </c>
      <c r="S47" s="8" t="n">
        <f aca="false">SUMPRODUCT((Gastos!$H$14:$H$17&lt;=B47)*(Gastos!$H$14:$H$17+Gastos!$I$14:$I$17&gt;B47)*Gastos!$G$14:$G$17*(1+(Gastos!$E$14:$E$17="CRC")*N($F$8)+(Gastos!$E$14:$E$17&lt;&gt;"CRC")*$F$9)^(D47-1))</f>
        <v>0</v>
      </c>
      <c r="T47" s="8" t="n">
        <f aca="false">$W$10*(1+IF($V$10="CRC",N($F$8),$F$9))^(D47-1)</f>
        <v>5748.910707326</v>
      </c>
      <c r="U47" s="8" t="n">
        <f aca="false">(IF(D47&lt;=$X$11,$W$11*12,0)+IF(Gastos!$G$28="Sí",0,SUMPRODUCT((Gastos!$H$22:$H$26&gt;=B47)*Gastos!$G$22:$G$26)*12)+SUMPRODUCT((Gastos!$H$43:$H$45&lt;=B47)*(Gastos!$H$43:$H$45+Gastos!$I$43:$I$45-1&gt;=B47)*Gastos!$K$43:$K$45))</f>
        <v>0</v>
      </c>
      <c r="V47" s="15" t="n">
        <f aca="false">SUM(R47:U47)</f>
        <v>132224.946268498</v>
      </c>
      <c r="W47" s="8" t="n">
        <f aca="false">SUMPRODUCT((Gastos!$I$33:$I$37=1)*(Gastos!$H$33:$H$37=B47)*Gastos!$G$33:$G$37*(1+(Gastos!$E$33:$E$37="CRC")*N($F$8)+(Gastos!$E$33:$E$37&lt;&gt;"CRC")*$F$9)^(D47-1))+SUMPRODUCT((Gastos!$I$33:$I$37=2)*(Gastos!$H$33:$H$37&lt;=B47)*Gastos!$G$33:$G$37*(1+(Gastos!$E$33:$E$37="CRC")*N($F$8)+(Gastos!$E$33:$E$37&lt;&gt;"CRC")*$F$9)^(D47-1))+SUMPRODUCT(('Retiros del portafolio'!$H$15:$H$18=B47)*'Retiros del portafolio'!$G$15:$G$18*(1+('Retiros del portafolio'!$E$15:$E$18="CRC")*N($F$8)+('Retiros del portafolio'!$E$15:$E$18&lt;&gt;"CRC")*$F$9)^(D47-1))</f>
        <v>11497.821414652</v>
      </c>
      <c r="X47" s="8" t="n">
        <f aca="false">SUMPRODUCT(('Retiros del portafolio'!$H$6:$H$9=B47)*'Retiros del portafolio'!$G$6:$G$9*(1+('Retiros del portafolio'!$E$6:$E$9="CRC")*N($F$8)+('Retiros del portafolio'!$E$6:$E$9&lt;&gt;"CRC")*$F$9)^(D47-1))</f>
        <v>0</v>
      </c>
      <c r="Y47" s="15" t="n">
        <f aca="false">W47+X47</f>
        <v>11497.821414652</v>
      </c>
      <c r="Z47" s="15" t="n">
        <f aca="false">V47+Y47</f>
        <v>143722.76768315</v>
      </c>
      <c r="AA47" s="15" t="n">
        <f aca="false">Q47-Z47</f>
        <v>-118172.053428368</v>
      </c>
      <c r="AB47" s="8" t="n">
        <f aca="false">SUMPRODUCT((Desinversiones!$H$6:$H$10=B47)*(Desinversiones!$I$6:$I$10=1)*Desinversiones!$G$6:$G$10*(1+(Desinversiones!$E$6:$E$10="CRC")*N($F$8)+(Desinversiones!$E$6:$E$10&lt;&gt;"CRC")*$F$9)^(D47-1))</f>
        <v>0</v>
      </c>
      <c r="AC47" s="8" t="n">
        <f aca="false">SUMPRODUCT((Desinversiones!$H$6:$H$10=B47)*(Desinversiones!$I$6:$I$10=2)*Desinversiones!$G$6:$G$10*(1+(Desinversiones!$E$6:$E$10="CRC")*N($F$8)+(Desinversiones!$E$6:$E$10&lt;&gt;"CRC")*$F$9)^(D47-1))</f>
        <v>0</v>
      </c>
      <c r="AD47" s="8" t="n">
        <f aca="false">SUMPRODUCT((Desinversiones!$H$6:$H$10=B47)*(Desinversiones!$I$6:$I$10=3)*Desinversiones!$G$6:$G$10*(1+(Desinversiones!$E$6:$E$10="CRC")*N($F$8)+(Desinversiones!$E$6:$E$10&lt;&gt;"CRC")*$F$9)^(D47-1))</f>
        <v>0</v>
      </c>
      <c r="AE47" s="15" t="n">
        <f aca="false">SUM(AB47:AD47)</f>
        <v>0</v>
      </c>
      <c r="AF47" s="15" t="n">
        <f aca="false">AE47</f>
        <v>0</v>
      </c>
      <c r="AG47" s="8" t="n">
        <f aca="false">AJ46</f>
        <v>1015409.87255713</v>
      </c>
      <c r="AH47" s="8" t="n">
        <f aca="false">AG47*$F$13</f>
        <v>59475.0947603524</v>
      </c>
      <c r="AI47" s="15" t="n">
        <f aca="false">AA47+AF47</f>
        <v>-118172.053428368</v>
      </c>
      <c r="AJ47" s="15" t="n">
        <f aca="false">AG47+AH47+AI47+AM47</f>
        <v>956712.913889114</v>
      </c>
      <c r="AK47" s="8" t="n">
        <f aca="false">AJ47/(1+$F$9)^(D47-1+$F$24/12)</f>
        <v>494496.749107809</v>
      </c>
      <c r="AL47" s="9" t="n">
        <f aca="false">IF(AG47&lt;=0,0,MAX(0,-AI47)/AG47)</f>
        <v>0.11637867291045</v>
      </c>
      <c r="AM47" s="8" t="n">
        <f aca="false">MAX(0,-(AG47+AH47+AI47))</f>
        <v>0</v>
      </c>
    </row>
    <row r="48" customFormat="false" ht="13.8" hidden="false" customHeight="false" outlineLevel="0" collapsed="false">
      <c r="B48" s="13" t="n">
        <f aca="false">B47+1</f>
        <v>2044</v>
      </c>
      <c r="C48" s="13" t="n">
        <f aca="false">C47+1</f>
        <v>64</v>
      </c>
      <c r="D48" s="13" t="n">
        <f aca="false">D47+1</f>
        <v>19</v>
      </c>
      <c r="E48" s="4" t="str">
        <f aca="false">IF(D48&lt;=$F$19,"Acumulación","Retiro")</f>
        <v>Retiro</v>
      </c>
      <c r="F48" s="8" t="n">
        <f aca="false">IF(D48&lt;=$P$7,$N$7*12*(1+IF($M$7="CRC",N($F$8),$F$9))^(D48-1),0)</f>
        <v>0</v>
      </c>
      <c r="G48" s="8" t="n">
        <f aca="false">IF(D48&lt;=$P$8,$N$8*12*(1+IF($M$8="CRC",N($F$8),$F$9))^(D48-1),0)</f>
        <v>0</v>
      </c>
      <c r="H48" s="8" t="n">
        <f aca="false">IF(AND($N$9&gt;0,D48&gt;=$O$9,D48&lt;=$P$9),$N$9*12*(1+IF($M$9="CRC",N($F$8),$F$9))^(D48-1),0)</f>
        <v>26547.1921107187</v>
      </c>
      <c r="I48" s="8" t="n">
        <f aca="false">SUMPRODUCT((Ingresos!$H$14:$H$17&gt;=B48)*Ingresos!$G$14:$G$17*(1+(Ingresos!$E$14:$E$17="CRC")*N($F$8)+(Ingresos!$E$14:$E$17&lt;&gt;"CRC")*$F$9)^(D48-1))*12</f>
        <v>0</v>
      </c>
      <c r="J48" s="8" t="n">
        <f aca="false">IF(AND($N$10&gt;0,D48&gt;=N($O$10)),$N$10*12*(1+IF($M$10="CRC",N($F$8),$F$9))^(N($O$10)-1)*(1+N($F$10))^(D48-N($O$10))*IF(D48=N($O$10),IF(AND(ISNUMBER($F$21),N($F$20)&gt;=$C$30),(12-$F$21)/12,1),1),0)</f>
        <v>0</v>
      </c>
      <c r="K48" s="8" t="n">
        <f aca="false">Pensiones!T37</f>
        <v>0</v>
      </c>
      <c r="L48" s="8" t="n">
        <f aca="false">Pensiones!U37</f>
        <v>0</v>
      </c>
      <c r="M48" s="15" t="n">
        <f aca="false">SUM(F48:L48)</f>
        <v>26547.1921107187</v>
      </c>
      <c r="N48" s="8" t="n">
        <f aca="false">SUMPRODUCT((Ingresos!$H$22:$H$26=B48)*Ingresos!$G$22:$G$26*(1+(Ingresos!$E$22:$E$26="CRC")*N($F$8)+(Ingresos!$E$22:$E$26&lt;&gt;"CRC")*$F$9)^(D48-1))</f>
        <v>0</v>
      </c>
      <c r="O48" s="8" t="n">
        <f aca="false">Pensiones!S37</f>
        <v>0</v>
      </c>
      <c r="P48" s="15" t="n">
        <f aca="false">SUM(N48:O48)</f>
        <v>0</v>
      </c>
      <c r="Q48" s="15" t="n">
        <f aca="false">M48+P48</f>
        <v>26547.1921107187</v>
      </c>
      <c r="R48" s="8" t="n">
        <f aca="false">$W$7*12*(N($F$22)*(1+$F$9)^(D48-1)+(1-N($F$22))*(1+N($F$8))^(D48-1))*IF(D48&gt;$F$19,$F$18,1)</f>
        <v>131408.600948058</v>
      </c>
      <c r="S48" s="8" t="n">
        <f aca="false">SUMPRODUCT((Gastos!$H$14:$H$17&lt;=B48)*(Gastos!$H$14:$H$17+Gastos!$I$14:$I$17&gt;B48)*Gastos!$G$14:$G$17*(1+(Gastos!$E$14:$E$17="CRC")*N($F$8)+(Gastos!$E$14:$E$17&lt;&gt;"CRC")*$F$9)^(D48-1))</f>
        <v>0</v>
      </c>
      <c r="T48" s="8" t="n">
        <f aca="false">$W$10*(1+IF($V$10="CRC",N($F$8),$F$9))^(D48-1)</f>
        <v>5973.11822491171</v>
      </c>
      <c r="U48" s="8" t="n">
        <f aca="false">(IF(D48&lt;=$X$11,$W$11*12,0)+IF(Gastos!$G$28="Sí",0,SUMPRODUCT((Gastos!$H$22:$H$26&gt;=B48)*Gastos!$G$22:$G$26)*12)+SUMPRODUCT((Gastos!$H$43:$H$45&lt;=B48)*(Gastos!$H$43:$H$45+Gastos!$I$43:$I$45-1&gt;=B48)*Gastos!$K$43:$K$45))</f>
        <v>0</v>
      </c>
      <c r="V48" s="15" t="n">
        <f aca="false">SUM(R48:U48)</f>
        <v>137381.719172969</v>
      </c>
      <c r="W48" s="8" t="n">
        <f aca="false">SUMPRODUCT((Gastos!$I$33:$I$37=1)*(Gastos!$H$33:$H$37=B48)*Gastos!$G$33:$G$37*(1+(Gastos!$E$33:$E$37="CRC")*N($F$8)+(Gastos!$E$33:$E$37&lt;&gt;"CRC")*$F$9)^(D48-1))+SUMPRODUCT((Gastos!$I$33:$I$37=2)*(Gastos!$H$33:$H$37&lt;=B48)*Gastos!$G$33:$G$37*(1+(Gastos!$E$33:$E$37="CRC")*N($F$8)+(Gastos!$E$33:$E$37&lt;&gt;"CRC")*$F$9)^(D48-1))+SUMPRODUCT(('Retiros del portafolio'!$H$15:$H$18=B48)*'Retiros del portafolio'!$G$15:$G$18*(1+('Retiros del portafolio'!$E$15:$E$18="CRC")*N($F$8)+('Retiros del portafolio'!$E$15:$E$18&lt;&gt;"CRC")*$F$9)^(D48-1))</f>
        <v>11946.2364498234</v>
      </c>
      <c r="X48" s="8" t="n">
        <f aca="false">SUMPRODUCT(('Retiros del portafolio'!$H$6:$H$9=B48)*'Retiros del portafolio'!$G$6:$G$9*(1+('Retiros del portafolio'!$E$6:$E$9="CRC")*N($F$8)+('Retiros del portafolio'!$E$6:$E$9&lt;&gt;"CRC")*$F$9)^(D48-1))</f>
        <v>0</v>
      </c>
      <c r="Y48" s="15" t="n">
        <f aca="false">W48+X48</f>
        <v>11946.2364498234</v>
      </c>
      <c r="Z48" s="15" t="n">
        <f aca="false">V48+Y48</f>
        <v>149327.955622793</v>
      </c>
      <c r="AA48" s="15" t="n">
        <f aca="false">Q48-Z48</f>
        <v>-122780.763512074</v>
      </c>
      <c r="AB48" s="8" t="n">
        <f aca="false">SUMPRODUCT((Desinversiones!$H$6:$H$10=B48)*(Desinversiones!$I$6:$I$10=1)*Desinversiones!$G$6:$G$10*(1+(Desinversiones!$E$6:$E$10="CRC")*N($F$8)+(Desinversiones!$E$6:$E$10&lt;&gt;"CRC")*$F$9)^(D48-1))</f>
        <v>0</v>
      </c>
      <c r="AC48" s="8" t="n">
        <f aca="false">SUMPRODUCT((Desinversiones!$H$6:$H$10=B48)*(Desinversiones!$I$6:$I$10=2)*Desinversiones!$G$6:$G$10*(1+(Desinversiones!$E$6:$E$10="CRC")*N($F$8)+(Desinversiones!$E$6:$E$10&lt;&gt;"CRC")*$F$9)^(D48-1))</f>
        <v>0</v>
      </c>
      <c r="AD48" s="8" t="n">
        <f aca="false">SUMPRODUCT((Desinversiones!$H$6:$H$10=B48)*(Desinversiones!$I$6:$I$10=3)*Desinversiones!$G$6:$G$10*(1+(Desinversiones!$E$6:$E$10="CRC")*N($F$8)+(Desinversiones!$E$6:$E$10&lt;&gt;"CRC")*$F$9)^(D48-1))</f>
        <v>0</v>
      </c>
      <c r="AE48" s="15" t="n">
        <f aca="false">SUM(AB48:AD48)</f>
        <v>0</v>
      </c>
      <c r="AF48" s="15" t="n">
        <f aca="false">AE48</f>
        <v>0</v>
      </c>
      <c r="AG48" s="8" t="n">
        <f aca="false">AJ47</f>
        <v>956712.913889114</v>
      </c>
      <c r="AH48" s="8" t="n">
        <f aca="false">AG48*$F$13</f>
        <v>56037.0671487701</v>
      </c>
      <c r="AI48" s="15" t="n">
        <f aca="false">AA48+AF48</f>
        <v>-122780.763512074</v>
      </c>
      <c r="AJ48" s="15" t="n">
        <f aca="false">AG48+AH48+AI48+AM48</f>
        <v>889969.21752581</v>
      </c>
      <c r="AK48" s="8" t="n">
        <f aca="false">AJ48/(1+$F$9)^(D48-1+$F$24/12)</f>
        <v>442732.335636213</v>
      </c>
      <c r="AL48" s="9" t="n">
        <f aca="false">IF(AG48&lt;=0,0,MAX(0,-AI48)/AG48)</f>
        <v>0.128336057483494</v>
      </c>
      <c r="AM48" s="8" t="n">
        <f aca="false">MAX(0,-(AG48+AH48+AI48))</f>
        <v>0</v>
      </c>
    </row>
    <row r="49" customFormat="false" ht="13.8" hidden="false" customHeight="false" outlineLevel="0" collapsed="false">
      <c r="B49" s="13" t="n">
        <f aca="false">B48+1</f>
        <v>2045</v>
      </c>
      <c r="C49" s="13" t="n">
        <f aca="false">C48+1</f>
        <v>65</v>
      </c>
      <c r="D49" s="13" t="n">
        <f aca="false">D48+1</f>
        <v>20</v>
      </c>
      <c r="E49" s="4" t="str">
        <f aca="false">IF(D49&lt;=$F$19,"Acumulación","Retiro")</f>
        <v>Retiro</v>
      </c>
      <c r="F49" s="8" t="n">
        <f aca="false">IF(D49&lt;=$P$7,$N$7*12*(1+IF($M$7="CRC",N($F$8),$F$9))^(D49-1),0)</f>
        <v>0</v>
      </c>
      <c r="G49" s="8" t="n">
        <f aca="false">IF(D49&lt;=$P$8,$N$8*12*(1+IF($M$8="CRC",N($F$8),$F$9))^(D49-1),0)</f>
        <v>0</v>
      </c>
      <c r="H49" s="8" t="n">
        <f aca="false">IF(AND($N$9&gt;0,D49&gt;=$O$9,D49&lt;=$P$9),$N$9*12*(1+IF($M$9="CRC",N($F$8),$F$9))^(D49-1),0)</f>
        <v>27582.5326030368</v>
      </c>
      <c r="I49" s="8" t="n">
        <f aca="false">SUMPRODUCT((Ingresos!$H$14:$H$17&gt;=B49)*Ingresos!$G$14:$G$17*(1+(Ingresos!$E$14:$E$17="CRC")*N($F$8)+(Ingresos!$E$14:$E$17&lt;&gt;"CRC")*$F$9)^(D49-1))*12</f>
        <v>0</v>
      </c>
      <c r="J49" s="8" t="n">
        <f aca="false">IF(AND($N$10&gt;0,D49&gt;=N($O$10)),$N$10*12*(1+IF($M$10="CRC",N($F$8),$F$9))^(N($O$10)-1)*(1+N($F$10))^(D49-N($O$10))*IF(D49=N($O$10),IF(AND(ISNUMBER($F$21),N($F$20)&gt;=$C$30),(12-$F$21)/12,1),1),0)</f>
        <v>25743.6970961676</v>
      </c>
      <c r="K49" s="8" t="n">
        <f aca="false">Pensiones!T38</f>
        <v>7118.52691759062</v>
      </c>
      <c r="L49" s="8" t="n">
        <f aca="false">Pensiones!U38</f>
        <v>8358.40153492586</v>
      </c>
      <c r="M49" s="15" t="n">
        <f aca="false">SUM(F49:L49)</f>
        <v>68803.1581517209</v>
      </c>
      <c r="N49" s="8" t="n">
        <f aca="false">SUMPRODUCT((Ingresos!$H$22:$H$26=B49)*Ingresos!$G$22:$G$26*(1+(Ingresos!$E$22:$E$26="CRC")*N($F$8)+(Ingresos!$E$22:$E$26&lt;&gt;"CRC")*$F$9)^(D49-1))</f>
        <v>0</v>
      </c>
      <c r="O49" s="8" t="n">
        <f aca="false">Pensiones!S38</f>
        <v>0</v>
      </c>
      <c r="P49" s="15" t="n">
        <f aca="false">SUM(N49:O49)</f>
        <v>0</v>
      </c>
      <c r="Q49" s="15" t="n">
        <f aca="false">M49+P49</f>
        <v>68803.1581517209</v>
      </c>
      <c r="R49" s="8" t="n">
        <f aca="false">$W$7*12*(N($F$22)*(1+$F$9)^(D49-1)+(1-N($F$22))*(1+N($F$8))^(D49-1))*IF(D49&gt;$F$19,$F$18,1)</f>
        <v>136533.536385032</v>
      </c>
      <c r="S49" s="8" t="n">
        <f aca="false">SUMPRODUCT((Gastos!$H$14:$H$17&lt;=B49)*(Gastos!$H$14:$H$17+Gastos!$I$14:$I$17&gt;B49)*Gastos!$G$14:$G$17*(1+(Gastos!$E$14:$E$17="CRC")*N($F$8)+(Gastos!$E$14:$E$17&lt;&gt;"CRC")*$F$9)^(D49-1))</f>
        <v>0</v>
      </c>
      <c r="T49" s="8" t="n">
        <f aca="false">$W$10*(1+IF($V$10="CRC",N($F$8),$F$9))^(D49-1)</f>
        <v>6206.06983568327</v>
      </c>
      <c r="U49" s="8" t="n">
        <f aca="false">(IF(D49&lt;=$X$11,$W$11*12,0)+IF(Gastos!$G$28="Sí",0,SUMPRODUCT((Gastos!$H$22:$H$26&gt;=B49)*Gastos!$G$22:$G$26)*12)+SUMPRODUCT((Gastos!$H$43:$H$45&lt;=B49)*(Gastos!$H$43:$H$45+Gastos!$I$43:$I$45-1&gt;=B49)*Gastos!$K$43:$K$45))</f>
        <v>0</v>
      </c>
      <c r="V49" s="15" t="n">
        <f aca="false">SUM(R49:U49)</f>
        <v>142739.606220715</v>
      </c>
      <c r="W49" s="8" t="n">
        <f aca="false">SUMPRODUCT((Gastos!$I$33:$I$37=1)*(Gastos!$H$33:$H$37=B49)*Gastos!$G$33:$G$37*(1+(Gastos!$E$33:$E$37="CRC")*N($F$8)+(Gastos!$E$33:$E$37&lt;&gt;"CRC")*$F$9)^(D49-1))+SUMPRODUCT((Gastos!$I$33:$I$37=2)*(Gastos!$H$33:$H$37&lt;=B49)*Gastos!$G$33:$G$37*(1+(Gastos!$E$33:$E$37="CRC")*N($F$8)+(Gastos!$E$33:$E$37&lt;&gt;"CRC")*$F$9)^(D49-1))+SUMPRODUCT(('Retiros del portafolio'!$H$15:$H$18=B49)*'Retiros del portafolio'!$G$15:$G$18*(1+('Retiros del portafolio'!$E$15:$E$18="CRC")*N($F$8)+('Retiros del portafolio'!$E$15:$E$18&lt;&gt;"CRC")*$F$9)^(D49-1))</f>
        <v>12412.1396713665</v>
      </c>
      <c r="X49" s="8" t="n">
        <f aca="false">SUMPRODUCT(('Retiros del portafolio'!$H$6:$H$9=B49)*'Retiros del portafolio'!$G$6:$G$9*(1+('Retiros del portafolio'!$E$6:$E$9="CRC")*N($F$8)+('Retiros del portafolio'!$E$6:$E$9&lt;&gt;"CRC")*$F$9)^(D49-1))</f>
        <v>0</v>
      </c>
      <c r="Y49" s="15" t="n">
        <f aca="false">W49+X49</f>
        <v>12412.1396713665</v>
      </c>
      <c r="Z49" s="15" t="n">
        <f aca="false">V49+Y49</f>
        <v>155151.745892082</v>
      </c>
      <c r="AA49" s="15" t="n">
        <f aca="false">Q49-Z49</f>
        <v>-86348.5877403609</v>
      </c>
      <c r="AB49" s="8" t="n">
        <f aca="false">SUMPRODUCT((Desinversiones!$H$6:$H$10=B49)*(Desinversiones!$I$6:$I$10=1)*Desinversiones!$G$6:$G$10*(1+(Desinversiones!$E$6:$E$10="CRC")*N($F$8)+(Desinversiones!$E$6:$E$10&lt;&gt;"CRC")*$F$9)^(D49-1))</f>
        <v>0</v>
      </c>
      <c r="AC49" s="8" t="n">
        <f aca="false">SUMPRODUCT((Desinversiones!$H$6:$H$10=B49)*(Desinversiones!$I$6:$I$10=2)*Desinversiones!$G$6:$G$10*(1+(Desinversiones!$E$6:$E$10="CRC")*N($F$8)+(Desinversiones!$E$6:$E$10&lt;&gt;"CRC")*$F$9)^(D49-1))</f>
        <v>0</v>
      </c>
      <c r="AD49" s="8" t="n">
        <f aca="false">SUMPRODUCT((Desinversiones!$H$6:$H$10=B49)*(Desinversiones!$I$6:$I$10=3)*Desinversiones!$G$6:$G$10*(1+(Desinversiones!$E$6:$E$10="CRC")*N($F$8)+(Desinversiones!$E$6:$E$10&lt;&gt;"CRC")*$F$9)^(D49-1))</f>
        <v>0</v>
      </c>
      <c r="AE49" s="15" t="n">
        <f aca="false">SUM(AB49:AD49)</f>
        <v>0</v>
      </c>
      <c r="AF49" s="15" t="n">
        <f aca="false">AE49</f>
        <v>0</v>
      </c>
      <c r="AG49" s="8" t="n">
        <f aca="false">AJ48</f>
        <v>889969.21752581</v>
      </c>
      <c r="AH49" s="8" t="n">
        <f aca="false">AG49*$F$13</f>
        <v>52127.7219935305</v>
      </c>
      <c r="AI49" s="15" t="n">
        <f aca="false">AA49+AF49</f>
        <v>-86348.5877403609</v>
      </c>
      <c r="AJ49" s="15" t="n">
        <f aca="false">AG49+AH49+AI49+AM49</f>
        <v>855748.351778979</v>
      </c>
      <c r="AK49" s="8" t="n">
        <f aca="false">AJ49/(1+$F$9)^(D49-1+$F$24/12)</f>
        <v>409729.072748282</v>
      </c>
      <c r="AL49" s="9" t="n">
        <f aca="false">IF(AG49&lt;=0,0,MAX(0,-AI49)/AG49)</f>
        <v>0.097024240883766</v>
      </c>
      <c r="AM49" s="8" t="n">
        <f aca="false">MAX(0,-(AG49+AH49+AI49))</f>
        <v>0</v>
      </c>
    </row>
    <row r="50" customFormat="false" ht="13.8" hidden="false" customHeight="false" outlineLevel="0" collapsed="false">
      <c r="B50" s="13" t="n">
        <f aca="false">B49+1</f>
        <v>2046</v>
      </c>
      <c r="C50" s="13" t="n">
        <f aca="false">C49+1</f>
        <v>66</v>
      </c>
      <c r="D50" s="13" t="n">
        <f aca="false">D49+1</f>
        <v>21</v>
      </c>
      <c r="E50" s="4" t="str">
        <f aca="false">IF(D50&lt;=$F$19,"Acumulación","Retiro")</f>
        <v>Retiro</v>
      </c>
      <c r="F50" s="8" t="n">
        <f aca="false">IF(D50&lt;=$P$7,$N$7*12*(1+IF($M$7="CRC",N($F$8),$F$9))^(D50-1),0)</f>
        <v>0</v>
      </c>
      <c r="G50" s="8" t="n">
        <f aca="false">IF(D50&lt;=$P$8,$N$8*12*(1+IF($M$8="CRC",N($F$8),$F$9))^(D50-1),0)</f>
        <v>0</v>
      </c>
      <c r="H50" s="8" t="n">
        <f aca="false">IF(AND($N$9&gt;0,D50&gt;=$O$9,D50&lt;=$P$9),$N$9*12*(1+IF($M$9="CRC",N($F$8),$F$9))^(D50-1),0)</f>
        <v>28658.2513745552</v>
      </c>
      <c r="I50" s="8" t="n">
        <f aca="false">SUMPRODUCT((Ingresos!$H$14:$H$17&gt;=B50)*Ingresos!$G$14:$G$17*(1+(Ingresos!$E$14:$E$17="CRC")*N($F$8)+(Ingresos!$E$14:$E$17&lt;&gt;"CRC")*$F$9)^(D50-1))*12</f>
        <v>0</v>
      </c>
      <c r="J50" s="8" t="n">
        <f aca="false">IF(AND($N$10&gt;0,D50&gt;=N($O$10)),$N$10*12*(1+IF($M$10="CRC",N($F$8),$F$9))^(N($O$10)-1)*(1+N($F$10))^(D50-N($O$10))*IF(D50=N($O$10),IF(AND(ISNUMBER($F$21),N($F$20)&gt;=$C$30),(12-$F$21)/12,1),1),0)</f>
        <v>44573.3726865074</v>
      </c>
      <c r="K50" s="8" t="n">
        <f aca="false">Pensiones!T39</f>
        <v>12553.8977671245</v>
      </c>
      <c r="L50" s="8" t="n">
        <f aca="false">Pensiones!U39</f>
        <v>14740.4820661339</v>
      </c>
      <c r="M50" s="15" t="n">
        <f aca="false">SUM(F50:L50)</f>
        <v>100526.003894321</v>
      </c>
      <c r="N50" s="8" t="n">
        <f aca="false">SUMPRODUCT((Ingresos!$H$22:$H$26=B50)*Ingresos!$G$22:$G$26*(1+(Ingresos!$E$22:$E$26="CRC")*N($F$8)+(Ingresos!$E$22:$E$26&lt;&gt;"CRC")*$F$9)^(D50-1))</f>
        <v>0</v>
      </c>
      <c r="O50" s="8" t="n">
        <f aca="false">Pensiones!S39</f>
        <v>0</v>
      </c>
      <c r="P50" s="15" t="n">
        <f aca="false">SUM(N50:O50)</f>
        <v>0</v>
      </c>
      <c r="Q50" s="15" t="n">
        <f aca="false">M50+P50</f>
        <v>100526.003894321</v>
      </c>
      <c r="R50" s="8" t="n">
        <f aca="false">$W$7*12*(N($F$22)*(1+$F$9)^(D50-1)+(1-N($F$22))*(1+N($F$8))^(D50-1))*IF(D50&gt;$F$19,$F$18,1)</f>
        <v>141858.344304048</v>
      </c>
      <c r="S50" s="8" t="n">
        <f aca="false">SUMPRODUCT((Gastos!$H$14:$H$17&lt;=B50)*(Gastos!$H$14:$H$17+Gastos!$I$14:$I$17&gt;B50)*Gastos!$G$14:$G$17*(1+(Gastos!$E$14:$E$17="CRC")*N($F$8)+(Gastos!$E$14:$E$17&lt;&gt;"CRC")*$F$9)^(D50-1))</f>
        <v>0</v>
      </c>
      <c r="T50" s="8" t="n">
        <f aca="false">$W$10*(1+IF($V$10="CRC",N($F$8),$F$9))^(D50-1)</f>
        <v>6448.10655927492</v>
      </c>
      <c r="U50" s="8" t="n">
        <f aca="false">(IF(D50&lt;=$X$11,$W$11*12,0)+IF(Gastos!$G$28="Sí",0,SUMPRODUCT((Gastos!$H$22:$H$26&gt;=B50)*Gastos!$G$22:$G$26)*12)+SUMPRODUCT((Gastos!$H$43:$H$45&lt;=B50)*(Gastos!$H$43:$H$45+Gastos!$I$43:$I$45-1&gt;=B50)*Gastos!$K$43:$K$45))</f>
        <v>0</v>
      </c>
      <c r="V50" s="15" t="n">
        <f aca="false">SUM(R50:U50)</f>
        <v>148306.450863323</v>
      </c>
      <c r="W50" s="8" t="n">
        <f aca="false">SUMPRODUCT((Gastos!$I$33:$I$37=1)*(Gastos!$H$33:$H$37=B50)*Gastos!$G$33:$G$37*(1+(Gastos!$E$33:$E$37="CRC")*N($F$8)+(Gastos!$E$33:$E$37&lt;&gt;"CRC")*$F$9)^(D50-1))+SUMPRODUCT((Gastos!$I$33:$I$37=2)*(Gastos!$H$33:$H$37&lt;=B50)*Gastos!$G$33:$G$37*(1+(Gastos!$E$33:$E$37="CRC")*N($F$8)+(Gastos!$E$33:$E$37&lt;&gt;"CRC")*$F$9)^(D50-1))+SUMPRODUCT(('Retiros del portafolio'!$H$15:$H$18=B50)*'Retiros del portafolio'!$G$15:$G$18*(1+('Retiros del portafolio'!$E$15:$E$18="CRC")*N($F$8)+('Retiros del portafolio'!$E$15:$E$18&lt;&gt;"CRC")*$F$9)^(D50-1))</f>
        <v>12896.2131185498</v>
      </c>
      <c r="X50" s="8" t="n">
        <f aca="false">SUMPRODUCT(('Retiros del portafolio'!$H$6:$H$9=B50)*'Retiros del portafolio'!$G$6:$G$9*(1+('Retiros del portafolio'!$E$6:$E$9="CRC")*N($F$8)+('Retiros del portafolio'!$E$6:$E$9&lt;&gt;"CRC")*$F$9)^(D50-1))</f>
        <v>0</v>
      </c>
      <c r="Y50" s="15" t="n">
        <f aca="false">W50+X50</f>
        <v>12896.2131185498</v>
      </c>
      <c r="Z50" s="15" t="n">
        <f aca="false">V50+Y50</f>
        <v>161202.663981873</v>
      </c>
      <c r="AA50" s="15" t="n">
        <f aca="false">Q50-Z50</f>
        <v>-60676.660087552</v>
      </c>
      <c r="AB50" s="8" t="n">
        <f aca="false">SUMPRODUCT((Desinversiones!$H$6:$H$10=B50)*(Desinversiones!$I$6:$I$10=1)*Desinversiones!$G$6:$G$10*(1+(Desinversiones!$E$6:$E$10="CRC")*N($F$8)+(Desinversiones!$E$6:$E$10&lt;&gt;"CRC")*$F$9)^(D50-1))</f>
        <v>0</v>
      </c>
      <c r="AC50" s="8" t="n">
        <f aca="false">SUMPRODUCT((Desinversiones!$H$6:$H$10=B50)*(Desinversiones!$I$6:$I$10=2)*Desinversiones!$G$6:$G$10*(1+(Desinversiones!$E$6:$E$10="CRC")*N($F$8)+(Desinversiones!$E$6:$E$10&lt;&gt;"CRC")*$F$9)^(D50-1))</f>
        <v>0</v>
      </c>
      <c r="AD50" s="8" t="n">
        <f aca="false">SUMPRODUCT((Desinversiones!$H$6:$H$10=B50)*(Desinversiones!$I$6:$I$10=3)*Desinversiones!$G$6:$G$10*(1+(Desinversiones!$E$6:$E$10="CRC")*N($F$8)+(Desinversiones!$E$6:$E$10&lt;&gt;"CRC")*$F$9)^(D50-1))</f>
        <v>0</v>
      </c>
      <c r="AE50" s="15" t="n">
        <f aca="false">SUM(AB50:AD50)</f>
        <v>0</v>
      </c>
      <c r="AF50" s="15" t="n">
        <f aca="false">AE50</f>
        <v>0</v>
      </c>
      <c r="AG50" s="8" t="n">
        <f aca="false">AJ49</f>
        <v>855748.351778979</v>
      </c>
      <c r="AH50" s="8" t="n">
        <f aca="false">AG50*$F$13</f>
        <v>50123.3203345743</v>
      </c>
      <c r="AI50" s="15" t="n">
        <f aca="false">AA50+AF50</f>
        <v>-60676.660087552</v>
      </c>
      <c r="AJ50" s="15" t="n">
        <f aca="false">AG50+AH50+AI50+AM50</f>
        <v>845195.012026002</v>
      </c>
      <c r="AK50" s="8" t="n">
        <f aca="false">AJ50/(1+$F$9)^(D50-1+$F$24/12)</f>
        <v>389486.211364343</v>
      </c>
      <c r="AL50" s="9" t="n">
        <f aca="false">IF(AG50&lt;=0,0,MAX(0,-AI50)/AG50)</f>
        <v>0.0709047934026561</v>
      </c>
      <c r="AM50" s="8" t="n">
        <f aca="false">MAX(0,-(AG50+AH50+AI50))</f>
        <v>0</v>
      </c>
    </row>
    <row r="51" customFormat="false" ht="13.8" hidden="false" customHeight="false" outlineLevel="0" collapsed="false">
      <c r="B51" s="13" t="n">
        <f aca="false">B50+1</f>
        <v>2047</v>
      </c>
      <c r="C51" s="13" t="n">
        <f aca="false">C50+1</f>
        <v>67</v>
      </c>
      <c r="D51" s="13" t="n">
        <f aca="false">D50+1</f>
        <v>22</v>
      </c>
      <c r="E51" s="4" t="str">
        <f aca="false">IF(D51&lt;=$F$19,"Acumulación","Retiro")</f>
        <v>Retiro</v>
      </c>
      <c r="F51" s="8" t="n">
        <f aca="false">IF(D51&lt;=$P$7,$N$7*12*(1+IF($M$7="CRC",N($F$8),$F$9))^(D51-1),0)</f>
        <v>0</v>
      </c>
      <c r="G51" s="8" t="n">
        <f aca="false">IF(D51&lt;=$P$8,$N$8*12*(1+IF($M$8="CRC",N($F$8),$F$9))^(D51-1),0)</f>
        <v>0</v>
      </c>
      <c r="H51" s="8" t="n">
        <f aca="false">IF(AND($N$9&gt;0,D51&gt;=$O$9,D51&lt;=$P$9),$N$9*12*(1+IF($M$9="CRC",N($F$8),$F$9))^(D51-1),0)</f>
        <v>29775.9231781628</v>
      </c>
      <c r="I51" s="8" t="n">
        <f aca="false">SUMPRODUCT((Ingresos!$H$14:$H$17&gt;=B51)*Ingresos!$G$14:$G$17*(1+(Ingresos!$E$14:$E$17="CRC")*N($F$8)+(Ingresos!$E$14:$E$17&lt;&gt;"CRC")*$F$9)^(D51-1))*12</f>
        <v>0</v>
      </c>
      <c r="J51" s="8" t="n">
        <f aca="false">IF(AND($N$10&gt;0,D51&gt;=N($O$10)),$N$10*12*(1+IF($M$10="CRC",N($F$8),$F$9))^(N($O$10)-1)*(1+N($F$10))^(D51-N($O$10))*IF(D51=N($O$10),IF(AND(ISNUMBER($F$21),N($F$20)&gt;=$C$30),(12-$F$21)/12,1),1),0)</f>
        <v>45019.1064133725</v>
      </c>
      <c r="K51" s="8" t="n">
        <f aca="false">Pensiones!T40</f>
        <v>12553.8977671245</v>
      </c>
      <c r="L51" s="8" t="n">
        <f aca="false">Pensiones!U40</f>
        <v>14740.4820661339</v>
      </c>
      <c r="M51" s="15" t="n">
        <f aca="false">SUM(F51:L51)</f>
        <v>102089.409424794</v>
      </c>
      <c r="N51" s="8" t="n">
        <f aca="false">SUMPRODUCT((Ingresos!$H$22:$H$26=B51)*Ingresos!$G$22:$G$26*(1+(Ingresos!$E$22:$E$26="CRC")*N($F$8)+(Ingresos!$E$22:$E$26&lt;&gt;"CRC")*$F$9)^(D51-1))</f>
        <v>0</v>
      </c>
      <c r="O51" s="8" t="n">
        <f aca="false">Pensiones!S40</f>
        <v>0</v>
      </c>
      <c r="P51" s="15" t="n">
        <f aca="false">SUM(N51:O51)</f>
        <v>0</v>
      </c>
      <c r="Q51" s="15" t="n">
        <f aca="false">M51+P51</f>
        <v>102089.409424794</v>
      </c>
      <c r="R51" s="8" t="n">
        <f aca="false">$W$7*12*(N($F$22)*(1+$F$9)^(D51-1)+(1-N($F$22))*(1+N($F$8))^(D51-1))*IF(D51&gt;$F$19,$F$18,1)</f>
        <v>147390.819731906</v>
      </c>
      <c r="S51" s="8" t="n">
        <f aca="false">SUMPRODUCT((Gastos!$H$14:$H$17&lt;=B51)*(Gastos!$H$14:$H$17+Gastos!$I$14:$I$17&gt;B51)*Gastos!$G$14:$G$17*(1+(Gastos!$E$14:$E$17="CRC")*N($F$8)+(Gastos!$E$14:$E$17&lt;&gt;"CRC")*$F$9)^(D51-1))</f>
        <v>0</v>
      </c>
      <c r="T51" s="8" t="n">
        <f aca="false">$W$10*(1+IF($V$10="CRC",N($F$8),$F$9))^(D51-1)</f>
        <v>6699.58271508664</v>
      </c>
      <c r="U51" s="8" t="n">
        <f aca="false">(IF(D51&lt;=$X$11,$W$11*12,0)+IF(Gastos!$G$28="Sí",0,SUMPRODUCT((Gastos!$H$22:$H$26&gt;=B51)*Gastos!$G$22:$G$26)*12)+SUMPRODUCT((Gastos!$H$43:$H$45&lt;=B51)*(Gastos!$H$43:$H$45+Gastos!$I$43:$I$45-1&gt;=B51)*Gastos!$K$43:$K$45))</f>
        <v>0</v>
      </c>
      <c r="V51" s="15" t="n">
        <f aca="false">SUM(R51:U51)</f>
        <v>154090.402446993</v>
      </c>
      <c r="W51" s="8" t="n">
        <f aca="false">SUMPRODUCT((Gastos!$I$33:$I$37=1)*(Gastos!$H$33:$H$37=B51)*Gastos!$G$33:$G$37*(1+(Gastos!$E$33:$E$37="CRC")*N($F$8)+(Gastos!$E$33:$E$37&lt;&gt;"CRC")*$F$9)^(D51-1))+SUMPRODUCT((Gastos!$I$33:$I$37=2)*(Gastos!$H$33:$H$37&lt;=B51)*Gastos!$G$33:$G$37*(1+(Gastos!$E$33:$E$37="CRC")*N($F$8)+(Gastos!$E$33:$E$37&lt;&gt;"CRC")*$F$9)^(D51-1))+SUMPRODUCT(('Retiros del portafolio'!$H$15:$H$18=B51)*'Retiros del portafolio'!$G$15:$G$18*(1+('Retiros del portafolio'!$E$15:$E$18="CRC")*N($F$8)+('Retiros del portafolio'!$E$15:$E$18&lt;&gt;"CRC")*$F$9)^(D51-1))</f>
        <v>13399.1654301733</v>
      </c>
      <c r="X51" s="8" t="n">
        <f aca="false">SUMPRODUCT(('Retiros del portafolio'!$H$6:$H$9=B51)*'Retiros del portafolio'!$G$6:$G$9*(1+('Retiros del portafolio'!$E$6:$E$9="CRC")*N($F$8)+('Retiros del portafolio'!$E$6:$E$9&lt;&gt;"CRC")*$F$9)^(D51-1))</f>
        <v>0</v>
      </c>
      <c r="Y51" s="15" t="n">
        <f aca="false">W51+X51</f>
        <v>13399.1654301733</v>
      </c>
      <c r="Z51" s="15" t="n">
        <f aca="false">V51+Y51</f>
        <v>167489.567877166</v>
      </c>
      <c r="AA51" s="15" t="n">
        <f aca="false">Q51-Z51</f>
        <v>-65400.1584523723</v>
      </c>
      <c r="AB51" s="8" t="n">
        <f aca="false">SUMPRODUCT((Desinversiones!$H$6:$H$10=B51)*(Desinversiones!$I$6:$I$10=1)*Desinversiones!$G$6:$G$10*(1+(Desinversiones!$E$6:$E$10="CRC")*N($F$8)+(Desinversiones!$E$6:$E$10&lt;&gt;"CRC")*$F$9)^(D51-1))</f>
        <v>0</v>
      </c>
      <c r="AC51" s="8" t="n">
        <f aca="false">SUMPRODUCT((Desinversiones!$H$6:$H$10=B51)*(Desinversiones!$I$6:$I$10=2)*Desinversiones!$G$6:$G$10*(1+(Desinversiones!$E$6:$E$10="CRC")*N($F$8)+(Desinversiones!$E$6:$E$10&lt;&gt;"CRC")*$F$9)^(D51-1))</f>
        <v>0</v>
      </c>
      <c r="AD51" s="8" t="n">
        <f aca="false">SUMPRODUCT((Desinversiones!$H$6:$H$10=B51)*(Desinversiones!$I$6:$I$10=3)*Desinversiones!$G$6:$G$10*(1+(Desinversiones!$E$6:$E$10="CRC")*N($F$8)+(Desinversiones!$E$6:$E$10&lt;&gt;"CRC")*$F$9)^(D51-1))</f>
        <v>0</v>
      </c>
      <c r="AE51" s="15" t="n">
        <f aca="false">SUM(AB51:AD51)</f>
        <v>0</v>
      </c>
      <c r="AF51" s="15" t="n">
        <f aca="false">AE51</f>
        <v>0</v>
      </c>
      <c r="AG51" s="8" t="n">
        <f aca="false">AJ50</f>
        <v>845195.012026002</v>
      </c>
      <c r="AH51" s="8" t="n">
        <f aca="false">AG51*$F$13</f>
        <v>49505.184841893</v>
      </c>
      <c r="AI51" s="15" t="n">
        <f aca="false">AA51+AF51</f>
        <v>-65400.1584523723</v>
      </c>
      <c r="AJ51" s="15" t="n">
        <f aca="false">AG51+AH51+AI51+AM51</f>
        <v>829300.038415522</v>
      </c>
      <c r="AK51" s="8" t="n">
        <f aca="false">AJ51/(1+$F$9)^(D51-1+$F$24/12)</f>
        <v>367816.578267738</v>
      </c>
      <c r="AL51" s="9" t="n">
        <f aca="false">IF(AG51&lt;=0,0,MAX(0,-AI51)/AG51)</f>
        <v>0.0773787794790728</v>
      </c>
      <c r="AM51" s="8" t="n">
        <f aca="false">MAX(0,-(AG51+AH51+AI51))</f>
        <v>0</v>
      </c>
    </row>
    <row r="52" customFormat="false" ht="13.8" hidden="false" customHeight="false" outlineLevel="0" collapsed="false">
      <c r="B52" s="13" t="n">
        <f aca="false">B51+1</f>
        <v>2048</v>
      </c>
      <c r="C52" s="13" t="n">
        <f aca="false">C51+1</f>
        <v>68</v>
      </c>
      <c r="D52" s="13" t="n">
        <f aca="false">D51+1</f>
        <v>23</v>
      </c>
      <c r="E52" s="4" t="str">
        <f aca="false">IF(D52&lt;=$F$19,"Acumulación","Retiro")</f>
        <v>Retiro</v>
      </c>
      <c r="F52" s="8" t="n">
        <f aca="false">IF(D52&lt;=$P$7,$N$7*12*(1+IF($M$7="CRC",N($F$8),$F$9))^(D52-1),0)</f>
        <v>0</v>
      </c>
      <c r="G52" s="8" t="n">
        <f aca="false">IF(D52&lt;=$P$8,$N$8*12*(1+IF($M$8="CRC",N($F$8),$F$9))^(D52-1),0)</f>
        <v>0</v>
      </c>
      <c r="H52" s="8" t="n">
        <f aca="false">IF(AND($N$9&gt;0,D52&gt;=$O$9,D52&lt;=$P$9),$N$9*12*(1+IF($M$9="CRC",N($F$8),$F$9))^(D52-1),0)</f>
        <v>30937.1841821112</v>
      </c>
      <c r="I52" s="8" t="n">
        <f aca="false">SUMPRODUCT((Ingresos!$H$14:$H$17&gt;=B52)*Ingresos!$G$14:$G$17*(1+(Ingresos!$E$14:$E$17="CRC")*N($F$8)+(Ingresos!$E$14:$E$17&lt;&gt;"CRC")*$F$9)^(D52-1))*12</f>
        <v>0</v>
      </c>
      <c r="J52" s="8" t="n">
        <f aca="false">IF(AND($N$10&gt;0,D52&gt;=N($O$10)),$N$10*12*(1+IF($M$10="CRC",N($F$8),$F$9))^(N($O$10)-1)*(1+N($F$10))^(D52-N($O$10))*IF(D52=N($O$10),IF(AND(ISNUMBER($F$21),N($F$20)&gt;=$C$30),(12-$F$21)/12,1),1),0)</f>
        <v>45469.2974775062</v>
      </c>
      <c r="K52" s="8" t="n">
        <f aca="false">Pensiones!T41</f>
        <v>12553.8977671245</v>
      </c>
      <c r="L52" s="8" t="n">
        <f aca="false">Pensiones!U41</f>
        <v>14740.4820661339</v>
      </c>
      <c r="M52" s="15" t="n">
        <f aca="false">SUM(F52:L52)</f>
        <v>103700.861492876</v>
      </c>
      <c r="N52" s="8" t="n">
        <f aca="false">SUMPRODUCT((Ingresos!$H$22:$H$26=B52)*Ingresos!$G$22:$G$26*(1+(Ingresos!$E$22:$E$26="CRC")*N($F$8)+(Ingresos!$E$22:$E$26&lt;&gt;"CRC")*$F$9)^(D52-1))</f>
        <v>0</v>
      </c>
      <c r="O52" s="8" t="n">
        <f aca="false">Pensiones!S41</f>
        <v>0</v>
      </c>
      <c r="P52" s="15" t="n">
        <f aca="false">SUM(N52:O52)</f>
        <v>0</v>
      </c>
      <c r="Q52" s="15" t="n">
        <f aca="false">M52+P52</f>
        <v>103700.861492876</v>
      </c>
      <c r="R52" s="8" t="n">
        <f aca="false">$W$7*12*(N($F$22)*(1+$F$9)^(D52-1)+(1-N($F$22))*(1+N($F$8))^(D52-1))*IF(D52&gt;$F$19,$F$18,1)</f>
        <v>153139.06170145</v>
      </c>
      <c r="S52" s="8" t="n">
        <f aca="false">SUMPRODUCT((Gastos!$H$14:$H$17&lt;=B52)*(Gastos!$H$14:$H$17+Gastos!$I$14:$I$17&gt;B52)*Gastos!$G$14:$G$17*(1+(Gastos!$E$14:$E$17="CRC")*N($F$8)+(Gastos!$E$14:$E$17&lt;&gt;"CRC")*$F$9)^(D52-1))</f>
        <v>0</v>
      </c>
      <c r="T52" s="8" t="n">
        <f aca="false">$W$10*(1+IF($V$10="CRC",N($F$8),$F$9))^(D52-1)</f>
        <v>6960.86644097502</v>
      </c>
      <c r="U52" s="8" t="n">
        <f aca="false">(IF(D52&lt;=$X$11,$W$11*12,0)+IF(Gastos!$G$28="Sí",0,SUMPRODUCT((Gastos!$H$22:$H$26&gt;=B52)*Gastos!$G$22:$G$26)*12)+SUMPRODUCT((Gastos!$H$43:$H$45&lt;=B52)*(Gastos!$H$43:$H$45+Gastos!$I$43:$I$45-1&gt;=B52)*Gastos!$K$43:$K$45))</f>
        <v>0</v>
      </c>
      <c r="V52" s="15" t="n">
        <f aca="false">SUM(R52:U52)</f>
        <v>160099.928142425</v>
      </c>
      <c r="W52" s="8" t="n">
        <f aca="false">SUMPRODUCT((Gastos!$I$33:$I$37=1)*(Gastos!$H$33:$H$37=B52)*Gastos!$G$33:$G$37*(1+(Gastos!$E$33:$E$37="CRC")*N($F$8)+(Gastos!$E$33:$E$37&lt;&gt;"CRC")*$F$9)^(D52-1))+SUMPRODUCT((Gastos!$I$33:$I$37=2)*(Gastos!$H$33:$H$37&lt;=B52)*Gastos!$G$33:$G$37*(1+(Gastos!$E$33:$E$37="CRC")*N($F$8)+(Gastos!$E$33:$E$37&lt;&gt;"CRC")*$F$9)^(D52-1))+SUMPRODUCT(('Retiros del portafolio'!$H$15:$H$18=B52)*'Retiros del portafolio'!$G$15:$G$18*(1+('Retiros del portafolio'!$E$15:$E$18="CRC")*N($F$8)+('Retiros del portafolio'!$E$15:$E$18&lt;&gt;"CRC")*$F$9)^(D52-1))</f>
        <v>13921.73288195</v>
      </c>
      <c r="X52" s="8" t="n">
        <f aca="false">SUMPRODUCT(('Retiros del portafolio'!$H$6:$H$9=B52)*'Retiros del portafolio'!$G$6:$G$9*(1+('Retiros del portafolio'!$E$6:$E$9="CRC")*N($F$8)+('Retiros del portafolio'!$E$6:$E$9&lt;&gt;"CRC")*$F$9)^(D52-1))</f>
        <v>0</v>
      </c>
      <c r="Y52" s="15" t="n">
        <f aca="false">W52+X52</f>
        <v>13921.73288195</v>
      </c>
      <c r="Z52" s="15" t="n">
        <f aca="false">V52+Y52</f>
        <v>174021.661024375</v>
      </c>
      <c r="AA52" s="15" t="n">
        <f aca="false">Q52-Z52</f>
        <v>-70320.7995314997</v>
      </c>
      <c r="AB52" s="8" t="n">
        <f aca="false">SUMPRODUCT((Desinversiones!$H$6:$H$10=B52)*(Desinversiones!$I$6:$I$10=1)*Desinversiones!$G$6:$G$10*(1+(Desinversiones!$E$6:$E$10="CRC")*N($F$8)+(Desinversiones!$E$6:$E$10&lt;&gt;"CRC")*$F$9)^(D52-1))</f>
        <v>0</v>
      </c>
      <c r="AC52" s="8" t="n">
        <f aca="false">SUMPRODUCT((Desinversiones!$H$6:$H$10=B52)*(Desinversiones!$I$6:$I$10=2)*Desinversiones!$G$6:$G$10*(1+(Desinversiones!$E$6:$E$10="CRC")*N($F$8)+(Desinversiones!$E$6:$E$10&lt;&gt;"CRC")*$F$9)^(D52-1))</f>
        <v>0</v>
      </c>
      <c r="AD52" s="8" t="n">
        <f aca="false">SUMPRODUCT((Desinversiones!$H$6:$H$10=B52)*(Desinversiones!$I$6:$I$10=3)*Desinversiones!$G$6:$G$10*(1+(Desinversiones!$E$6:$E$10="CRC")*N($F$8)+(Desinversiones!$E$6:$E$10&lt;&gt;"CRC")*$F$9)^(D52-1))</f>
        <v>0</v>
      </c>
      <c r="AE52" s="15" t="n">
        <f aca="false">SUM(AB52:AD52)</f>
        <v>0</v>
      </c>
      <c r="AF52" s="15" t="n">
        <f aca="false">AE52</f>
        <v>0</v>
      </c>
      <c r="AG52" s="8" t="n">
        <f aca="false">AJ51</f>
        <v>829300.038415522</v>
      </c>
      <c r="AH52" s="8" t="n">
        <f aca="false">AG52*$F$13</f>
        <v>48574.1765000932</v>
      </c>
      <c r="AI52" s="15" t="n">
        <f aca="false">AA52+AF52</f>
        <v>-70320.7995314997</v>
      </c>
      <c r="AJ52" s="15" t="n">
        <f aca="false">AG52+AH52+AI52+AM52</f>
        <v>807553.415384116</v>
      </c>
      <c r="AK52" s="8" t="n">
        <f aca="false">AJ52/(1+$F$9)^(D52-1+$F$24/12)</f>
        <v>344727.019976691</v>
      </c>
      <c r="AL52" s="9" t="n">
        <f aca="false">IF(AG52&lt;=0,0,MAX(0,-AI52)/AG52)</f>
        <v>0.0847953650959139</v>
      </c>
      <c r="AM52" s="8" t="n">
        <f aca="false">MAX(0,-(AG52+AH52+AI52))</f>
        <v>0</v>
      </c>
    </row>
    <row r="53" customFormat="false" ht="13.8" hidden="false" customHeight="false" outlineLevel="0" collapsed="false">
      <c r="B53" s="13" t="n">
        <f aca="false">B52+1</f>
        <v>2049</v>
      </c>
      <c r="C53" s="13" t="n">
        <f aca="false">C52+1</f>
        <v>69</v>
      </c>
      <c r="D53" s="13" t="n">
        <f aca="false">D52+1</f>
        <v>24</v>
      </c>
      <c r="E53" s="4" t="str">
        <f aca="false">IF(D53&lt;=$F$19,"Acumulación","Retiro")</f>
        <v>Retiro</v>
      </c>
      <c r="F53" s="8" t="n">
        <f aca="false">IF(D53&lt;=$P$7,$N$7*12*(1+IF($M$7="CRC",N($F$8),$F$9))^(D53-1),0)</f>
        <v>0</v>
      </c>
      <c r="G53" s="8" t="n">
        <f aca="false">IF(D53&lt;=$P$8,$N$8*12*(1+IF($M$8="CRC",N($F$8),$F$9))^(D53-1),0)</f>
        <v>0</v>
      </c>
      <c r="H53" s="8" t="n">
        <f aca="false">IF(AND($N$9&gt;0,D53&gt;=$O$9,D53&lt;=$P$9),$N$9*12*(1+IF($M$9="CRC",N($F$8),$F$9))^(D53-1),0)</f>
        <v>32143.7343652135</v>
      </c>
      <c r="I53" s="8" t="n">
        <f aca="false">SUMPRODUCT((Ingresos!$H$14:$H$17&gt;=B53)*Ingresos!$G$14:$G$17*(1+(Ingresos!$E$14:$E$17="CRC")*N($F$8)+(Ingresos!$E$14:$E$17&lt;&gt;"CRC")*$F$9)^(D53-1))*12</f>
        <v>0</v>
      </c>
      <c r="J53" s="8" t="n">
        <f aca="false">IF(AND($N$10&gt;0,D53&gt;=N($O$10)),$N$10*12*(1+IF($M$10="CRC",N($F$8),$F$9))^(N($O$10)-1)*(1+N($F$10))^(D53-N($O$10))*IF(D53=N($O$10),IF(AND(ISNUMBER($F$21),N($F$20)&gt;=$C$30),(12-$F$21)/12,1),1),0)</f>
        <v>45923.9904522813</v>
      </c>
      <c r="K53" s="8" t="n">
        <f aca="false">Pensiones!T42</f>
        <v>12553.8977671245</v>
      </c>
      <c r="L53" s="8" t="n">
        <f aca="false">Pensiones!U42</f>
        <v>14740.4820661339</v>
      </c>
      <c r="M53" s="15" t="n">
        <f aca="false">SUM(F53:L53)</f>
        <v>105362.104650753</v>
      </c>
      <c r="N53" s="8" t="n">
        <f aca="false">SUMPRODUCT((Ingresos!$H$22:$H$26=B53)*Ingresos!$G$22:$G$26*(1+(Ingresos!$E$22:$E$26="CRC")*N($F$8)+(Ingresos!$E$22:$E$26&lt;&gt;"CRC")*$F$9)^(D53-1))</f>
        <v>0</v>
      </c>
      <c r="O53" s="8" t="n">
        <f aca="false">Pensiones!S42</f>
        <v>0</v>
      </c>
      <c r="P53" s="15" t="n">
        <f aca="false">SUM(N53:O53)</f>
        <v>0</v>
      </c>
      <c r="Q53" s="15" t="n">
        <f aca="false">M53+P53</f>
        <v>105362.104650753</v>
      </c>
      <c r="R53" s="8" t="n">
        <f aca="false">$W$7*12*(N($F$22)*(1+$F$9)^(D53-1)+(1-N($F$22))*(1+N($F$8))^(D53-1))*IF(D53&gt;$F$19,$F$18,1)</f>
        <v>159111.485107807</v>
      </c>
      <c r="S53" s="8" t="n">
        <f aca="false">SUMPRODUCT((Gastos!$H$14:$H$17&lt;=B53)*(Gastos!$H$14:$H$17+Gastos!$I$14:$I$17&gt;B53)*Gastos!$G$14:$G$17*(1+(Gastos!$E$14:$E$17="CRC")*N($F$8)+(Gastos!$E$14:$E$17&lt;&gt;"CRC")*$F$9)^(D53-1))</f>
        <v>0</v>
      </c>
      <c r="T53" s="8" t="n">
        <f aca="false">$W$10*(1+IF($V$10="CRC",N($F$8),$F$9))^(D53-1)</f>
        <v>7232.34023217304</v>
      </c>
      <c r="U53" s="8" t="n">
        <f aca="false">(IF(D53&lt;=$X$11,$W$11*12,0)+IF(Gastos!$G$28="Sí",0,SUMPRODUCT((Gastos!$H$22:$H$26&gt;=B53)*Gastos!$G$22:$G$26)*12)+SUMPRODUCT((Gastos!$H$43:$H$45&lt;=B53)*(Gastos!$H$43:$H$45+Gastos!$I$43:$I$45-1&gt;=B53)*Gastos!$K$43:$K$45))</f>
        <v>0</v>
      </c>
      <c r="V53" s="15" t="n">
        <f aca="false">SUM(R53:U53)</f>
        <v>166343.82533998</v>
      </c>
      <c r="W53" s="8" t="n">
        <f aca="false">SUMPRODUCT((Gastos!$I$33:$I$37=1)*(Gastos!$H$33:$H$37=B53)*Gastos!$G$33:$G$37*(1+(Gastos!$E$33:$E$37="CRC")*N($F$8)+(Gastos!$E$33:$E$37&lt;&gt;"CRC")*$F$9)^(D53-1))+SUMPRODUCT((Gastos!$I$33:$I$37=2)*(Gastos!$H$33:$H$37&lt;=B53)*Gastos!$G$33:$G$37*(1+(Gastos!$E$33:$E$37="CRC")*N($F$8)+(Gastos!$E$33:$E$37&lt;&gt;"CRC")*$F$9)^(D53-1))+SUMPRODUCT(('Retiros del portafolio'!$H$15:$H$18=B53)*'Retiros del portafolio'!$G$15:$G$18*(1+('Retiros del portafolio'!$E$15:$E$18="CRC")*N($F$8)+('Retiros del portafolio'!$E$15:$E$18&lt;&gt;"CRC")*$F$9)^(D53-1))</f>
        <v>14464.6804643461</v>
      </c>
      <c r="X53" s="8" t="n">
        <f aca="false">SUMPRODUCT(('Retiros del portafolio'!$H$6:$H$9=B53)*'Retiros del portafolio'!$G$6:$G$9*(1+('Retiros del portafolio'!$E$6:$E$9="CRC")*N($F$8)+('Retiros del portafolio'!$E$6:$E$9&lt;&gt;"CRC")*$F$9)^(D53-1))</f>
        <v>0</v>
      </c>
      <c r="Y53" s="15" t="n">
        <f aca="false">W53+X53</f>
        <v>14464.6804643461</v>
      </c>
      <c r="Z53" s="15" t="n">
        <f aca="false">V53+Y53</f>
        <v>180808.505804326</v>
      </c>
      <c r="AA53" s="15" t="n">
        <f aca="false">Q53-Z53</f>
        <v>-75446.4011535729</v>
      </c>
      <c r="AB53" s="8" t="n">
        <f aca="false">SUMPRODUCT((Desinversiones!$H$6:$H$10=B53)*(Desinversiones!$I$6:$I$10=1)*Desinversiones!$G$6:$G$10*(1+(Desinversiones!$E$6:$E$10="CRC")*N($F$8)+(Desinversiones!$E$6:$E$10&lt;&gt;"CRC")*$F$9)^(D53-1))</f>
        <v>0</v>
      </c>
      <c r="AC53" s="8" t="n">
        <f aca="false">SUMPRODUCT((Desinversiones!$H$6:$H$10=B53)*(Desinversiones!$I$6:$I$10=2)*Desinversiones!$G$6:$G$10*(1+(Desinversiones!$E$6:$E$10="CRC")*N($F$8)+(Desinversiones!$E$6:$E$10&lt;&gt;"CRC")*$F$9)^(D53-1))</f>
        <v>0</v>
      </c>
      <c r="AD53" s="8" t="n">
        <f aca="false">SUMPRODUCT((Desinversiones!$H$6:$H$10=B53)*(Desinversiones!$I$6:$I$10=3)*Desinversiones!$G$6:$G$10*(1+(Desinversiones!$E$6:$E$10="CRC")*N($F$8)+(Desinversiones!$E$6:$E$10&lt;&gt;"CRC")*$F$9)^(D53-1))</f>
        <v>0</v>
      </c>
      <c r="AE53" s="15" t="n">
        <f aca="false">SUM(AB53:AD53)</f>
        <v>0</v>
      </c>
      <c r="AF53" s="15" t="n">
        <f aca="false">AE53</f>
        <v>0</v>
      </c>
      <c r="AG53" s="8" t="n">
        <f aca="false">AJ52</f>
        <v>807553.415384116</v>
      </c>
      <c r="AH53" s="8" t="n">
        <f aca="false">AG53*$F$13</f>
        <v>47300.4224225861</v>
      </c>
      <c r="AI53" s="15" t="n">
        <f aca="false">AA53+AF53</f>
        <v>-75446.4011535729</v>
      </c>
      <c r="AJ53" s="15" t="n">
        <f aca="false">AG53+AH53+AI53+AM53</f>
        <v>779407.436653129</v>
      </c>
      <c r="AK53" s="8" t="n">
        <f aca="false">AJ53/(1+$F$9)^(D53-1+$F$24/12)</f>
        <v>320223.40013743</v>
      </c>
      <c r="AL53" s="9" t="n">
        <f aca="false">IF(AG53&lt;=0,0,MAX(0,-AI53)/AG53)</f>
        <v>0.0934258956946972</v>
      </c>
      <c r="AM53" s="8" t="n">
        <f aca="false">MAX(0,-(AG53+AH53+AI53))</f>
        <v>0</v>
      </c>
    </row>
    <row r="54" customFormat="false" ht="13.8" hidden="false" customHeight="false" outlineLevel="0" collapsed="false">
      <c r="B54" s="13" t="n">
        <f aca="false">B53+1</f>
        <v>2050</v>
      </c>
      <c r="C54" s="13" t="n">
        <f aca="false">C53+1</f>
        <v>70</v>
      </c>
      <c r="D54" s="13" t="n">
        <f aca="false">D53+1</f>
        <v>25</v>
      </c>
      <c r="E54" s="4" t="str">
        <f aca="false">IF(D54&lt;=$F$19,"Acumulación","Retiro")</f>
        <v>Retiro</v>
      </c>
      <c r="F54" s="8" t="n">
        <f aca="false">IF(D54&lt;=$P$7,$N$7*12*(1+IF($M$7="CRC",N($F$8),$F$9))^(D54-1),0)</f>
        <v>0</v>
      </c>
      <c r="G54" s="8" t="n">
        <f aca="false">IF(D54&lt;=$P$8,$N$8*12*(1+IF($M$8="CRC",N($F$8),$F$9))^(D54-1),0)</f>
        <v>0</v>
      </c>
      <c r="H54" s="8" t="n">
        <f aca="false">IF(AND($N$9&gt;0,D54&gt;=$O$9,D54&lt;=$P$9),$N$9*12*(1+IF($M$9="CRC",N($F$8),$F$9))^(D54-1),0)</f>
        <v>33397.3400054568</v>
      </c>
      <c r="I54" s="8" t="n">
        <f aca="false">SUMPRODUCT((Ingresos!$H$14:$H$17&gt;=B54)*Ingresos!$G$14:$G$17*(1+(Ingresos!$E$14:$E$17="CRC")*N($F$8)+(Ingresos!$E$14:$E$17&lt;&gt;"CRC")*$F$9)^(D54-1))*12</f>
        <v>0</v>
      </c>
      <c r="J54" s="8" t="n">
        <f aca="false">IF(AND($N$10&gt;0,D54&gt;=N($O$10)),$N$10*12*(1+IF($M$10="CRC",N($F$8),$F$9))^(N($O$10)-1)*(1+N($F$10))^(D54-N($O$10))*IF(D54=N($O$10),IF(AND(ISNUMBER($F$21),N($F$20)&gt;=$C$30),(12-$F$21)/12,1),1),0)</f>
        <v>46383.2303568041</v>
      </c>
      <c r="K54" s="8" t="n">
        <f aca="false">Pensiones!T43</f>
        <v>12553.8977671245</v>
      </c>
      <c r="L54" s="8" t="n">
        <f aca="false">Pensiones!U43</f>
        <v>14740.4820661339</v>
      </c>
      <c r="M54" s="15" t="n">
        <f aca="false">SUM(F54:L54)</f>
        <v>107074.950195519</v>
      </c>
      <c r="N54" s="8" t="n">
        <f aca="false">SUMPRODUCT((Ingresos!$H$22:$H$26=B54)*Ingresos!$G$22:$G$26*(1+(Ingresos!$E$22:$E$26="CRC")*N($F$8)+(Ingresos!$E$22:$E$26&lt;&gt;"CRC")*$F$9)^(D54-1))</f>
        <v>0</v>
      </c>
      <c r="O54" s="8" t="n">
        <f aca="false">Pensiones!S43</f>
        <v>0</v>
      </c>
      <c r="P54" s="15" t="n">
        <f aca="false">SUM(N54:O54)</f>
        <v>0</v>
      </c>
      <c r="Q54" s="15" t="n">
        <f aca="false">M54+P54</f>
        <v>107074.950195519</v>
      </c>
      <c r="R54" s="8" t="n">
        <f aca="false">$W$7*12*(N($F$22)*(1+$F$9)^(D54-1)+(1-N($F$22))*(1+N($F$8))^(D54-1))*IF(D54&gt;$F$19,$F$18,1)</f>
        <v>165316.833027011</v>
      </c>
      <c r="S54" s="8" t="n">
        <f aca="false">SUMPRODUCT((Gastos!$H$14:$H$17&lt;=B54)*(Gastos!$H$14:$H$17+Gastos!$I$14:$I$17&gt;B54)*Gastos!$G$14:$G$17*(1+(Gastos!$E$14:$E$17="CRC")*N($F$8)+(Gastos!$E$14:$E$17&lt;&gt;"CRC")*$F$9)^(D54-1))</f>
        <v>0</v>
      </c>
      <c r="T54" s="8" t="n">
        <f aca="false">$W$10*(1+IF($V$10="CRC",N($F$8),$F$9))^(D54-1)</f>
        <v>7514.40150122779</v>
      </c>
      <c r="U54" s="8" t="n">
        <f aca="false">(IF(D54&lt;=$X$11,$W$11*12,0)+IF(Gastos!$G$28="Sí",0,SUMPRODUCT((Gastos!$H$22:$H$26&gt;=B54)*Gastos!$G$22:$G$26)*12)+SUMPRODUCT((Gastos!$H$43:$H$45&lt;=B54)*(Gastos!$H$43:$H$45+Gastos!$I$43:$I$45-1&gt;=B54)*Gastos!$K$43:$K$45))</f>
        <v>0</v>
      </c>
      <c r="V54" s="15" t="n">
        <f aca="false">SUM(R54:U54)</f>
        <v>172831.234528239</v>
      </c>
      <c r="W54" s="8" t="n">
        <f aca="false">SUMPRODUCT((Gastos!$I$33:$I$37=1)*(Gastos!$H$33:$H$37=B54)*Gastos!$G$33:$G$37*(1+(Gastos!$E$33:$E$37="CRC")*N($F$8)+(Gastos!$E$33:$E$37&lt;&gt;"CRC")*$F$9)^(D54-1))+SUMPRODUCT((Gastos!$I$33:$I$37=2)*(Gastos!$H$33:$H$37&lt;=B54)*Gastos!$G$33:$G$37*(1+(Gastos!$E$33:$E$37="CRC")*N($F$8)+(Gastos!$E$33:$E$37&lt;&gt;"CRC")*$F$9)^(D54-1))+SUMPRODUCT(('Retiros del portafolio'!$H$15:$H$18=B54)*'Retiros del portafolio'!$G$15:$G$18*(1+('Retiros del portafolio'!$E$15:$E$18="CRC")*N($F$8)+('Retiros del portafolio'!$E$15:$E$18&lt;&gt;"CRC")*$F$9)^(D54-1))</f>
        <v>15028.8030024556</v>
      </c>
      <c r="X54" s="8" t="n">
        <f aca="false">SUMPRODUCT(('Retiros del portafolio'!$H$6:$H$9=B54)*'Retiros del portafolio'!$G$6:$G$9*(1+('Retiros del portafolio'!$E$6:$E$9="CRC")*N($F$8)+('Retiros del portafolio'!$E$6:$E$9&lt;&gt;"CRC")*$F$9)^(D54-1))</f>
        <v>0</v>
      </c>
      <c r="Y54" s="15" t="n">
        <f aca="false">W54+X54</f>
        <v>15028.8030024556</v>
      </c>
      <c r="Z54" s="15" t="n">
        <f aca="false">V54+Y54</f>
        <v>187860.037530695</v>
      </c>
      <c r="AA54" s="15" t="n">
        <f aca="false">Q54-Z54</f>
        <v>-80785.0873351754</v>
      </c>
      <c r="AB54" s="8" t="n">
        <f aca="false">SUMPRODUCT((Desinversiones!$H$6:$H$10=B54)*(Desinversiones!$I$6:$I$10=1)*Desinversiones!$G$6:$G$10*(1+(Desinversiones!$E$6:$E$10="CRC")*N($F$8)+(Desinversiones!$E$6:$E$10&lt;&gt;"CRC")*$F$9)^(D54-1))</f>
        <v>0</v>
      </c>
      <c r="AC54" s="8" t="n">
        <f aca="false">SUMPRODUCT((Desinversiones!$H$6:$H$10=B54)*(Desinversiones!$I$6:$I$10=2)*Desinversiones!$G$6:$G$10*(1+(Desinversiones!$E$6:$E$10="CRC")*N($F$8)+(Desinversiones!$E$6:$E$10&lt;&gt;"CRC")*$F$9)^(D54-1))</f>
        <v>0</v>
      </c>
      <c r="AD54" s="8" t="n">
        <f aca="false">SUMPRODUCT((Desinversiones!$H$6:$H$10=B54)*(Desinversiones!$I$6:$I$10=3)*Desinversiones!$G$6:$G$10*(1+(Desinversiones!$E$6:$E$10="CRC")*N($F$8)+(Desinversiones!$E$6:$E$10&lt;&gt;"CRC")*$F$9)^(D54-1))</f>
        <v>0</v>
      </c>
      <c r="AE54" s="15" t="n">
        <f aca="false">SUM(AB54:AD54)</f>
        <v>0</v>
      </c>
      <c r="AF54" s="15" t="n">
        <f aca="false">AE54</f>
        <v>0</v>
      </c>
      <c r="AG54" s="8" t="n">
        <f aca="false">AJ53</f>
        <v>779407.436653129</v>
      </c>
      <c r="AH54" s="8" t="n">
        <f aca="false">AG54*$F$13</f>
        <v>45651.8420833654</v>
      </c>
      <c r="AI54" s="15" t="n">
        <f aca="false">AA54+AF54</f>
        <v>-80785.0873351754</v>
      </c>
      <c r="AJ54" s="15" t="n">
        <f aca="false">AG54+AH54+AI54+AM54</f>
        <v>744274.191401319</v>
      </c>
      <c r="AK54" s="8" t="n">
        <f aca="false">AJ54/(1+$F$9)^(D54-1+$F$24/12)</f>
        <v>294310.618444597</v>
      </c>
      <c r="AL54" s="9" t="n">
        <f aca="false">IF(AG54&lt;=0,0,MAX(0,-AI54)/AG54)</f>
        <v>0.103649366860132</v>
      </c>
      <c r="AM54" s="8" t="n">
        <f aca="false">MAX(0,-(AG54+AH54+AI54))</f>
        <v>0</v>
      </c>
    </row>
    <row r="55" customFormat="false" ht="13.8" hidden="false" customHeight="false" outlineLevel="0" collapsed="false">
      <c r="B55" s="13" t="n">
        <f aca="false">B54+1</f>
        <v>2051</v>
      </c>
      <c r="C55" s="13" t="n">
        <f aca="false">C54+1</f>
        <v>71</v>
      </c>
      <c r="D55" s="13" t="n">
        <f aca="false">D54+1</f>
        <v>26</v>
      </c>
      <c r="E55" s="4" t="str">
        <f aca="false">IF(D55&lt;=$F$19,"Acumulación","Retiro")</f>
        <v>Retiro</v>
      </c>
      <c r="F55" s="8" t="n">
        <f aca="false">IF(D55&lt;=$P$7,$N$7*12*(1+IF($M$7="CRC",N($F$8),$F$9))^(D55-1),0)</f>
        <v>0</v>
      </c>
      <c r="G55" s="8" t="n">
        <f aca="false">IF(D55&lt;=$P$8,$N$8*12*(1+IF($M$8="CRC",N($F$8),$F$9))^(D55-1),0)</f>
        <v>0</v>
      </c>
      <c r="H55" s="8" t="n">
        <f aca="false">IF(AND($N$9&gt;0,D55&gt;=$O$9,D55&lt;=$P$9),$N$9*12*(1+IF($M$9="CRC",N($F$8),$F$9))^(D55-1),0)</f>
        <v>34699.8362656697</v>
      </c>
      <c r="I55" s="8" t="n">
        <f aca="false">SUMPRODUCT((Ingresos!$H$14:$H$17&gt;=B55)*Ingresos!$G$14:$G$17*(1+(Ingresos!$E$14:$E$17="CRC")*N($F$8)+(Ingresos!$E$14:$E$17&lt;&gt;"CRC")*$F$9)^(D55-1))*12</f>
        <v>0</v>
      </c>
      <c r="J55" s="8" t="n">
        <f aca="false">IF(AND($N$10&gt;0,D55&gt;=N($O$10)),$N$10*12*(1+IF($M$10="CRC",N($F$8),$F$9))^(N($O$10)-1)*(1+N($F$10))^(D55-N($O$10))*IF(D55=N($O$10),IF(AND(ISNUMBER($F$21),N($F$20)&gt;=$C$30),(12-$F$21)/12,1),1),0)</f>
        <v>46847.0626603721</v>
      </c>
      <c r="K55" s="8" t="n">
        <f aca="false">Pensiones!T44</f>
        <v>12553.8977671245</v>
      </c>
      <c r="L55" s="8" t="n">
        <f aca="false">Pensiones!U44</f>
        <v>14740.4820661339</v>
      </c>
      <c r="M55" s="15" t="n">
        <f aca="false">SUM(F55:L55)</f>
        <v>108841.2787593</v>
      </c>
      <c r="N55" s="8" t="n">
        <f aca="false">SUMPRODUCT((Ingresos!$H$22:$H$26=B55)*Ingresos!$G$22:$G$26*(1+(Ingresos!$E$22:$E$26="CRC")*N($F$8)+(Ingresos!$E$22:$E$26&lt;&gt;"CRC")*$F$9)^(D55-1))</f>
        <v>0</v>
      </c>
      <c r="O55" s="8" t="n">
        <f aca="false">Pensiones!S44</f>
        <v>0</v>
      </c>
      <c r="P55" s="15" t="n">
        <f aca="false">SUM(N55:O55)</f>
        <v>0</v>
      </c>
      <c r="Q55" s="15" t="n">
        <f aca="false">M55+P55</f>
        <v>108841.2787593</v>
      </c>
      <c r="R55" s="8" t="n">
        <f aca="false">$W$7*12*(N($F$22)*(1+$F$9)^(D55-1)+(1-N($F$22))*(1+N($F$8))^(D55-1))*IF(D55&gt;$F$19,$F$18,1)</f>
        <v>171764.189515065</v>
      </c>
      <c r="S55" s="8" t="n">
        <f aca="false">SUMPRODUCT((Gastos!$H$14:$H$17&lt;=B55)*(Gastos!$H$14:$H$17+Gastos!$I$14:$I$17&gt;B55)*Gastos!$G$14:$G$17*(1+(Gastos!$E$14:$E$17="CRC")*N($F$8)+(Gastos!$E$14:$E$17&lt;&gt;"CRC")*$F$9)^(D55-1))</f>
        <v>0</v>
      </c>
      <c r="T55" s="8" t="n">
        <f aca="false">$W$10*(1+IF($V$10="CRC",N($F$8),$F$9))^(D55-1)</f>
        <v>7807.46315977567</v>
      </c>
      <c r="U55" s="8" t="n">
        <f aca="false">(IF(D55&lt;=$X$11,$W$11*12,0)+IF(Gastos!$G$28="Sí",0,SUMPRODUCT((Gastos!$H$22:$H$26&gt;=B55)*Gastos!$G$22:$G$26)*12)+SUMPRODUCT((Gastos!$H$43:$H$45&lt;=B55)*(Gastos!$H$43:$H$45+Gastos!$I$43:$I$45-1&gt;=B55)*Gastos!$K$43:$K$45))</f>
        <v>0</v>
      </c>
      <c r="V55" s="15" t="n">
        <f aca="false">SUM(R55:U55)</f>
        <v>179571.65267484</v>
      </c>
      <c r="W55" s="8" t="n">
        <f aca="false">SUMPRODUCT((Gastos!$I$33:$I$37=1)*(Gastos!$H$33:$H$37=B55)*Gastos!$G$33:$G$37*(1+(Gastos!$E$33:$E$37="CRC")*N($F$8)+(Gastos!$E$33:$E$37&lt;&gt;"CRC")*$F$9)^(D55-1))+SUMPRODUCT((Gastos!$I$33:$I$37=2)*(Gastos!$H$33:$H$37&lt;=B55)*Gastos!$G$33:$G$37*(1+(Gastos!$E$33:$E$37="CRC")*N($F$8)+(Gastos!$E$33:$E$37&lt;&gt;"CRC")*$F$9)^(D55-1))+SUMPRODUCT(('Retiros del portafolio'!$H$15:$H$18=B55)*'Retiros del portafolio'!$G$15:$G$18*(1+('Retiros del portafolio'!$E$15:$E$18="CRC")*N($F$8)+('Retiros del portafolio'!$E$15:$E$18&lt;&gt;"CRC")*$F$9)^(D55-1))</f>
        <v>15614.9263195513</v>
      </c>
      <c r="X55" s="8" t="n">
        <f aca="false">SUMPRODUCT(('Retiros del portafolio'!$H$6:$H$9=B55)*'Retiros del portafolio'!$G$6:$G$9*(1+('Retiros del portafolio'!$E$6:$E$9="CRC")*N($F$8)+('Retiros del portafolio'!$E$6:$E$9&lt;&gt;"CRC")*$F$9)^(D55-1))</f>
        <v>0</v>
      </c>
      <c r="Y55" s="15" t="n">
        <f aca="false">W55+X55</f>
        <v>15614.9263195513</v>
      </c>
      <c r="Z55" s="15" t="n">
        <f aca="false">V55+Y55</f>
        <v>195186.578994392</v>
      </c>
      <c r="AA55" s="15" t="n">
        <f aca="false">Q55-Z55</f>
        <v>-86345.3002350916</v>
      </c>
      <c r="AB55" s="8" t="n">
        <f aca="false">SUMPRODUCT((Desinversiones!$H$6:$H$10=B55)*(Desinversiones!$I$6:$I$10=1)*Desinversiones!$G$6:$G$10*(1+(Desinversiones!$E$6:$E$10="CRC")*N($F$8)+(Desinversiones!$E$6:$E$10&lt;&gt;"CRC")*$F$9)^(D55-1))</f>
        <v>0</v>
      </c>
      <c r="AC55" s="8" t="n">
        <f aca="false">SUMPRODUCT((Desinversiones!$H$6:$H$10=B55)*(Desinversiones!$I$6:$I$10=2)*Desinversiones!$G$6:$G$10*(1+(Desinversiones!$E$6:$E$10="CRC")*N($F$8)+(Desinversiones!$E$6:$E$10&lt;&gt;"CRC")*$F$9)^(D55-1))</f>
        <v>0</v>
      </c>
      <c r="AD55" s="8" t="n">
        <f aca="false">SUMPRODUCT((Desinversiones!$H$6:$H$10=B55)*(Desinversiones!$I$6:$I$10=3)*Desinversiones!$G$6:$G$10*(1+(Desinversiones!$E$6:$E$10="CRC")*N($F$8)+(Desinversiones!$E$6:$E$10&lt;&gt;"CRC")*$F$9)^(D55-1))</f>
        <v>0</v>
      </c>
      <c r="AE55" s="15" t="n">
        <f aca="false">SUM(AB55:AD55)</f>
        <v>0</v>
      </c>
      <c r="AF55" s="15" t="n">
        <f aca="false">AE55</f>
        <v>0</v>
      </c>
      <c r="AG55" s="8" t="n">
        <f aca="false">AJ54</f>
        <v>744274.191401319</v>
      </c>
      <c r="AH55" s="8" t="n">
        <f aca="false">AG55*$F$13</f>
        <v>43594.0000758538</v>
      </c>
      <c r="AI55" s="15" t="n">
        <f aca="false">AA55+AF55</f>
        <v>-86345.3002350916</v>
      </c>
      <c r="AJ55" s="15" t="n">
        <f aca="false">AG55+AH55+AI55+AM55</f>
        <v>701522.891242081</v>
      </c>
      <c r="AK55" s="8" t="n">
        <f aca="false">AJ55/(1+$F$9)^(D55-1+$F$24/12)</f>
        <v>266992.628632882</v>
      </c>
      <c r="AL55" s="9" t="n">
        <f aca="false">IF(AG55&lt;=0,0,MAX(0,-AI55)/AG55)</f>
        <v>0.116012756095332</v>
      </c>
      <c r="AM55" s="8" t="n">
        <f aca="false">MAX(0,-(AG55+AH55+AI55))</f>
        <v>0</v>
      </c>
    </row>
    <row r="56" customFormat="false" ht="13.8" hidden="false" customHeight="false" outlineLevel="0" collapsed="false">
      <c r="B56" s="13" t="n">
        <f aca="false">B55+1</f>
        <v>2052</v>
      </c>
      <c r="C56" s="13" t="n">
        <f aca="false">C55+1</f>
        <v>72</v>
      </c>
      <c r="D56" s="13" t="n">
        <f aca="false">D55+1</f>
        <v>27</v>
      </c>
      <c r="E56" s="4" t="str">
        <f aca="false">IF(D56&lt;=$F$19,"Acumulación","Retiro")</f>
        <v>Retiro</v>
      </c>
      <c r="F56" s="8" t="n">
        <f aca="false">IF(D56&lt;=$P$7,$N$7*12*(1+IF($M$7="CRC",N($F$8),$F$9))^(D56-1),0)</f>
        <v>0</v>
      </c>
      <c r="G56" s="8" t="n">
        <f aca="false">IF(D56&lt;=$P$8,$N$8*12*(1+IF($M$8="CRC",N($F$8),$F$9))^(D56-1),0)</f>
        <v>0</v>
      </c>
      <c r="H56" s="8" t="n">
        <f aca="false">IF(AND($N$9&gt;0,D56&gt;=$O$9,D56&lt;=$P$9),$N$9*12*(1+IF($M$9="CRC",N($F$8),$F$9))^(D56-1),0)</f>
        <v>36053.1298800308</v>
      </c>
      <c r="I56" s="8" t="n">
        <f aca="false">SUMPRODUCT((Ingresos!$H$14:$H$17&gt;=B56)*Ingresos!$G$14:$G$17*(1+(Ingresos!$E$14:$E$17="CRC")*N($F$8)+(Ingresos!$E$14:$E$17&lt;&gt;"CRC")*$F$9)^(D56-1))*12</f>
        <v>0</v>
      </c>
      <c r="J56" s="8" t="n">
        <f aca="false">IF(AND($N$10&gt;0,D56&gt;=N($O$10)),$N$10*12*(1+IF($M$10="CRC",N($F$8),$F$9))^(N($O$10)-1)*(1+N($F$10))^(D56-N($O$10))*IF(D56=N($O$10),IF(AND(ISNUMBER($F$21),N($F$20)&gt;=$C$30),(12-$F$21)/12,1),1),0)</f>
        <v>47315.5332869758</v>
      </c>
      <c r="K56" s="8" t="n">
        <f aca="false">Pensiones!T45</f>
        <v>12553.8977671245</v>
      </c>
      <c r="L56" s="8" t="n">
        <f aca="false">Pensiones!U45</f>
        <v>14740.4820661339</v>
      </c>
      <c r="M56" s="15" t="n">
        <f aca="false">SUM(F56:L56)</f>
        <v>110663.043000265</v>
      </c>
      <c r="N56" s="8" t="n">
        <f aca="false">SUMPRODUCT((Ingresos!$H$22:$H$26=B56)*Ingresos!$G$22:$G$26*(1+(Ingresos!$E$22:$E$26="CRC")*N($F$8)+(Ingresos!$E$22:$E$26&lt;&gt;"CRC")*$F$9)^(D56-1))</f>
        <v>0</v>
      </c>
      <c r="O56" s="8" t="n">
        <f aca="false">Pensiones!S45</f>
        <v>0</v>
      </c>
      <c r="P56" s="15" t="n">
        <f aca="false">SUM(N56:O56)</f>
        <v>0</v>
      </c>
      <c r="Q56" s="15" t="n">
        <f aca="false">M56+P56</f>
        <v>110663.043000265</v>
      </c>
      <c r="R56" s="8" t="n">
        <f aca="false">$W$7*12*(N($F$22)*(1+$F$9)^(D56-1)+(1-N($F$22))*(1+N($F$8))^(D56-1))*IF(D56&gt;$F$19,$F$18,1)</f>
        <v>178462.992906152</v>
      </c>
      <c r="S56" s="8" t="n">
        <f aca="false">SUMPRODUCT((Gastos!$H$14:$H$17&lt;=B56)*(Gastos!$H$14:$H$17+Gastos!$I$14:$I$17&gt;B56)*Gastos!$G$14:$G$17*(1+(Gastos!$E$14:$E$17="CRC")*N($F$8)+(Gastos!$E$14:$E$17&lt;&gt;"CRC")*$F$9)^(D56-1))</f>
        <v>0</v>
      </c>
      <c r="T56" s="8" t="n">
        <f aca="false">$W$10*(1+IF($V$10="CRC",N($F$8),$F$9))^(D56-1)</f>
        <v>8111.95422300693</v>
      </c>
      <c r="U56" s="8" t="n">
        <f aca="false">(IF(D56&lt;=$X$11,$W$11*12,0)+IF(Gastos!$G$28="Sí",0,SUMPRODUCT((Gastos!$H$22:$H$26&gt;=B56)*Gastos!$G$22:$G$26)*12)+SUMPRODUCT((Gastos!$H$43:$H$45&lt;=B56)*(Gastos!$H$43:$H$45+Gastos!$I$43:$I$45-1&gt;=B56)*Gastos!$K$43:$K$45))</f>
        <v>0</v>
      </c>
      <c r="V56" s="15" t="n">
        <f aca="false">SUM(R56:U56)</f>
        <v>186574.947129159</v>
      </c>
      <c r="W56" s="8" t="n">
        <f aca="false">SUMPRODUCT((Gastos!$I$33:$I$37=1)*(Gastos!$H$33:$H$37=B56)*Gastos!$G$33:$G$37*(1+(Gastos!$E$33:$E$37="CRC")*N($F$8)+(Gastos!$E$33:$E$37&lt;&gt;"CRC")*$F$9)^(D56-1))+SUMPRODUCT((Gastos!$I$33:$I$37=2)*(Gastos!$H$33:$H$37&lt;=B56)*Gastos!$G$33:$G$37*(1+(Gastos!$E$33:$E$37="CRC")*N($F$8)+(Gastos!$E$33:$E$37&lt;&gt;"CRC")*$F$9)^(D56-1))+SUMPRODUCT(('Retiros del portafolio'!$H$15:$H$18=B56)*'Retiros del portafolio'!$G$15:$G$18*(1+('Retiros del portafolio'!$E$15:$E$18="CRC")*N($F$8)+('Retiros del portafolio'!$E$15:$E$18&lt;&gt;"CRC")*$F$9)^(D56-1))</f>
        <v>16223.9084460139</v>
      </c>
      <c r="X56" s="8" t="n">
        <f aca="false">SUMPRODUCT(('Retiros del portafolio'!$H$6:$H$9=B56)*'Retiros del portafolio'!$G$6:$G$9*(1+('Retiros del portafolio'!$E$6:$E$9="CRC")*N($F$8)+('Retiros del portafolio'!$E$6:$E$9&lt;&gt;"CRC")*$F$9)^(D56-1))</f>
        <v>0</v>
      </c>
      <c r="Y56" s="15" t="n">
        <f aca="false">W56+X56</f>
        <v>16223.9084460139</v>
      </c>
      <c r="Z56" s="15" t="n">
        <f aca="false">V56+Y56</f>
        <v>202798.855575173</v>
      </c>
      <c r="AA56" s="15" t="n">
        <f aca="false">Q56-Z56</f>
        <v>-92135.8125749081</v>
      </c>
      <c r="AB56" s="8" t="n">
        <f aca="false">SUMPRODUCT((Desinversiones!$H$6:$H$10=B56)*(Desinversiones!$I$6:$I$10=1)*Desinversiones!$G$6:$G$10*(1+(Desinversiones!$E$6:$E$10="CRC")*N($F$8)+(Desinversiones!$E$6:$E$10&lt;&gt;"CRC")*$F$9)^(D56-1))</f>
        <v>0</v>
      </c>
      <c r="AC56" s="8" t="n">
        <f aca="false">SUMPRODUCT((Desinversiones!$H$6:$H$10=B56)*(Desinversiones!$I$6:$I$10=2)*Desinversiones!$G$6:$G$10*(1+(Desinversiones!$E$6:$E$10="CRC")*N($F$8)+(Desinversiones!$E$6:$E$10&lt;&gt;"CRC")*$F$9)^(D56-1))</f>
        <v>0</v>
      </c>
      <c r="AD56" s="8" t="n">
        <f aca="false">SUMPRODUCT((Desinversiones!$H$6:$H$10=B56)*(Desinversiones!$I$6:$I$10=3)*Desinversiones!$G$6:$G$10*(1+(Desinversiones!$E$6:$E$10="CRC")*N($F$8)+(Desinversiones!$E$6:$E$10&lt;&gt;"CRC")*$F$9)^(D56-1))</f>
        <v>0</v>
      </c>
      <c r="AE56" s="15" t="n">
        <f aca="false">SUM(AB56:AD56)</f>
        <v>0</v>
      </c>
      <c r="AF56" s="15" t="n">
        <f aca="false">AE56</f>
        <v>0</v>
      </c>
      <c r="AG56" s="8" t="n">
        <f aca="false">AJ55</f>
        <v>701522.891242081</v>
      </c>
      <c r="AH56" s="8" t="n">
        <f aca="false">AG56*$F$13</f>
        <v>41089.9495472768</v>
      </c>
      <c r="AI56" s="15" t="n">
        <f aca="false">AA56+AF56</f>
        <v>-92135.8125749081</v>
      </c>
      <c r="AJ56" s="15" t="n">
        <f aca="false">AG56+AH56+AI56+AM56</f>
        <v>650477.02821445</v>
      </c>
      <c r="AK56" s="8" t="n">
        <f aca="false">AJ56/(1+$F$9)^(D56-1+$F$24/12)</f>
        <v>238272.455567265</v>
      </c>
      <c r="AL56" s="9" t="n">
        <f aca="false">IF(AG56&lt;=0,0,MAX(0,-AI56)/AG56)</f>
        <v>0.131336858319444</v>
      </c>
      <c r="AM56" s="8" t="n">
        <f aca="false">MAX(0,-(AG56+AH56+AI56))</f>
        <v>0</v>
      </c>
    </row>
    <row r="57" customFormat="false" ht="13.8" hidden="false" customHeight="false" outlineLevel="0" collapsed="false">
      <c r="B57" s="13" t="n">
        <f aca="false">B56+1</f>
        <v>2053</v>
      </c>
      <c r="C57" s="13" t="n">
        <f aca="false">C56+1</f>
        <v>73</v>
      </c>
      <c r="D57" s="13" t="n">
        <f aca="false">D56+1</f>
        <v>28</v>
      </c>
      <c r="E57" s="4" t="str">
        <f aca="false">IF(D57&lt;=$F$19,"Acumulación","Retiro")</f>
        <v>Retiro</v>
      </c>
      <c r="F57" s="8" t="n">
        <f aca="false">IF(D57&lt;=$P$7,$N$7*12*(1+IF($M$7="CRC",N($F$8),$F$9))^(D57-1),0)</f>
        <v>0</v>
      </c>
      <c r="G57" s="8" t="n">
        <f aca="false">IF(D57&lt;=$P$8,$N$8*12*(1+IF($M$8="CRC",N($F$8),$F$9))^(D57-1),0)</f>
        <v>0</v>
      </c>
      <c r="H57" s="8" t="n">
        <f aca="false">IF(AND($N$9&gt;0,D57&gt;=$O$9,D57&lt;=$P$9),$N$9*12*(1+IF($M$9="CRC",N($F$8),$F$9))^(D57-1),0)</f>
        <v>37459.201945352</v>
      </c>
      <c r="I57" s="8" t="n">
        <f aca="false">SUMPRODUCT((Ingresos!$H$14:$H$17&gt;=B57)*Ingresos!$G$14:$G$17*(1+(Ingresos!$E$14:$E$17="CRC")*N($F$8)+(Ingresos!$E$14:$E$17&lt;&gt;"CRC")*$F$9)^(D57-1))*12</f>
        <v>0</v>
      </c>
      <c r="J57" s="8" t="n">
        <f aca="false">IF(AND($N$10&gt;0,D57&gt;=N($O$10)),$N$10*12*(1+IF($M$10="CRC",N($F$8),$F$9))^(N($O$10)-1)*(1+N($F$10))^(D57-N($O$10))*IF(D57=N($O$10),IF(AND(ISNUMBER($F$21),N($F$20)&gt;=$C$30),(12-$F$21)/12,1),1),0)</f>
        <v>47788.6886198456</v>
      </c>
      <c r="K57" s="8" t="n">
        <f aca="false">Pensiones!T46</f>
        <v>12553.8977671245</v>
      </c>
      <c r="L57" s="8" t="n">
        <f aca="false">Pensiones!U46</f>
        <v>14740.4820661339</v>
      </c>
      <c r="M57" s="15" t="n">
        <f aca="false">SUM(F57:L57)</f>
        <v>112542.270398456</v>
      </c>
      <c r="N57" s="8" t="n">
        <f aca="false">SUMPRODUCT((Ingresos!$H$22:$H$26=B57)*Ingresos!$G$22:$G$26*(1+(Ingresos!$E$22:$E$26="CRC")*N($F$8)+(Ingresos!$E$22:$E$26&lt;&gt;"CRC")*$F$9)^(D57-1))</f>
        <v>0</v>
      </c>
      <c r="O57" s="8" t="n">
        <f aca="false">Pensiones!S46</f>
        <v>0</v>
      </c>
      <c r="P57" s="15" t="n">
        <f aca="false">SUM(N57:O57)</f>
        <v>0</v>
      </c>
      <c r="Q57" s="15" t="n">
        <f aca="false">M57+P57</f>
        <v>112542.270398456</v>
      </c>
      <c r="R57" s="8" t="n">
        <f aca="false">$W$7*12*(N($F$22)*(1+$F$9)^(D57-1)+(1-N($F$22))*(1+N($F$8))^(D57-1))*IF(D57&gt;$F$19,$F$18,1)</f>
        <v>185423.049629492</v>
      </c>
      <c r="S57" s="8" t="n">
        <f aca="false">SUMPRODUCT((Gastos!$H$14:$H$17&lt;=B57)*(Gastos!$H$14:$H$17+Gastos!$I$14:$I$17&gt;B57)*Gastos!$G$14:$G$17*(1+(Gastos!$E$14:$E$17="CRC")*N($F$8)+(Gastos!$E$14:$E$17&lt;&gt;"CRC")*$F$9)^(D57-1))</f>
        <v>0</v>
      </c>
      <c r="T57" s="8" t="n">
        <f aca="false">$W$10*(1+IF($V$10="CRC",N($F$8),$F$9))^(D57-1)</f>
        <v>8428.32043770419</v>
      </c>
      <c r="U57" s="8" t="n">
        <f aca="false">(IF(D57&lt;=$X$11,$W$11*12,0)+IF(Gastos!$G$28="Sí",0,SUMPRODUCT((Gastos!$H$22:$H$26&gt;=B57)*Gastos!$G$22:$G$26)*12)+SUMPRODUCT((Gastos!$H$43:$H$45&lt;=B57)*(Gastos!$H$43:$H$45+Gastos!$I$43:$I$45-1&gt;=B57)*Gastos!$K$43:$K$45))</f>
        <v>0</v>
      </c>
      <c r="V57" s="15" t="n">
        <f aca="false">SUM(R57:U57)</f>
        <v>193851.370067196</v>
      </c>
      <c r="W57" s="8" t="n">
        <f aca="false">SUMPRODUCT((Gastos!$I$33:$I$37=1)*(Gastos!$H$33:$H$37=B57)*Gastos!$G$33:$G$37*(1+(Gastos!$E$33:$E$37="CRC")*N($F$8)+(Gastos!$E$33:$E$37&lt;&gt;"CRC")*$F$9)^(D57-1))+SUMPRODUCT((Gastos!$I$33:$I$37=2)*(Gastos!$H$33:$H$37&lt;=B57)*Gastos!$G$33:$G$37*(1+(Gastos!$E$33:$E$37="CRC")*N($F$8)+(Gastos!$E$33:$E$37&lt;&gt;"CRC")*$F$9)^(D57-1))+SUMPRODUCT(('Retiros del portafolio'!$H$15:$H$18=B57)*'Retiros del portafolio'!$G$15:$G$18*(1+('Retiros del portafolio'!$E$15:$E$18="CRC")*N($F$8)+('Retiros del portafolio'!$E$15:$E$18&lt;&gt;"CRC")*$F$9)^(D57-1))</f>
        <v>16856.6408754084</v>
      </c>
      <c r="X57" s="8" t="n">
        <f aca="false">SUMPRODUCT(('Retiros del portafolio'!$H$6:$H$9=B57)*'Retiros del portafolio'!$G$6:$G$9*(1+('Retiros del portafolio'!$E$6:$E$9="CRC")*N($F$8)+('Retiros del portafolio'!$E$6:$E$9&lt;&gt;"CRC")*$F$9)^(D57-1))</f>
        <v>0</v>
      </c>
      <c r="Y57" s="15" t="n">
        <f aca="false">W57+X57</f>
        <v>16856.6408754084</v>
      </c>
      <c r="Z57" s="15" t="n">
        <f aca="false">V57+Y57</f>
        <v>210708.010942605</v>
      </c>
      <c r="AA57" s="15" t="n">
        <f aca="false">Q57-Z57</f>
        <v>-98165.7405441489</v>
      </c>
      <c r="AB57" s="8" t="n">
        <f aca="false">SUMPRODUCT((Desinversiones!$H$6:$H$10=B57)*(Desinversiones!$I$6:$I$10=1)*Desinversiones!$G$6:$G$10*(1+(Desinversiones!$E$6:$E$10="CRC")*N($F$8)+(Desinversiones!$E$6:$E$10&lt;&gt;"CRC")*$F$9)^(D57-1))</f>
        <v>0</v>
      </c>
      <c r="AC57" s="8" t="n">
        <f aca="false">SUMPRODUCT((Desinversiones!$H$6:$H$10=B57)*(Desinversiones!$I$6:$I$10=2)*Desinversiones!$G$6:$G$10*(1+(Desinversiones!$E$6:$E$10="CRC")*N($F$8)+(Desinversiones!$E$6:$E$10&lt;&gt;"CRC")*$F$9)^(D57-1))</f>
        <v>0</v>
      </c>
      <c r="AD57" s="8" t="n">
        <f aca="false">SUMPRODUCT((Desinversiones!$H$6:$H$10=B57)*(Desinversiones!$I$6:$I$10=3)*Desinversiones!$G$6:$G$10*(1+(Desinversiones!$E$6:$E$10="CRC")*N($F$8)+(Desinversiones!$E$6:$E$10&lt;&gt;"CRC")*$F$9)^(D57-1))</f>
        <v>0</v>
      </c>
      <c r="AE57" s="15" t="n">
        <f aca="false">SUM(AB57:AD57)</f>
        <v>0</v>
      </c>
      <c r="AF57" s="15" t="n">
        <f aca="false">AE57</f>
        <v>0</v>
      </c>
      <c r="AG57" s="8" t="n">
        <f aca="false">AJ56</f>
        <v>650477.02821445</v>
      </c>
      <c r="AH57" s="8" t="n">
        <f aca="false">AG57*$F$13</f>
        <v>38100.0657350909</v>
      </c>
      <c r="AI57" s="15" t="n">
        <f aca="false">AA57+AF57</f>
        <v>-98165.7405441489</v>
      </c>
      <c r="AJ57" s="15" t="n">
        <f aca="false">AG57+AH57+AI57+AM57</f>
        <v>590411.353405392</v>
      </c>
      <c r="AK57" s="8" t="n">
        <f aca="false">AJ57/(1+$F$9)^(D57-1+$F$24/12)</f>
        <v>208152.211458202</v>
      </c>
      <c r="AL57" s="9" t="n">
        <f aca="false">IF(AG57&lt;=0,0,MAX(0,-AI57)/AG57)</f>
        <v>0.150913462407139</v>
      </c>
      <c r="AM57" s="8" t="n">
        <f aca="false">MAX(0,-(AG57+AH57+AI57))</f>
        <v>0</v>
      </c>
    </row>
    <row r="58" customFormat="false" ht="13.8" hidden="false" customHeight="false" outlineLevel="0" collapsed="false">
      <c r="B58" s="13" t="n">
        <f aca="false">B57+1</f>
        <v>2054</v>
      </c>
      <c r="C58" s="13" t="n">
        <f aca="false">C57+1</f>
        <v>74</v>
      </c>
      <c r="D58" s="13" t="n">
        <f aca="false">D57+1</f>
        <v>29</v>
      </c>
      <c r="E58" s="4" t="str">
        <f aca="false">IF(D58&lt;=$F$19,"Acumulación","Retiro")</f>
        <v>Retiro</v>
      </c>
      <c r="F58" s="8" t="n">
        <f aca="false">IF(D58&lt;=$P$7,$N$7*12*(1+IF($M$7="CRC",N($F$8),$F$9))^(D58-1),0)</f>
        <v>0</v>
      </c>
      <c r="G58" s="8" t="n">
        <f aca="false">IF(D58&lt;=$P$8,$N$8*12*(1+IF($M$8="CRC",N($F$8),$F$9))^(D58-1),0)</f>
        <v>0</v>
      </c>
      <c r="H58" s="8" t="n">
        <f aca="false">IF(AND($N$9&gt;0,D58&gt;=$O$9,D58&lt;=$P$9),$N$9*12*(1+IF($M$9="CRC",N($F$8),$F$9))^(D58-1),0)</f>
        <v>38920.1108212207</v>
      </c>
      <c r="I58" s="8" t="n">
        <f aca="false">SUMPRODUCT((Ingresos!$H$14:$H$17&gt;=B58)*Ingresos!$G$14:$G$17*(1+(Ingresos!$E$14:$E$17="CRC")*N($F$8)+(Ingresos!$E$14:$E$17&lt;&gt;"CRC")*$F$9)^(D58-1))*12</f>
        <v>0</v>
      </c>
      <c r="J58" s="8" t="n">
        <f aca="false">IF(AND($N$10&gt;0,D58&gt;=N($O$10)),$N$10*12*(1+IF($M$10="CRC",N($F$8),$F$9))^(N($O$10)-1)*(1+N($F$10))^(D58-N($O$10))*IF(D58=N($O$10),IF(AND(ISNUMBER($F$21),N($F$20)&gt;=$C$30),(12-$F$21)/12,1),1),0)</f>
        <v>48266.5755060441</v>
      </c>
      <c r="K58" s="8" t="n">
        <f aca="false">Pensiones!T47</f>
        <v>12553.8977671245</v>
      </c>
      <c r="L58" s="8" t="n">
        <f aca="false">Pensiones!U47</f>
        <v>14740.4820661339</v>
      </c>
      <c r="M58" s="15" t="n">
        <f aca="false">SUM(F58:L58)</f>
        <v>114481.066160523</v>
      </c>
      <c r="N58" s="8" t="n">
        <f aca="false">SUMPRODUCT((Ingresos!$H$22:$H$26=B58)*Ingresos!$G$22:$G$26*(1+(Ingresos!$E$22:$E$26="CRC")*N($F$8)+(Ingresos!$E$22:$E$26&lt;&gt;"CRC")*$F$9)^(D58-1))</f>
        <v>0</v>
      </c>
      <c r="O58" s="8" t="n">
        <f aca="false">Pensiones!S47</f>
        <v>0</v>
      </c>
      <c r="P58" s="15" t="n">
        <f aca="false">SUM(N58:O58)</f>
        <v>0</v>
      </c>
      <c r="Q58" s="15" t="n">
        <f aca="false">M58+P58</f>
        <v>114481.066160523</v>
      </c>
      <c r="R58" s="8" t="n">
        <f aca="false">$W$7*12*(N($F$22)*(1+$F$9)^(D58-1)+(1-N($F$22))*(1+N($F$8))^(D58-1))*IF(D58&gt;$F$19,$F$18,1)</f>
        <v>192654.548565042</v>
      </c>
      <c r="S58" s="8" t="n">
        <f aca="false">SUMPRODUCT((Gastos!$H$14:$H$17&lt;=B58)*(Gastos!$H$14:$H$17+Gastos!$I$14:$I$17&gt;B58)*Gastos!$G$14:$G$17*(1+(Gastos!$E$14:$E$17="CRC")*N($F$8)+(Gastos!$E$14:$E$17&lt;&gt;"CRC")*$F$9)^(D58-1))</f>
        <v>0</v>
      </c>
      <c r="T58" s="8" t="n">
        <f aca="false">$W$10*(1+IF($V$10="CRC",N($F$8),$F$9))^(D58-1)</f>
        <v>8757.02493477466</v>
      </c>
      <c r="U58" s="8" t="n">
        <f aca="false">(IF(D58&lt;=$X$11,$W$11*12,0)+IF(Gastos!$G$28="Sí",0,SUMPRODUCT((Gastos!$H$22:$H$26&gt;=B58)*Gastos!$G$22:$G$26)*12)+SUMPRODUCT((Gastos!$H$43:$H$45&lt;=B58)*(Gastos!$H$43:$H$45+Gastos!$I$43:$I$45-1&gt;=B58)*Gastos!$K$43:$K$45))</f>
        <v>0</v>
      </c>
      <c r="V58" s="15" t="n">
        <f aca="false">SUM(R58:U58)</f>
        <v>201411.573499817</v>
      </c>
      <c r="W58" s="8" t="n">
        <f aca="false">SUMPRODUCT((Gastos!$I$33:$I$37=1)*(Gastos!$H$33:$H$37=B58)*Gastos!$G$33:$G$37*(1+(Gastos!$E$33:$E$37="CRC")*N($F$8)+(Gastos!$E$33:$E$37&lt;&gt;"CRC")*$F$9)^(D58-1))+SUMPRODUCT((Gastos!$I$33:$I$37=2)*(Gastos!$H$33:$H$37&lt;=B58)*Gastos!$G$33:$G$37*(1+(Gastos!$E$33:$E$37="CRC")*N($F$8)+(Gastos!$E$33:$E$37&lt;&gt;"CRC")*$F$9)^(D58-1))+SUMPRODUCT(('Retiros del portafolio'!$H$15:$H$18=B58)*'Retiros del portafolio'!$G$15:$G$18*(1+('Retiros del portafolio'!$E$15:$E$18="CRC")*N($F$8)+('Retiros del portafolio'!$E$15:$E$18&lt;&gt;"CRC")*$F$9)^(D58-1))</f>
        <v>17514.0498695493</v>
      </c>
      <c r="X58" s="8" t="n">
        <f aca="false">SUMPRODUCT(('Retiros del portafolio'!$H$6:$H$9=B58)*'Retiros del portafolio'!$G$6:$G$9*(1+('Retiros del portafolio'!$E$6:$E$9="CRC")*N($F$8)+('Retiros del portafolio'!$E$6:$E$9&lt;&gt;"CRC")*$F$9)^(D58-1))</f>
        <v>0</v>
      </c>
      <c r="Y58" s="15" t="n">
        <f aca="false">W58+X58</f>
        <v>17514.0498695493</v>
      </c>
      <c r="Z58" s="15" t="n">
        <f aca="false">V58+Y58</f>
        <v>218925.623369366</v>
      </c>
      <c r="AA58" s="15" t="n">
        <f aca="false">Q58-Z58</f>
        <v>-104444.557208843</v>
      </c>
      <c r="AB58" s="8" t="n">
        <f aca="false">SUMPRODUCT((Desinversiones!$H$6:$H$10=B58)*(Desinversiones!$I$6:$I$10=1)*Desinversiones!$G$6:$G$10*(1+(Desinversiones!$E$6:$E$10="CRC")*N($F$8)+(Desinversiones!$E$6:$E$10&lt;&gt;"CRC")*$F$9)^(D58-1))</f>
        <v>0</v>
      </c>
      <c r="AC58" s="8" t="n">
        <f aca="false">SUMPRODUCT((Desinversiones!$H$6:$H$10=B58)*(Desinversiones!$I$6:$I$10=2)*Desinversiones!$G$6:$G$10*(1+(Desinversiones!$E$6:$E$10="CRC")*N($F$8)+(Desinversiones!$E$6:$E$10&lt;&gt;"CRC")*$F$9)^(D58-1))</f>
        <v>0</v>
      </c>
      <c r="AD58" s="8" t="n">
        <f aca="false">SUMPRODUCT((Desinversiones!$H$6:$H$10=B58)*(Desinversiones!$I$6:$I$10=3)*Desinversiones!$G$6:$G$10*(1+(Desinversiones!$E$6:$E$10="CRC")*N($F$8)+(Desinversiones!$E$6:$E$10&lt;&gt;"CRC")*$F$9)^(D58-1))</f>
        <v>0</v>
      </c>
      <c r="AE58" s="15" t="n">
        <f aca="false">SUM(AB58:AD58)</f>
        <v>0</v>
      </c>
      <c r="AF58" s="15" t="n">
        <f aca="false">AE58</f>
        <v>0</v>
      </c>
      <c r="AG58" s="8" t="n">
        <f aca="false">AJ57</f>
        <v>590411.353405392</v>
      </c>
      <c r="AH58" s="8" t="n">
        <f aca="false">AG58*$F$13</f>
        <v>34581.8689973373</v>
      </c>
      <c r="AI58" s="15" t="n">
        <f aca="false">AA58+AF58</f>
        <v>-104444.557208843</v>
      </c>
      <c r="AJ58" s="15" t="n">
        <f aca="false">AG58+AH58+AI58+AM58</f>
        <v>520548.665193886</v>
      </c>
      <c r="AK58" s="8" t="n">
        <f aca="false">AJ58/(1+$F$9)^(D58-1+$F$24/12)</f>
        <v>176633.111227017</v>
      </c>
      <c r="AL58" s="9" t="n">
        <f aca="false">IF(AG58&lt;=0,0,MAX(0,-AI58)/AG58)</f>
        <v>0.176901336003153</v>
      </c>
      <c r="AM58" s="8" t="n">
        <f aca="false">MAX(0,-(AG58+AH58+AI58))</f>
        <v>0</v>
      </c>
    </row>
    <row r="59" customFormat="false" ht="13.8" hidden="false" customHeight="false" outlineLevel="0" collapsed="false">
      <c r="B59" s="13" t="n">
        <f aca="false">B58+1</f>
        <v>2055</v>
      </c>
      <c r="C59" s="13" t="n">
        <f aca="false">C58+1</f>
        <v>75</v>
      </c>
      <c r="D59" s="13" t="n">
        <f aca="false">D58+1</f>
        <v>30</v>
      </c>
      <c r="E59" s="4" t="str">
        <f aca="false">IF(D59&lt;=$F$19,"Acumulación","Retiro")</f>
        <v>Retiro</v>
      </c>
      <c r="F59" s="8" t="n">
        <f aca="false">IF(D59&lt;=$P$7,$N$7*12*(1+IF($M$7="CRC",N($F$8),$F$9))^(D59-1),0)</f>
        <v>0</v>
      </c>
      <c r="G59" s="8" t="n">
        <f aca="false">IF(D59&lt;=$P$8,$N$8*12*(1+IF($M$8="CRC",N($F$8),$F$9))^(D59-1),0)</f>
        <v>0</v>
      </c>
      <c r="H59" s="8" t="n">
        <f aca="false">IF(AND($N$9&gt;0,D59&gt;=$O$9,D59&lt;=$P$9),$N$9*12*(1+IF($M$9="CRC",N($F$8),$F$9))^(D59-1),0)</f>
        <v>40437.9951432483</v>
      </c>
      <c r="I59" s="8" t="n">
        <f aca="false">SUMPRODUCT((Ingresos!$H$14:$H$17&gt;=B59)*Ingresos!$G$14:$G$17*(1+(Ingresos!$E$14:$E$17="CRC")*N($F$8)+(Ingresos!$E$14:$E$17&lt;&gt;"CRC")*$F$9)^(D59-1))*12</f>
        <v>0</v>
      </c>
      <c r="J59" s="8" t="n">
        <f aca="false">IF(AND($N$10&gt;0,D59&gt;=N($O$10)),$N$10*12*(1+IF($M$10="CRC",N($F$8),$F$9))^(N($O$10)-1)*(1+N($F$10))^(D59-N($O$10))*IF(D59=N($O$10),IF(AND(ISNUMBER($F$21),N($F$20)&gt;=$C$30),(12-$F$21)/12,1),1),0)</f>
        <v>48749.2412611045</v>
      </c>
      <c r="K59" s="8" t="n">
        <f aca="false">Pensiones!T48</f>
        <v>12553.8977671245</v>
      </c>
      <c r="L59" s="8" t="n">
        <f aca="false">Pensiones!U48</f>
        <v>14740.4820661339</v>
      </c>
      <c r="M59" s="15" t="n">
        <f aca="false">SUM(F59:L59)</f>
        <v>116481.616237611</v>
      </c>
      <c r="N59" s="8" t="n">
        <f aca="false">SUMPRODUCT((Ingresos!$H$22:$H$26=B59)*Ingresos!$G$22:$G$26*(1+(Ingresos!$E$22:$E$26="CRC")*N($F$8)+(Ingresos!$E$22:$E$26&lt;&gt;"CRC")*$F$9)^(D59-1))</f>
        <v>0</v>
      </c>
      <c r="O59" s="8" t="n">
        <f aca="false">Pensiones!S48</f>
        <v>0</v>
      </c>
      <c r="P59" s="15" t="n">
        <f aca="false">SUM(N59:O59)</f>
        <v>0</v>
      </c>
      <c r="Q59" s="15" t="n">
        <f aca="false">M59+P59</f>
        <v>116481.616237611</v>
      </c>
      <c r="R59" s="8" t="n">
        <f aca="false">$W$7*12*(N($F$22)*(1+$F$9)^(D59-1)+(1-N($F$22))*(1+N($F$8))^(D59-1))*IF(D59&gt;$F$19,$F$18,1)</f>
        <v>200168.075959079</v>
      </c>
      <c r="S59" s="8" t="n">
        <f aca="false">SUMPRODUCT((Gastos!$H$14:$H$17&lt;=B59)*(Gastos!$H$14:$H$17+Gastos!$I$14:$I$17&gt;B59)*Gastos!$G$14:$G$17*(1+(Gastos!$E$14:$E$17="CRC")*N($F$8)+(Gastos!$E$14:$E$17&lt;&gt;"CRC")*$F$9)^(D59-1))</f>
        <v>0</v>
      </c>
      <c r="T59" s="8" t="n">
        <f aca="false">$W$10*(1+IF($V$10="CRC",N($F$8),$F$9))^(D59-1)</f>
        <v>9098.54890723087</v>
      </c>
      <c r="U59" s="8" t="n">
        <f aca="false">(IF(D59&lt;=$X$11,$W$11*12,0)+IF(Gastos!$G$28="Sí",0,SUMPRODUCT((Gastos!$H$22:$H$26&gt;=B59)*Gastos!$G$22:$G$26)*12)+SUMPRODUCT((Gastos!$H$43:$H$45&lt;=B59)*(Gastos!$H$43:$H$45+Gastos!$I$43:$I$45-1&gt;=B59)*Gastos!$K$43:$K$45))</f>
        <v>0</v>
      </c>
      <c r="V59" s="15" t="n">
        <f aca="false">SUM(R59:U59)</f>
        <v>209266.62486631</v>
      </c>
      <c r="W59" s="8" t="n">
        <f aca="false">SUMPRODUCT((Gastos!$I$33:$I$37=1)*(Gastos!$H$33:$H$37=B59)*Gastos!$G$33:$G$37*(1+(Gastos!$E$33:$E$37="CRC")*N($F$8)+(Gastos!$E$33:$E$37&lt;&gt;"CRC")*$F$9)^(D59-1))+SUMPRODUCT((Gastos!$I$33:$I$37=2)*(Gastos!$H$33:$H$37&lt;=B59)*Gastos!$G$33:$G$37*(1+(Gastos!$E$33:$E$37="CRC")*N($F$8)+(Gastos!$E$33:$E$37&lt;&gt;"CRC")*$F$9)^(D59-1))+SUMPRODUCT(('Retiros del portafolio'!$H$15:$H$18=B59)*'Retiros del portafolio'!$G$15:$G$18*(1+('Retiros del portafolio'!$E$15:$E$18="CRC")*N($F$8)+('Retiros del portafolio'!$E$15:$E$18&lt;&gt;"CRC")*$F$9)^(D59-1))</f>
        <v>18197.0978144617</v>
      </c>
      <c r="X59" s="8" t="n">
        <f aca="false">SUMPRODUCT(('Retiros del portafolio'!$H$6:$H$9=B59)*'Retiros del portafolio'!$G$6:$G$9*(1+('Retiros del portafolio'!$E$6:$E$9="CRC")*N($F$8)+('Retiros del portafolio'!$E$6:$E$9&lt;&gt;"CRC")*$F$9)^(D59-1))</f>
        <v>0</v>
      </c>
      <c r="Y59" s="15" t="n">
        <f aca="false">W59+X59</f>
        <v>18197.0978144617</v>
      </c>
      <c r="Z59" s="15" t="n">
        <f aca="false">V59+Y59</f>
        <v>227463.722680772</v>
      </c>
      <c r="AA59" s="15" t="n">
        <f aca="false">Q59-Z59</f>
        <v>-110982.10644316</v>
      </c>
      <c r="AB59" s="8" t="n">
        <f aca="false">SUMPRODUCT((Desinversiones!$H$6:$H$10=B59)*(Desinversiones!$I$6:$I$10=1)*Desinversiones!$G$6:$G$10*(1+(Desinversiones!$E$6:$E$10="CRC")*N($F$8)+(Desinversiones!$E$6:$E$10&lt;&gt;"CRC")*$F$9)^(D59-1))</f>
        <v>0</v>
      </c>
      <c r="AC59" s="8" t="n">
        <f aca="false">SUMPRODUCT((Desinversiones!$H$6:$H$10=B59)*(Desinversiones!$I$6:$I$10=2)*Desinversiones!$G$6:$G$10*(1+(Desinversiones!$E$6:$E$10="CRC")*N($F$8)+(Desinversiones!$E$6:$E$10&lt;&gt;"CRC")*$F$9)^(D59-1))</f>
        <v>0</v>
      </c>
      <c r="AD59" s="8" t="n">
        <f aca="false">SUMPRODUCT((Desinversiones!$H$6:$H$10=B59)*(Desinversiones!$I$6:$I$10=3)*Desinversiones!$G$6:$G$10*(1+(Desinversiones!$E$6:$E$10="CRC")*N($F$8)+(Desinversiones!$E$6:$E$10&lt;&gt;"CRC")*$F$9)^(D59-1))</f>
        <v>0</v>
      </c>
      <c r="AE59" s="15" t="n">
        <f aca="false">SUM(AB59:AD59)</f>
        <v>0</v>
      </c>
      <c r="AF59" s="15" t="n">
        <f aca="false">AE59</f>
        <v>0</v>
      </c>
      <c r="AG59" s="8" t="n">
        <f aca="false">AJ58</f>
        <v>520548.665193886</v>
      </c>
      <c r="AH59" s="8" t="n">
        <f aca="false">AG59*$F$13</f>
        <v>30489.8366920689</v>
      </c>
      <c r="AI59" s="15" t="n">
        <f aca="false">AA59+AF59</f>
        <v>-110982.10644316</v>
      </c>
      <c r="AJ59" s="15" t="n">
        <f aca="false">AG59+AH59+AI59+AM59</f>
        <v>440056.395442794</v>
      </c>
      <c r="AK59" s="8" t="n">
        <f aca="false">AJ59/(1+$F$9)^(D59-1+$F$24/12)</f>
        <v>143715.487045802</v>
      </c>
      <c r="AL59" s="9" t="n">
        <f aca="false">IF(AG59&lt;=0,0,MAX(0,-AI59)/AG59)</f>
        <v>0.213202172753288</v>
      </c>
      <c r="AM59" s="8" t="n">
        <f aca="false">MAX(0,-(AG59+AH59+AI59))</f>
        <v>0</v>
      </c>
    </row>
    <row r="60" customFormat="false" ht="13.8" hidden="false" customHeight="false" outlineLevel="0" collapsed="false">
      <c r="B60" s="13" t="n">
        <f aca="false">B59+1</f>
        <v>2056</v>
      </c>
      <c r="C60" s="13" t="n">
        <f aca="false">C59+1</f>
        <v>76</v>
      </c>
      <c r="D60" s="13" t="n">
        <f aca="false">D59+1</f>
        <v>31</v>
      </c>
      <c r="E60" s="4" t="str">
        <f aca="false">IF(D60&lt;=$F$19,"Acumulación","Retiro")</f>
        <v>Retiro</v>
      </c>
      <c r="F60" s="8" t="n">
        <f aca="false">IF(D60&lt;=$P$7,$N$7*12*(1+IF($M$7="CRC",N($F$8),$F$9))^(D60-1),0)</f>
        <v>0</v>
      </c>
      <c r="G60" s="8" t="n">
        <f aca="false">IF(D60&lt;=$P$8,$N$8*12*(1+IF($M$8="CRC",N($F$8),$F$9))^(D60-1),0)</f>
        <v>0</v>
      </c>
      <c r="H60" s="8" t="n">
        <f aca="false">IF(AND($N$9&gt;0,D60&gt;=$O$9,D60&lt;=$P$9),$N$9*12*(1+IF($M$9="CRC",N($F$8),$F$9))^(D60-1),0)</f>
        <v>42015.076953835</v>
      </c>
      <c r="I60" s="8" t="n">
        <f aca="false">SUMPRODUCT((Ingresos!$H$14:$H$17&gt;=B60)*Ingresos!$G$14:$G$17*(1+(Ingresos!$E$14:$E$17="CRC")*N($F$8)+(Ingresos!$E$14:$E$17&lt;&gt;"CRC")*$F$9)^(D60-1))*12</f>
        <v>0</v>
      </c>
      <c r="J60" s="8" t="n">
        <f aca="false">IF(AND($N$10&gt;0,D60&gt;=N($O$10)),$N$10*12*(1+IF($M$10="CRC",N($F$8),$F$9))^(N($O$10)-1)*(1+N($F$10))^(D60-N($O$10))*IF(D60=N($O$10),IF(AND(ISNUMBER($F$21),N($F$20)&gt;=$C$30),(12-$F$21)/12,1),1),0)</f>
        <v>49236.7336737155</v>
      </c>
      <c r="K60" s="8" t="n">
        <f aca="false">Pensiones!T49</f>
        <v>12553.8977671245</v>
      </c>
      <c r="L60" s="8" t="n">
        <f aca="false">Pensiones!U49</f>
        <v>14740.4820661339</v>
      </c>
      <c r="M60" s="15" t="n">
        <f aca="false">SUM(F60:L60)</f>
        <v>118546.190460809</v>
      </c>
      <c r="N60" s="8" t="n">
        <f aca="false">SUMPRODUCT((Ingresos!$H$22:$H$26=B60)*Ingresos!$G$22:$G$26*(1+(Ingresos!$E$22:$E$26="CRC")*N($F$8)+(Ingresos!$E$22:$E$26&lt;&gt;"CRC")*$F$9)^(D60-1))</f>
        <v>0</v>
      </c>
      <c r="O60" s="8" t="n">
        <f aca="false">Pensiones!S49</f>
        <v>0</v>
      </c>
      <c r="P60" s="15" t="n">
        <f aca="false">SUM(N60:O60)</f>
        <v>0</v>
      </c>
      <c r="Q60" s="15" t="n">
        <f aca="false">M60+P60</f>
        <v>118546.190460809</v>
      </c>
      <c r="R60" s="8" t="n">
        <f aca="false">$W$7*12*(N($F$22)*(1+$F$9)^(D60-1)+(1-N($F$22))*(1+N($F$8))^(D60-1))*IF(D60&gt;$F$19,$F$18,1)</f>
        <v>207974.630921483</v>
      </c>
      <c r="S60" s="8" t="n">
        <f aca="false">SUMPRODUCT((Gastos!$H$14:$H$17&lt;=B60)*(Gastos!$H$14:$H$17+Gastos!$I$14:$I$17&gt;B60)*Gastos!$G$14:$G$17*(1+(Gastos!$E$14:$E$17="CRC")*N($F$8)+(Gastos!$E$14:$E$17&lt;&gt;"CRC")*$F$9)^(D60-1))</f>
        <v>0</v>
      </c>
      <c r="T60" s="8" t="n">
        <f aca="false">$W$10*(1+IF($V$10="CRC",N($F$8),$F$9))^(D60-1)</f>
        <v>9453.39231461287</v>
      </c>
      <c r="U60" s="8" t="n">
        <f aca="false">(IF(D60&lt;=$X$11,$W$11*12,0)+IF(Gastos!$G$28="Sí",0,SUMPRODUCT((Gastos!$H$22:$H$26&gt;=B60)*Gastos!$G$22:$G$26)*12)+SUMPRODUCT((Gastos!$H$43:$H$45&lt;=B60)*(Gastos!$H$43:$H$45+Gastos!$I$43:$I$45-1&gt;=B60)*Gastos!$K$43:$K$45))</f>
        <v>0</v>
      </c>
      <c r="V60" s="15" t="n">
        <f aca="false">SUM(R60:U60)</f>
        <v>217428.023236096</v>
      </c>
      <c r="W60" s="8" t="n">
        <f aca="false">SUMPRODUCT((Gastos!$I$33:$I$37=1)*(Gastos!$H$33:$H$37=B60)*Gastos!$G$33:$G$37*(1+(Gastos!$E$33:$E$37="CRC")*N($F$8)+(Gastos!$E$33:$E$37&lt;&gt;"CRC")*$F$9)^(D60-1))+SUMPRODUCT((Gastos!$I$33:$I$37=2)*(Gastos!$H$33:$H$37&lt;=B60)*Gastos!$G$33:$G$37*(1+(Gastos!$E$33:$E$37="CRC")*N($F$8)+(Gastos!$E$33:$E$37&lt;&gt;"CRC")*$F$9)^(D60-1))+SUMPRODUCT(('Retiros del portafolio'!$H$15:$H$18=B60)*'Retiros del portafolio'!$G$15:$G$18*(1+('Retiros del portafolio'!$E$15:$E$18="CRC")*N($F$8)+('Retiros del portafolio'!$E$15:$E$18&lt;&gt;"CRC")*$F$9)^(D60-1))</f>
        <v>18906.7846292257</v>
      </c>
      <c r="X60" s="8" t="n">
        <f aca="false">SUMPRODUCT(('Retiros del portafolio'!$H$6:$H$9=B60)*'Retiros del portafolio'!$G$6:$G$9*(1+('Retiros del portafolio'!$E$6:$E$9="CRC")*N($F$8)+('Retiros del portafolio'!$E$6:$E$9&lt;&gt;"CRC")*$F$9)^(D60-1))</f>
        <v>0</v>
      </c>
      <c r="Y60" s="15" t="n">
        <f aca="false">W60+X60</f>
        <v>18906.7846292257</v>
      </c>
      <c r="Z60" s="15" t="n">
        <f aca="false">V60+Y60</f>
        <v>236334.807865322</v>
      </c>
      <c r="AA60" s="15" t="n">
        <f aca="false">Q60-Z60</f>
        <v>-117788.617404513</v>
      </c>
      <c r="AB60" s="8" t="n">
        <f aca="false">SUMPRODUCT((Desinversiones!$H$6:$H$10=B60)*(Desinversiones!$I$6:$I$10=1)*Desinversiones!$G$6:$G$10*(1+(Desinversiones!$E$6:$E$10="CRC")*N($F$8)+(Desinversiones!$E$6:$E$10&lt;&gt;"CRC")*$F$9)^(D60-1))</f>
        <v>0</v>
      </c>
      <c r="AC60" s="8" t="n">
        <f aca="false">SUMPRODUCT((Desinversiones!$H$6:$H$10=B60)*(Desinversiones!$I$6:$I$10=2)*Desinversiones!$G$6:$G$10*(1+(Desinversiones!$E$6:$E$10="CRC")*N($F$8)+(Desinversiones!$E$6:$E$10&lt;&gt;"CRC")*$F$9)^(D60-1))</f>
        <v>0</v>
      </c>
      <c r="AD60" s="8" t="n">
        <f aca="false">SUMPRODUCT((Desinversiones!$H$6:$H$10=B60)*(Desinversiones!$I$6:$I$10=3)*Desinversiones!$G$6:$G$10*(1+(Desinversiones!$E$6:$E$10="CRC")*N($F$8)+(Desinversiones!$E$6:$E$10&lt;&gt;"CRC")*$F$9)^(D60-1))</f>
        <v>0</v>
      </c>
      <c r="AE60" s="15" t="n">
        <f aca="false">SUM(AB60:AD60)</f>
        <v>0</v>
      </c>
      <c r="AF60" s="15" t="n">
        <f aca="false">AE60</f>
        <v>0</v>
      </c>
      <c r="AG60" s="8" t="n">
        <f aca="false">AJ59</f>
        <v>440056.395442794</v>
      </c>
      <c r="AH60" s="8" t="n">
        <f aca="false">AG60*$F$13</f>
        <v>25775.2032220731</v>
      </c>
      <c r="AI60" s="15" t="n">
        <f aca="false">AA60+AF60</f>
        <v>-117788.617404513</v>
      </c>
      <c r="AJ60" s="15" t="n">
        <f aca="false">AG60+AH60+AI60+AM60</f>
        <v>348042.981260355</v>
      </c>
      <c r="AK60" s="8" t="n">
        <f aca="false">AJ60/(1+$F$9)^(D60-1+$F$24/12)</f>
        <v>109398.802075114</v>
      </c>
      <c r="AL60" s="9" t="n">
        <f aca="false">IF(AG60&lt;=0,0,MAX(0,-AI60)/AG60)</f>
        <v>0.267667095909358</v>
      </c>
      <c r="AM60" s="8" t="n">
        <f aca="false">MAX(0,-(AG60+AH60+AI60))</f>
        <v>0</v>
      </c>
    </row>
    <row r="61" customFormat="false" ht="13.8" hidden="false" customHeight="false" outlineLevel="0" collapsed="false">
      <c r="B61" s="13" t="n">
        <f aca="false">B60+1</f>
        <v>2057</v>
      </c>
      <c r="C61" s="13" t="n">
        <f aca="false">C60+1</f>
        <v>77</v>
      </c>
      <c r="D61" s="13" t="n">
        <f aca="false">D60+1</f>
        <v>32</v>
      </c>
      <c r="E61" s="4" t="str">
        <f aca="false">IF(D61&lt;=$F$19,"Acumulación","Retiro")</f>
        <v>Retiro</v>
      </c>
      <c r="F61" s="8" t="n">
        <f aca="false">IF(D61&lt;=$P$7,$N$7*12*(1+IF($M$7="CRC",N($F$8),$F$9))^(D61-1),0)</f>
        <v>0</v>
      </c>
      <c r="G61" s="8" t="n">
        <f aca="false">IF(D61&lt;=$P$8,$N$8*12*(1+IF($M$8="CRC",N($F$8),$F$9))^(D61-1),0)</f>
        <v>0</v>
      </c>
      <c r="H61" s="8" t="n">
        <f aca="false">IF(AND($N$9&gt;0,D61&gt;=$O$9,D61&lt;=$P$9),$N$9*12*(1+IF($M$9="CRC",N($F$8),$F$9))^(D61-1),0)</f>
        <v>43653.6649550345</v>
      </c>
      <c r="I61" s="8" t="n">
        <f aca="false">SUMPRODUCT((Ingresos!$H$14:$H$17&gt;=B61)*Ingresos!$G$14:$G$17*(1+(Ingresos!$E$14:$E$17="CRC")*N($F$8)+(Ingresos!$E$14:$E$17&lt;&gt;"CRC")*$F$9)^(D61-1))*12</f>
        <v>0</v>
      </c>
      <c r="J61" s="8" t="n">
        <f aca="false">IF(AND($N$10&gt;0,D61&gt;=N($O$10)),$N$10*12*(1+IF($M$10="CRC",N($F$8),$F$9))^(N($O$10)-1)*(1+N($F$10))^(D61-N($O$10))*IF(D61=N($O$10),IF(AND(ISNUMBER($F$21),N($F$20)&gt;=$C$30),(12-$F$21)/12,1),1),0)</f>
        <v>49729.1010104527</v>
      </c>
      <c r="K61" s="8" t="n">
        <f aca="false">Pensiones!T50</f>
        <v>12553.8977671245</v>
      </c>
      <c r="L61" s="8" t="n">
        <f aca="false">Pensiones!U50</f>
        <v>14740.4820661339</v>
      </c>
      <c r="M61" s="15" t="n">
        <f aca="false">SUM(F61:L61)</f>
        <v>120677.145798746</v>
      </c>
      <c r="N61" s="8" t="n">
        <f aca="false">SUMPRODUCT((Ingresos!$H$22:$H$26=B61)*Ingresos!$G$22:$G$26*(1+(Ingresos!$E$22:$E$26="CRC")*N($F$8)+(Ingresos!$E$22:$E$26&lt;&gt;"CRC")*$F$9)^(D61-1))</f>
        <v>0</v>
      </c>
      <c r="O61" s="8" t="n">
        <f aca="false">Pensiones!S50</f>
        <v>0</v>
      </c>
      <c r="P61" s="15" t="n">
        <f aca="false">SUM(N61:O61)</f>
        <v>0</v>
      </c>
      <c r="Q61" s="15" t="n">
        <f aca="false">M61+P61</f>
        <v>120677.145798746</v>
      </c>
      <c r="R61" s="8" t="n">
        <f aca="false">$W$7*12*(N($F$22)*(1+$F$9)^(D61-1)+(1-N($F$22))*(1+N($F$8))^(D61-1))*IF(D61&gt;$F$19,$F$18,1)</f>
        <v>216085.641527421</v>
      </c>
      <c r="S61" s="8" t="n">
        <f aca="false">SUMPRODUCT((Gastos!$H$14:$H$17&lt;=B61)*(Gastos!$H$14:$H$17+Gastos!$I$14:$I$17&gt;B61)*Gastos!$G$14:$G$17*(1+(Gastos!$E$14:$E$17="CRC")*N($F$8)+(Gastos!$E$14:$E$17&lt;&gt;"CRC")*$F$9)^(D61-1))</f>
        <v>0</v>
      </c>
      <c r="T61" s="8" t="n">
        <f aca="false">$W$10*(1+IF($V$10="CRC",N($F$8),$F$9))^(D61-1)</f>
        <v>9822.07461488277</v>
      </c>
      <c r="U61" s="8" t="n">
        <f aca="false">(IF(D61&lt;=$X$11,$W$11*12,0)+IF(Gastos!$G$28="Sí",0,SUMPRODUCT((Gastos!$H$22:$H$26&gt;=B61)*Gastos!$G$22:$G$26)*12)+SUMPRODUCT((Gastos!$H$43:$H$45&lt;=B61)*(Gastos!$H$43:$H$45+Gastos!$I$43:$I$45-1&gt;=B61)*Gastos!$K$43:$K$45))</f>
        <v>0</v>
      </c>
      <c r="V61" s="15" t="n">
        <f aca="false">SUM(R61:U61)</f>
        <v>225907.716142304</v>
      </c>
      <c r="W61" s="8" t="n">
        <f aca="false">SUMPRODUCT((Gastos!$I$33:$I$37=1)*(Gastos!$H$33:$H$37=B61)*Gastos!$G$33:$G$37*(1+(Gastos!$E$33:$E$37="CRC")*N($F$8)+(Gastos!$E$33:$E$37&lt;&gt;"CRC")*$F$9)^(D61-1))+SUMPRODUCT((Gastos!$I$33:$I$37=2)*(Gastos!$H$33:$H$37&lt;=B61)*Gastos!$G$33:$G$37*(1+(Gastos!$E$33:$E$37="CRC")*N($F$8)+(Gastos!$E$33:$E$37&lt;&gt;"CRC")*$F$9)^(D61-1))+SUMPRODUCT(('Retiros del portafolio'!$H$15:$H$18=B61)*'Retiros del portafolio'!$G$15:$G$18*(1+('Retiros del portafolio'!$E$15:$E$18="CRC")*N($F$8)+('Retiros del portafolio'!$E$15:$E$18&lt;&gt;"CRC")*$F$9)^(D61-1))</f>
        <v>19644.1492297655</v>
      </c>
      <c r="X61" s="8" t="n">
        <f aca="false">SUMPRODUCT(('Retiros del portafolio'!$H$6:$H$9=B61)*'Retiros del portafolio'!$G$6:$G$9*(1+('Retiros del portafolio'!$E$6:$E$9="CRC")*N($F$8)+('Retiros del portafolio'!$E$6:$E$9&lt;&gt;"CRC")*$F$9)^(D61-1))</f>
        <v>0</v>
      </c>
      <c r="Y61" s="15" t="n">
        <f aca="false">W61+X61</f>
        <v>19644.1492297655</v>
      </c>
      <c r="Z61" s="15" t="n">
        <f aca="false">V61+Y61</f>
        <v>245551.865372069</v>
      </c>
      <c r="AA61" s="15" t="n">
        <f aca="false">Q61-Z61</f>
        <v>-124874.719573324</v>
      </c>
      <c r="AB61" s="8" t="n">
        <f aca="false">SUMPRODUCT((Desinversiones!$H$6:$H$10=B61)*(Desinversiones!$I$6:$I$10=1)*Desinversiones!$G$6:$G$10*(1+(Desinversiones!$E$6:$E$10="CRC")*N($F$8)+(Desinversiones!$E$6:$E$10&lt;&gt;"CRC")*$F$9)^(D61-1))</f>
        <v>0</v>
      </c>
      <c r="AC61" s="8" t="n">
        <f aca="false">SUMPRODUCT((Desinversiones!$H$6:$H$10=B61)*(Desinversiones!$I$6:$I$10=2)*Desinversiones!$G$6:$G$10*(1+(Desinversiones!$E$6:$E$10="CRC")*N($F$8)+(Desinversiones!$E$6:$E$10&lt;&gt;"CRC")*$F$9)^(D61-1))</f>
        <v>0</v>
      </c>
      <c r="AD61" s="8" t="n">
        <f aca="false">SUMPRODUCT((Desinversiones!$H$6:$H$10=B61)*(Desinversiones!$I$6:$I$10=3)*Desinversiones!$G$6:$G$10*(1+(Desinversiones!$E$6:$E$10="CRC")*N($F$8)+(Desinversiones!$E$6:$E$10&lt;&gt;"CRC")*$F$9)^(D61-1))</f>
        <v>0</v>
      </c>
      <c r="AE61" s="15" t="n">
        <f aca="false">SUM(AB61:AD61)</f>
        <v>0</v>
      </c>
      <c r="AF61" s="15" t="n">
        <f aca="false">AE61</f>
        <v>0</v>
      </c>
      <c r="AG61" s="8" t="n">
        <f aca="false">AJ60</f>
        <v>348042.981260355</v>
      </c>
      <c r="AH61" s="8" t="n">
        <f aca="false">AG61*$F$13</f>
        <v>20385.7475198721</v>
      </c>
      <c r="AI61" s="15" t="n">
        <f aca="false">AA61+AF61</f>
        <v>-124874.719573324</v>
      </c>
      <c r="AJ61" s="15" t="n">
        <f aca="false">AG61+AH61+AI61+AM61</f>
        <v>243554.009206903</v>
      </c>
      <c r="AK61" s="8" t="n">
        <f aca="false">AJ61/(1+$F$9)^(D61-1+$F$24/12)</f>
        <v>73681.6634218578</v>
      </c>
      <c r="AL61" s="9" t="n">
        <f aca="false">IF(AG61&lt;=0,0,MAX(0,-AI61)/AG61)</f>
        <v>0.358791087012069</v>
      </c>
      <c r="AM61" s="8" t="n">
        <f aca="false">MAX(0,-(AG61+AH61+AI61))</f>
        <v>0</v>
      </c>
    </row>
    <row r="62" customFormat="false" ht="13.8" hidden="false" customHeight="false" outlineLevel="0" collapsed="false">
      <c r="B62" s="13" t="n">
        <f aca="false">B61+1</f>
        <v>2058</v>
      </c>
      <c r="C62" s="13" t="n">
        <f aca="false">C61+1</f>
        <v>78</v>
      </c>
      <c r="D62" s="13" t="n">
        <f aca="false">D61+1</f>
        <v>33</v>
      </c>
      <c r="E62" s="4" t="str">
        <f aca="false">IF(D62&lt;=$F$19,"Acumulación","Retiro")</f>
        <v>Retiro</v>
      </c>
      <c r="F62" s="8" t="n">
        <f aca="false">IF(D62&lt;=$P$7,$N$7*12*(1+IF($M$7="CRC",N($F$8),$F$9))^(D62-1),0)</f>
        <v>0</v>
      </c>
      <c r="G62" s="8" t="n">
        <f aca="false">IF(D62&lt;=$P$8,$N$8*12*(1+IF($M$8="CRC",N($F$8),$F$9))^(D62-1),0)</f>
        <v>0</v>
      </c>
      <c r="H62" s="8" t="n">
        <f aca="false">IF(AND($N$9&gt;0,D62&gt;=$O$9,D62&lt;=$P$9),$N$9*12*(1+IF($M$9="CRC",N($F$8),$F$9))^(D62-1),0)</f>
        <v>45356.1578882809</v>
      </c>
      <c r="I62" s="8" t="n">
        <f aca="false">SUMPRODUCT((Ingresos!$H$14:$H$17&gt;=B62)*Ingresos!$G$14:$G$17*(1+(Ingresos!$E$14:$E$17="CRC")*N($F$8)+(Ingresos!$E$14:$E$17&lt;&gt;"CRC")*$F$9)^(D62-1))*12</f>
        <v>0</v>
      </c>
      <c r="J62" s="8" t="n">
        <f aca="false">IF(AND($N$10&gt;0,D62&gt;=N($O$10)),$N$10*12*(1+IF($M$10="CRC",N($F$8),$F$9))^(N($O$10)-1)*(1+N($F$10))^(D62-N($O$10))*IF(D62=N($O$10),IF(AND(ISNUMBER($F$21),N($F$20)&gt;=$C$30),(12-$F$21)/12,1),1),0)</f>
        <v>50226.3920205572</v>
      </c>
      <c r="K62" s="8" t="n">
        <f aca="false">Pensiones!T51</f>
        <v>12553.8977671245</v>
      </c>
      <c r="L62" s="8" t="n">
        <f aca="false">Pensiones!U51</f>
        <v>14740.4820661339</v>
      </c>
      <c r="M62" s="15" t="n">
        <f aca="false">SUM(F62:L62)</f>
        <v>122876.929742097</v>
      </c>
      <c r="N62" s="8" t="n">
        <f aca="false">SUMPRODUCT((Ingresos!$H$22:$H$26=B62)*Ingresos!$G$22:$G$26*(1+(Ingresos!$E$22:$E$26="CRC")*N($F$8)+(Ingresos!$E$22:$E$26&lt;&gt;"CRC")*$F$9)^(D62-1))</f>
        <v>0</v>
      </c>
      <c r="O62" s="8" t="n">
        <f aca="false">Pensiones!S51</f>
        <v>0</v>
      </c>
      <c r="P62" s="15" t="n">
        <f aca="false">SUM(N62:O62)</f>
        <v>0</v>
      </c>
      <c r="Q62" s="15" t="n">
        <f aca="false">M62+P62</f>
        <v>122876.929742097</v>
      </c>
      <c r="R62" s="8" t="n">
        <f aca="false">$W$7*12*(N($F$22)*(1+$F$9)^(D62-1)+(1-N($F$22))*(1+N($F$8))^(D62-1))*IF(D62&gt;$F$19,$F$18,1)</f>
        <v>224512.98154699</v>
      </c>
      <c r="S62" s="8" t="n">
        <f aca="false">SUMPRODUCT((Gastos!$H$14:$H$17&lt;=B62)*(Gastos!$H$14:$H$17+Gastos!$I$14:$I$17&gt;B62)*Gastos!$G$14:$G$17*(1+(Gastos!$E$14:$E$17="CRC")*N($F$8)+(Gastos!$E$14:$E$17&lt;&gt;"CRC")*$F$9)^(D62-1))</f>
        <v>0</v>
      </c>
      <c r="T62" s="8" t="n">
        <f aca="false">$W$10*(1+IF($V$10="CRC",N($F$8),$F$9))^(D62-1)</f>
        <v>10205.1355248632</v>
      </c>
      <c r="U62" s="8" t="n">
        <f aca="false">(IF(D62&lt;=$X$11,$W$11*12,0)+IF(Gastos!$G$28="Sí",0,SUMPRODUCT((Gastos!$H$22:$H$26&gt;=B62)*Gastos!$G$22:$G$26)*12)+SUMPRODUCT((Gastos!$H$43:$H$45&lt;=B62)*(Gastos!$H$43:$H$45+Gastos!$I$43:$I$45-1&gt;=B62)*Gastos!$K$43:$K$45))</f>
        <v>0</v>
      </c>
      <c r="V62" s="15" t="n">
        <f aca="false">SUM(R62:U62)</f>
        <v>234718.117071854</v>
      </c>
      <c r="W62" s="8" t="n">
        <f aca="false">SUMPRODUCT((Gastos!$I$33:$I$37=1)*(Gastos!$H$33:$H$37=B62)*Gastos!$G$33:$G$37*(1+(Gastos!$E$33:$E$37="CRC")*N($F$8)+(Gastos!$E$33:$E$37&lt;&gt;"CRC")*$F$9)^(D62-1))+SUMPRODUCT((Gastos!$I$33:$I$37=2)*(Gastos!$H$33:$H$37&lt;=B62)*Gastos!$G$33:$G$37*(1+(Gastos!$E$33:$E$37="CRC")*N($F$8)+(Gastos!$E$33:$E$37&lt;&gt;"CRC")*$F$9)^(D62-1))+SUMPRODUCT(('Retiros del portafolio'!$H$15:$H$18=B62)*'Retiros del portafolio'!$G$15:$G$18*(1+('Retiros del portafolio'!$E$15:$E$18="CRC")*N($F$8)+('Retiros del portafolio'!$E$15:$E$18&lt;&gt;"CRC")*$F$9)^(D62-1))</f>
        <v>20410.2710497264</v>
      </c>
      <c r="X62" s="8" t="n">
        <f aca="false">SUMPRODUCT(('Retiros del portafolio'!$H$6:$H$9=B62)*'Retiros del portafolio'!$G$6:$G$9*(1+('Retiros del portafolio'!$E$6:$E$9="CRC")*N($F$8)+('Retiros del portafolio'!$E$6:$E$9&lt;&gt;"CRC")*$F$9)^(D62-1))</f>
        <v>0</v>
      </c>
      <c r="Y62" s="15" t="n">
        <f aca="false">W62+X62</f>
        <v>20410.2710497264</v>
      </c>
      <c r="Z62" s="15" t="n">
        <f aca="false">V62+Y62</f>
        <v>255128.38812158</v>
      </c>
      <c r="AA62" s="15" t="n">
        <f aca="false">Q62-Z62</f>
        <v>-132251.458379483</v>
      </c>
      <c r="AB62" s="8" t="n">
        <f aca="false">SUMPRODUCT((Desinversiones!$H$6:$H$10=B62)*(Desinversiones!$I$6:$I$10=1)*Desinversiones!$G$6:$G$10*(1+(Desinversiones!$E$6:$E$10="CRC")*N($F$8)+(Desinversiones!$E$6:$E$10&lt;&gt;"CRC")*$F$9)^(D62-1))</f>
        <v>0</v>
      </c>
      <c r="AC62" s="8" t="n">
        <f aca="false">SUMPRODUCT((Desinversiones!$H$6:$H$10=B62)*(Desinversiones!$I$6:$I$10=2)*Desinversiones!$G$6:$G$10*(1+(Desinversiones!$E$6:$E$10="CRC")*N($F$8)+(Desinversiones!$E$6:$E$10&lt;&gt;"CRC")*$F$9)^(D62-1))</f>
        <v>0</v>
      </c>
      <c r="AD62" s="8" t="n">
        <f aca="false">SUMPRODUCT((Desinversiones!$H$6:$H$10=B62)*(Desinversiones!$I$6:$I$10=3)*Desinversiones!$G$6:$G$10*(1+(Desinversiones!$E$6:$E$10="CRC")*N($F$8)+(Desinversiones!$E$6:$E$10&lt;&gt;"CRC")*$F$9)^(D62-1))</f>
        <v>0</v>
      </c>
      <c r="AE62" s="15" t="n">
        <f aca="false">SUM(AB62:AD62)</f>
        <v>0</v>
      </c>
      <c r="AF62" s="15" t="n">
        <f aca="false">AE62</f>
        <v>0</v>
      </c>
      <c r="AG62" s="8" t="n">
        <f aca="false">AJ61</f>
        <v>243554.009206903</v>
      </c>
      <c r="AH62" s="8" t="n">
        <f aca="false">AG62*$F$13</f>
        <v>14265.5672042713</v>
      </c>
      <c r="AI62" s="15" t="n">
        <f aca="false">AA62+AF62</f>
        <v>-132251.458379483</v>
      </c>
      <c r="AJ62" s="15" t="n">
        <f aca="false">AG62+AH62+AI62+AM62</f>
        <v>125568.118031691</v>
      </c>
      <c r="AK62" s="8" t="n">
        <f aca="false">AJ62/(1+$F$9)^(D62-1+$F$24/12)</f>
        <v>36561.834338816</v>
      </c>
      <c r="AL62" s="9" t="n">
        <f aca="false">IF(AG62&lt;=0,0,MAX(0,-AI62)/AG62)</f>
        <v>0.543006698227389</v>
      </c>
      <c r="AM62" s="8" t="n">
        <f aca="false">MAX(0,-(AG62+AH62+AI62))</f>
        <v>0</v>
      </c>
    </row>
    <row r="63" customFormat="false" ht="13.8" hidden="false" customHeight="false" outlineLevel="0" collapsed="false">
      <c r="B63" s="13" t="n">
        <f aca="false">B62+1</f>
        <v>2059</v>
      </c>
      <c r="C63" s="13" t="n">
        <f aca="false">C62+1</f>
        <v>79</v>
      </c>
      <c r="D63" s="13" t="n">
        <f aca="false">D62+1</f>
        <v>34</v>
      </c>
      <c r="E63" s="4" t="str">
        <f aca="false">IF(D63&lt;=$F$19,"Acumulación","Retiro")</f>
        <v>Retiro</v>
      </c>
      <c r="F63" s="8" t="n">
        <f aca="false">IF(D63&lt;=$P$7,$N$7*12*(1+IF($M$7="CRC",N($F$8),$F$9))^(D63-1),0)</f>
        <v>0</v>
      </c>
      <c r="G63" s="8" t="n">
        <f aca="false">IF(D63&lt;=$P$8,$N$8*12*(1+IF($M$8="CRC",N($F$8),$F$9))^(D63-1),0)</f>
        <v>0</v>
      </c>
      <c r="H63" s="8" t="n">
        <f aca="false">IF(AND($N$9&gt;0,D63&gt;=$O$9,D63&lt;=$P$9),$N$9*12*(1+IF($M$9="CRC",N($F$8),$F$9))^(D63-1),0)</f>
        <v>47125.0480459238</v>
      </c>
      <c r="I63" s="8" t="n">
        <f aca="false">SUMPRODUCT((Ingresos!$H$14:$H$17&gt;=B63)*Ingresos!$G$14:$G$17*(1+(Ingresos!$E$14:$E$17="CRC")*N($F$8)+(Ingresos!$E$14:$E$17&lt;&gt;"CRC")*$F$9)^(D63-1))*12</f>
        <v>0</v>
      </c>
      <c r="J63" s="8" t="n">
        <f aca="false">IF(AND($N$10&gt;0,D63&gt;=N($O$10)),$N$10*12*(1+IF($M$10="CRC",N($F$8),$F$9))^(N($O$10)-1)*(1+N($F$10))^(D63-N($O$10))*IF(D63=N($O$10),IF(AND(ISNUMBER($F$21),N($F$20)&gt;=$C$30),(12-$F$21)/12,1),1),0)</f>
        <v>50728.6559407628</v>
      </c>
      <c r="K63" s="8" t="n">
        <f aca="false">Pensiones!T52</f>
        <v>12553.8977671245</v>
      </c>
      <c r="L63" s="8" t="n">
        <f aca="false">Pensiones!U52</f>
        <v>14740.4820661339</v>
      </c>
      <c r="M63" s="15" t="n">
        <f aca="false">SUM(F63:L63)</f>
        <v>125148.083819945</v>
      </c>
      <c r="N63" s="8" t="n">
        <f aca="false">SUMPRODUCT((Ingresos!$H$22:$H$26=B63)*Ingresos!$G$22:$G$26*(1+(Ingresos!$E$22:$E$26="CRC")*N($F$8)+(Ingresos!$E$22:$E$26&lt;&gt;"CRC")*$F$9)^(D63-1))</f>
        <v>0</v>
      </c>
      <c r="O63" s="8" t="n">
        <f aca="false">Pensiones!S52</f>
        <v>0</v>
      </c>
      <c r="P63" s="15" t="n">
        <f aca="false">SUM(N63:O63)</f>
        <v>0</v>
      </c>
      <c r="Q63" s="15" t="n">
        <f aca="false">M63+P63</f>
        <v>125148.083819945</v>
      </c>
      <c r="R63" s="8" t="n">
        <f aca="false">$W$7*12*(N($F$22)*(1+$F$9)^(D63-1)+(1-N($F$22))*(1+N($F$8))^(D63-1))*IF(D63&gt;$F$19,$F$18,1)</f>
        <v>233268.987827323</v>
      </c>
      <c r="S63" s="8" t="n">
        <f aca="false">SUMPRODUCT((Gastos!$H$14:$H$17&lt;=B63)*(Gastos!$H$14:$H$17+Gastos!$I$14:$I$17&gt;B63)*Gastos!$G$14:$G$17*(1+(Gastos!$E$14:$E$17="CRC")*N($F$8)+(Gastos!$E$14:$E$17&lt;&gt;"CRC")*$F$9)^(D63-1))</f>
        <v>0</v>
      </c>
      <c r="T63" s="8" t="n">
        <f aca="false">$W$10*(1+IF($V$10="CRC",N($F$8),$F$9))^(D63-1)</f>
        <v>10603.1358103329</v>
      </c>
      <c r="U63" s="8" t="n">
        <f aca="false">(IF(D63&lt;=$X$11,$W$11*12,0)+IF(Gastos!$G$28="Sí",0,SUMPRODUCT((Gastos!$H$22:$H$26&gt;=B63)*Gastos!$G$22:$G$26)*12)+SUMPRODUCT((Gastos!$H$43:$H$45&lt;=B63)*(Gastos!$H$43:$H$45+Gastos!$I$43:$I$45-1&gt;=B63)*Gastos!$K$43:$K$45))</f>
        <v>0</v>
      </c>
      <c r="V63" s="15" t="n">
        <f aca="false">SUM(R63:U63)</f>
        <v>243872.123637656</v>
      </c>
      <c r="W63" s="8" t="n">
        <f aca="false">SUMPRODUCT((Gastos!$I$33:$I$37=1)*(Gastos!$H$33:$H$37=B63)*Gastos!$G$33:$G$37*(1+(Gastos!$E$33:$E$37="CRC")*N($F$8)+(Gastos!$E$33:$E$37&lt;&gt;"CRC")*$F$9)^(D63-1))+SUMPRODUCT((Gastos!$I$33:$I$37=2)*(Gastos!$H$33:$H$37&lt;=B63)*Gastos!$G$33:$G$37*(1+(Gastos!$E$33:$E$37="CRC")*N($F$8)+(Gastos!$E$33:$E$37&lt;&gt;"CRC")*$F$9)^(D63-1))+SUMPRODUCT(('Retiros del portafolio'!$H$15:$H$18=B63)*'Retiros del portafolio'!$G$15:$G$18*(1+('Retiros del portafolio'!$E$15:$E$18="CRC")*N($F$8)+('Retiros del portafolio'!$E$15:$E$18&lt;&gt;"CRC")*$F$9)^(D63-1))</f>
        <v>21206.2716206657</v>
      </c>
      <c r="X63" s="8" t="n">
        <f aca="false">SUMPRODUCT(('Retiros del portafolio'!$H$6:$H$9=B63)*'Retiros del portafolio'!$G$6:$G$9*(1+('Retiros del portafolio'!$E$6:$E$9="CRC")*N($F$8)+('Retiros del portafolio'!$E$6:$E$9&lt;&gt;"CRC")*$F$9)^(D63-1))</f>
        <v>0</v>
      </c>
      <c r="Y63" s="15" t="n">
        <f aca="false">W63+X63</f>
        <v>21206.2716206657</v>
      </c>
      <c r="Z63" s="15" t="n">
        <f aca="false">V63+Y63</f>
        <v>265078.395258322</v>
      </c>
      <c r="AA63" s="15" t="n">
        <f aca="false">Q63-Z63</f>
        <v>-139930.311438377</v>
      </c>
      <c r="AB63" s="8" t="n">
        <f aca="false">SUMPRODUCT((Desinversiones!$H$6:$H$10=B63)*(Desinversiones!$I$6:$I$10=1)*Desinversiones!$G$6:$G$10*(1+(Desinversiones!$E$6:$E$10="CRC")*N($F$8)+(Desinversiones!$E$6:$E$10&lt;&gt;"CRC")*$F$9)^(D63-1))</f>
        <v>0</v>
      </c>
      <c r="AC63" s="8" t="n">
        <f aca="false">SUMPRODUCT((Desinversiones!$H$6:$H$10=B63)*(Desinversiones!$I$6:$I$10=2)*Desinversiones!$G$6:$G$10*(1+(Desinversiones!$E$6:$E$10="CRC")*N($F$8)+(Desinversiones!$E$6:$E$10&lt;&gt;"CRC")*$F$9)^(D63-1))</f>
        <v>0</v>
      </c>
      <c r="AD63" s="8" t="n">
        <f aca="false">SUMPRODUCT((Desinversiones!$H$6:$H$10=B63)*(Desinversiones!$I$6:$I$10=3)*Desinversiones!$G$6:$G$10*(1+(Desinversiones!$E$6:$E$10="CRC")*N($F$8)+(Desinversiones!$E$6:$E$10&lt;&gt;"CRC")*$F$9)^(D63-1))</f>
        <v>0</v>
      </c>
      <c r="AE63" s="15" t="n">
        <f aca="false">SUM(AB63:AD63)</f>
        <v>0</v>
      </c>
      <c r="AF63" s="15" t="n">
        <f aca="false">AE63</f>
        <v>0</v>
      </c>
      <c r="AG63" s="8" t="n">
        <f aca="false">AJ62</f>
        <v>125568.118031691</v>
      </c>
      <c r="AH63" s="8" t="n">
        <f aca="false">AG63*$F$13</f>
        <v>7354.83859341122</v>
      </c>
      <c r="AI63" s="15" t="n">
        <f aca="false">AA63+AF63</f>
        <v>-139930.311438377</v>
      </c>
      <c r="AJ63" s="15" t="n">
        <f aca="false">AG63+AH63+AI63+AM63</f>
        <v>0</v>
      </c>
      <c r="AK63" s="8" t="n">
        <f aca="false">AJ63/(1+$F$9)^(D63-1+$F$24/12)</f>
        <v>0</v>
      </c>
      <c r="AL63" s="9" t="n">
        <f aca="false">IF(AG63&lt;=0,0,MAX(0,-AI63)/AG63)</f>
        <v>1.11437770695154</v>
      </c>
      <c r="AM63" s="8" t="n">
        <f aca="false">MAX(0,-(AG63+AH63+AI63))</f>
        <v>7007.35481327435</v>
      </c>
    </row>
    <row r="64" customFormat="false" ht="13.8" hidden="false" customHeight="false" outlineLevel="0" collapsed="false">
      <c r="B64" s="13" t="n">
        <f aca="false">B63+1</f>
        <v>2060</v>
      </c>
      <c r="C64" s="13" t="n">
        <f aca="false">C63+1</f>
        <v>80</v>
      </c>
      <c r="D64" s="13" t="n">
        <f aca="false">D63+1</f>
        <v>35</v>
      </c>
      <c r="E64" s="4" t="str">
        <f aca="false">IF(D64&lt;=$F$19,"Acumulación","Retiro")</f>
        <v>Retiro</v>
      </c>
      <c r="F64" s="8" t="n">
        <f aca="false">IF(D64&lt;=$P$7,$N$7*12*(1+IF($M$7="CRC",N($F$8),$F$9))^(D64-1),0)</f>
        <v>0</v>
      </c>
      <c r="G64" s="8" t="n">
        <f aca="false">IF(D64&lt;=$P$8,$N$8*12*(1+IF($M$8="CRC",N($F$8),$F$9))^(D64-1),0)</f>
        <v>0</v>
      </c>
      <c r="H64" s="8" t="n">
        <f aca="false">IF(AND($N$9&gt;0,D64&gt;=$O$9,D64&lt;=$P$9),$N$9*12*(1+IF($M$9="CRC",N($F$8),$F$9))^(D64-1),0)</f>
        <v>48962.9249197149</v>
      </c>
      <c r="I64" s="8" t="n">
        <f aca="false">SUMPRODUCT((Ingresos!$H$14:$H$17&gt;=B64)*Ingresos!$G$14:$G$17*(1+(Ingresos!$E$14:$E$17="CRC")*N($F$8)+(Ingresos!$E$14:$E$17&lt;&gt;"CRC")*$F$9)^(D64-1))*12</f>
        <v>0</v>
      </c>
      <c r="J64" s="8" t="n">
        <f aca="false">IF(AND($N$10&gt;0,D64&gt;=N($O$10)),$N$10*12*(1+IF($M$10="CRC",N($F$8),$F$9))^(N($O$10)-1)*(1+N($F$10))^(D64-N($O$10))*IF(D64=N($O$10),IF(AND(ISNUMBER($F$21),N($F$20)&gt;=$C$30),(12-$F$21)/12,1),1),0)</f>
        <v>51235.9425001704</v>
      </c>
      <c r="K64" s="8" t="n">
        <f aca="false">Pensiones!T53</f>
        <v>12553.8977671245</v>
      </c>
      <c r="L64" s="8" t="n">
        <f aca="false">Pensiones!U53</f>
        <v>14740.4820661339</v>
      </c>
      <c r="M64" s="15" t="n">
        <f aca="false">SUM(F64:L64)</f>
        <v>127493.247253144</v>
      </c>
      <c r="N64" s="8" t="n">
        <f aca="false">SUMPRODUCT((Ingresos!$H$22:$H$26=B64)*Ingresos!$G$22:$G$26*(1+(Ingresos!$E$22:$E$26="CRC")*N($F$8)+(Ingresos!$E$22:$E$26&lt;&gt;"CRC")*$F$9)^(D64-1))</f>
        <v>0</v>
      </c>
      <c r="O64" s="8" t="n">
        <f aca="false">Pensiones!S53</f>
        <v>0</v>
      </c>
      <c r="P64" s="15" t="n">
        <f aca="false">SUM(N64:O64)</f>
        <v>0</v>
      </c>
      <c r="Q64" s="15" t="n">
        <f aca="false">M64+P64</f>
        <v>127493.247253144</v>
      </c>
      <c r="R64" s="8" t="n">
        <f aca="false">$W$7*12*(N($F$22)*(1+$F$9)^(D64-1)+(1-N($F$22))*(1+N($F$8))^(D64-1))*IF(D64&gt;$F$19,$F$18,1)</f>
        <v>242366.478352589</v>
      </c>
      <c r="S64" s="8" t="n">
        <f aca="false">SUMPRODUCT((Gastos!$H$14:$H$17&lt;=B64)*(Gastos!$H$14:$H$17+Gastos!$I$14:$I$17&gt;B64)*Gastos!$G$14:$G$17*(1+(Gastos!$E$14:$E$17="CRC")*N($F$8)+(Gastos!$E$14:$E$17&lt;&gt;"CRC")*$F$9)^(D64-1))</f>
        <v>0</v>
      </c>
      <c r="T64" s="8" t="n">
        <f aca="false">$W$10*(1+IF($V$10="CRC",N($F$8),$F$9))^(D64-1)</f>
        <v>11016.6581069358</v>
      </c>
      <c r="U64" s="8" t="n">
        <f aca="false">(IF(D64&lt;=$X$11,$W$11*12,0)+IF(Gastos!$G$28="Sí",0,SUMPRODUCT((Gastos!$H$22:$H$26&gt;=B64)*Gastos!$G$22:$G$26)*12)+SUMPRODUCT((Gastos!$H$43:$H$45&lt;=B64)*(Gastos!$H$43:$H$45+Gastos!$I$43:$I$45-1&gt;=B64)*Gastos!$K$43:$K$45))</f>
        <v>0</v>
      </c>
      <c r="V64" s="15" t="n">
        <f aca="false">SUM(R64:U64)</f>
        <v>253383.136459524</v>
      </c>
      <c r="W64" s="8" t="n">
        <f aca="false">SUMPRODUCT((Gastos!$I$33:$I$37=1)*(Gastos!$H$33:$H$37=B64)*Gastos!$G$33:$G$37*(1+(Gastos!$E$33:$E$37="CRC")*N($F$8)+(Gastos!$E$33:$E$37&lt;&gt;"CRC")*$F$9)^(D64-1))+SUMPRODUCT((Gastos!$I$33:$I$37=2)*(Gastos!$H$33:$H$37&lt;=B64)*Gastos!$G$33:$G$37*(1+(Gastos!$E$33:$E$37="CRC")*N($F$8)+(Gastos!$E$33:$E$37&lt;&gt;"CRC")*$F$9)^(D64-1))+SUMPRODUCT(('Retiros del portafolio'!$H$15:$H$18=B64)*'Retiros del portafolio'!$G$15:$G$18*(1+('Retiros del portafolio'!$E$15:$E$18="CRC")*N($F$8)+('Retiros del portafolio'!$E$15:$E$18&lt;&gt;"CRC")*$F$9)^(D64-1))</f>
        <v>22033.3162138717</v>
      </c>
      <c r="X64" s="8" t="n">
        <f aca="false">SUMPRODUCT(('Retiros del portafolio'!$H$6:$H$9=B64)*'Retiros del portafolio'!$G$6:$G$9*(1+('Retiros del portafolio'!$E$6:$E$9="CRC")*N($F$8)+('Retiros del portafolio'!$E$6:$E$9&lt;&gt;"CRC")*$F$9)^(D64-1))</f>
        <v>0</v>
      </c>
      <c r="Y64" s="15" t="n">
        <f aca="false">W64+X64</f>
        <v>22033.3162138717</v>
      </c>
      <c r="Z64" s="15" t="n">
        <f aca="false">V64+Y64</f>
        <v>275416.452673396</v>
      </c>
      <c r="AA64" s="15" t="n">
        <f aca="false">Q64-Z64</f>
        <v>-147923.205420252</v>
      </c>
      <c r="AB64" s="8" t="n">
        <f aca="false">SUMPRODUCT((Desinversiones!$H$6:$H$10=B64)*(Desinversiones!$I$6:$I$10=1)*Desinversiones!$G$6:$G$10*(1+(Desinversiones!$E$6:$E$10="CRC")*N($F$8)+(Desinversiones!$E$6:$E$10&lt;&gt;"CRC")*$F$9)^(D64-1))</f>
        <v>0</v>
      </c>
      <c r="AC64" s="8" t="n">
        <f aca="false">SUMPRODUCT((Desinversiones!$H$6:$H$10=B64)*(Desinversiones!$I$6:$I$10=2)*Desinversiones!$G$6:$G$10*(1+(Desinversiones!$E$6:$E$10="CRC")*N($F$8)+(Desinversiones!$E$6:$E$10&lt;&gt;"CRC")*$F$9)^(D64-1))</f>
        <v>0</v>
      </c>
      <c r="AD64" s="8" t="n">
        <f aca="false">SUMPRODUCT((Desinversiones!$H$6:$H$10=B64)*(Desinversiones!$I$6:$I$10=3)*Desinversiones!$G$6:$G$10*(1+(Desinversiones!$E$6:$E$10="CRC")*N($F$8)+(Desinversiones!$E$6:$E$10&lt;&gt;"CRC")*$F$9)^(D64-1))</f>
        <v>0</v>
      </c>
      <c r="AE64" s="15" t="n">
        <f aca="false">SUM(AB64:AD64)</f>
        <v>0</v>
      </c>
      <c r="AF64" s="15" t="n">
        <f aca="false">AE64</f>
        <v>0</v>
      </c>
      <c r="AG64" s="8" t="n">
        <f aca="false">AJ63</f>
        <v>0</v>
      </c>
      <c r="AH64" s="8" t="n">
        <f aca="false">AG64*$F$13</f>
        <v>0</v>
      </c>
      <c r="AI64" s="15" t="n">
        <f aca="false">AA64+AF64</f>
        <v>-147923.205420252</v>
      </c>
      <c r="AJ64" s="15" t="n">
        <f aca="false">AG64+AH64+AI64+AM64</f>
        <v>0</v>
      </c>
      <c r="AK64" s="8" t="n">
        <f aca="false">AJ64/(1+$F$9)^(D64-1+$F$24/12)</f>
        <v>0</v>
      </c>
      <c r="AL64" s="9" t="n">
        <f aca="false">IF(AG64&lt;=0,0,MAX(0,-AI64)/AG64)</f>
        <v>0</v>
      </c>
      <c r="AM64" s="8" t="n">
        <f aca="false">MAX(0,-(AG64+AH64+AI64))</f>
        <v>147923.205420252</v>
      </c>
    </row>
    <row r="65" customFormat="false" ht="13.8" hidden="false" customHeight="false" outlineLevel="0" collapsed="false">
      <c r="B65" s="13" t="n">
        <f aca="false">B64+1</f>
        <v>2061</v>
      </c>
      <c r="C65" s="13" t="n">
        <f aca="false">C64+1</f>
        <v>81</v>
      </c>
      <c r="D65" s="13" t="n">
        <f aca="false">D64+1</f>
        <v>36</v>
      </c>
      <c r="E65" s="4" t="str">
        <f aca="false">IF(D65&lt;=$F$19,"Acumulación","Retiro")</f>
        <v>Retiro</v>
      </c>
      <c r="F65" s="8" t="n">
        <f aca="false">IF(D65&lt;=$P$7,$N$7*12*(1+IF($M$7="CRC",N($F$8),$F$9))^(D65-1),0)</f>
        <v>0</v>
      </c>
      <c r="G65" s="8" t="n">
        <f aca="false">IF(D65&lt;=$P$8,$N$8*12*(1+IF($M$8="CRC",N($F$8),$F$9))^(D65-1),0)</f>
        <v>0</v>
      </c>
      <c r="H65" s="8" t="n">
        <f aca="false">IF(AND($N$9&gt;0,D65&gt;=$O$9,D65&lt;=$P$9),$N$9*12*(1+IF($M$9="CRC",N($F$8),$F$9))^(D65-1),0)</f>
        <v>50872.4789915837</v>
      </c>
      <c r="I65" s="8" t="n">
        <f aca="false">SUMPRODUCT((Ingresos!$H$14:$H$17&gt;=B65)*Ingresos!$G$14:$G$17*(1+(Ingresos!$E$14:$E$17="CRC")*N($F$8)+(Ingresos!$E$14:$E$17&lt;&gt;"CRC")*$F$9)^(D65-1))*12</f>
        <v>0</v>
      </c>
      <c r="J65" s="8" t="n">
        <f aca="false">IF(AND($N$10&gt;0,D65&gt;=N($O$10)),$N$10*12*(1+IF($M$10="CRC",N($F$8),$F$9))^(N($O$10)-1)*(1+N($F$10))^(D65-N($O$10))*IF(D65=N($O$10),IF(AND(ISNUMBER($F$21),N($F$20)&gt;=$C$30),(12-$F$21)/12,1),1),0)</f>
        <v>51748.3019251721</v>
      </c>
      <c r="K65" s="8" t="n">
        <f aca="false">Pensiones!T54</f>
        <v>12553.8977671245</v>
      </c>
      <c r="L65" s="8" t="n">
        <f aca="false">Pensiones!U54</f>
        <v>14740.4820661339</v>
      </c>
      <c r="M65" s="15" t="n">
        <f aca="false">SUM(F65:L65)</f>
        <v>129915.160750014</v>
      </c>
      <c r="N65" s="8" t="n">
        <f aca="false">SUMPRODUCT((Ingresos!$H$22:$H$26=B65)*Ingresos!$G$22:$G$26*(1+(Ingresos!$E$22:$E$26="CRC")*N($F$8)+(Ingresos!$E$22:$E$26&lt;&gt;"CRC")*$F$9)^(D65-1))</f>
        <v>0</v>
      </c>
      <c r="O65" s="8" t="n">
        <f aca="false">Pensiones!S54</f>
        <v>0</v>
      </c>
      <c r="P65" s="15" t="n">
        <f aca="false">SUM(N65:O65)</f>
        <v>0</v>
      </c>
      <c r="Q65" s="15" t="n">
        <f aca="false">M65+P65</f>
        <v>129915.160750014</v>
      </c>
      <c r="R65" s="8" t="n">
        <f aca="false">$W$7*12*(N($F$22)*(1+$F$9)^(D65-1)+(1-N($F$22))*(1+N($F$8))^(D65-1))*IF(D65&gt;$F$19,$F$18,1)</f>
        <v>251818.771008339</v>
      </c>
      <c r="S65" s="8" t="n">
        <f aca="false">SUMPRODUCT((Gastos!$H$14:$H$17&lt;=B65)*(Gastos!$H$14:$H$17+Gastos!$I$14:$I$17&gt;B65)*Gastos!$G$14:$G$17*(1+(Gastos!$E$14:$E$17="CRC")*N($F$8)+(Gastos!$E$14:$E$17&lt;&gt;"CRC")*$F$9)^(D65-1))</f>
        <v>0</v>
      </c>
      <c r="T65" s="8" t="n">
        <f aca="false">$W$10*(1+IF($V$10="CRC",N($F$8),$F$9))^(D65-1)</f>
        <v>11446.3077731063</v>
      </c>
      <c r="U65" s="8" t="n">
        <f aca="false">(IF(D65&lt;=$X$11,$W$11*12,0)+IF(Gastos!$G$28="Sí",0,SUMPRODUCT((Gastos!$H$22:$H$26&gt;=B65)*Gastos!$G$22:$G$26)*12)+SUMPRODUCT((Gastos!$H$43:$H$45&lt;=B65)*(Gastos!$H$43:$H$45+Gastos!$I$43:$I$45-1&gt;=B65)*Gastos!$K$43:$K$45))</f>
        <v>0</v>
      </c>
      <c r="V65" s="15" t="n">
        <f aca="false">SUM(R65:U65)</f>
        <v>263265.078781446</v>
      </c>
      <c r="W65" s="8" t="n">
        <f aca="false">SUMPRODUCT((Gastos!$I$33:$I$37=1)*(Gastos!$H$33:$H$37=B65)*Gastos!$G$33:$G$37*(1+(Gastos!$E$33:$E$37="CRC")*N($F$8)+(Gastos!$E$33:$E$37&lt;&gt;"CRC")*$F$9)^(D65-1))+SUMPRODUCT((Gastos!$I$33:$I$37=2)*(Gastos!$H$33:$H$37&lt;=B65)*Gastos!$G$33:$G$37*(1+(Gastos!$E$33:$E$37="CRC")*N($F$8)+(Gastos!$E$33:$E$37&lt;&gt;"CRC")*$F$9)^(D65-1))+SUMPRODUCT(('Retiros del portafolio'!$H$15:$H$18=B65)*'Retiros del portafolio'!$G$15:$G$18*(1+('Retiros del portafolio'!$E$15:$E$18="CRC")*N($F$8)+('Retiros del portafolio'!$E$15:$E$18&lt;&gt;"CRC")*$F$9)^(D65-1))</f>
        <v>22892.6155462127</v>
      </c>
      <c r="X65" s="8" t="n">
        <f aca="false">SUMPRODUCT(('Retiros del portafolio'!$H$6:$H$9=B65)*'Retiros del portafolio'!$G$6:$G$9*(1+('Retiros del portafolio'!$E$6:$E$9="CRC")*N($F$8)+('Retiros del portafolio'!$E$6:$E$9&lt;&gt;"CRC")*$F$9)^(D65-1))</f>
        <v>0</v>
      </c>
      <c r="Y65" s="15" t="n">
        <f aca="false">W65+X65</f>
        <v>22892.6155462127</v>
      </c>
      <c r="Z65" s="15" t="n">
        <f aca="false">V65+Y65</f>
        <v>286157.694327659</v>
      </c>
      <c r="AA65" s="15" t="n">
        <f aca="false">Q65-Z65</f>
        <v>-156242.533577644</v>
      </c>
      <c r="AB65" s="8" t="n">
        <f aca="false">SUMPRODUCT((Desinversiones!$H$6:$H$10=B65)*(Desinversiones!$I$6:$I$10=1)*Desinversiones!$G$6:$G$10*(1+(Desinversiones!$E$6:$E$10="CRC")*N($F$8)+(Desinversiones!$E$6:$E$10&lt;&gt;"CRC")*$F$9)^(D65-1))</f>
        <v>0</v>
      </c>
      <c r="AC65" s="8" t="n">
        <f aca="false">SUMPRODUCT((Desinversiones!$H$6:$H$10=B65)*(Desinversiones!$I$6:$I$10=2)*Desinversiones!$G$6:$G$10*(1+(Desinversiones!$E$6:$E$10="CRC")*N($F$8)+(Desinversiones!$E$6:$E$10&lt;&gt;"CRC")*$F$9)^(D65-1))</f>
        <v>0</v>
      </c>
      <c r="AD65" s="8" t="n">
        <f aca="false">SUMPRODUCT((Desinversiones!$H$6:$H$10=B65)*(Desinversiones!$I$6:$I$10=3)*Desinversiones!$G$6:$G$10*(1+(Desinversiones!$E$6:$E$10="CRC")*N($F$8)+(Desinversiones!$E$6:$E$10&lt;&gt;"CRC")*$F$9)^(D65-1))</f>
        <v>0</v>
      </c>
      <c r="AE65" s="15" t="n">
        <f aca="false">SUM(AB65:AD65)</f>
        <v>0</v>
      </c>
      <c r="AF65" s="15" t="n">
        <f aca="false">AE65</f>
        <v>0</v>
      </c>
      <c r="AG65" s="8" t="n">
        <f aca="false">AJ64</f>
        <v>0</v>
      </c>
      <c r="AH65" s="8" t="n">
        <f aca="false">AG65*$F$13</f>
        <v>0</v>
      </c>
      <c r="AI65" s="15" t="n">
        <f aca="false">AA65+AF65</f>
        <v>-156242.533577644</v>
      </c>
      <c r="AJ65" s="15" t="n">
        <f aca="false">AG65+AH65+AI65+AM65</f>
        <v>0</v>
      </c>
      <c r="AK65" s="8" t="n">
        <f aca="false">AJ65/(1+$F$9)^(D65-1+$F$24/12)</f>
        <v>0</v>
      </c>
      <c r="AL65" s="9" t="n">
        <f aca="false">IF(AG65&lt;=0,0,MAX(0,-AI65)/AG65)</f>
        <v>0</v>
      </c>
      <c r="AM65" s="8" t="n">
        <f aca="false">MAX(0,-(AG65+AH65+AI65))</f>
        <v>156242.533577644</v>
      </c>
    </row>
    <row r="66" customFormat="false" ht="13.8" hidden="false" customHeight="false" outlineLevel="0" collapsed="false">
      <c r="B66" s="13" t="n">
        <f aca="false">B65+1</f>
        <v>2062</v>
      </c>
      <c r="C66" s="13" t="n">
        <f aca="false">C65+1</f>
        <v>82</v>
      </c>
      <c r="D66" s="13" t="n">
        <f aca="false">D65+1</f>
        <v>37</v>
      </c>
      <c r="E66" s="4" t="str">
        <f aca="false">IF(D66&lt;=$F$19,"Acumulación","Retiro")</f>
        <v>Retiro</v>
      </c>
      <c r="F66" s="8" t="n">
        <f aca="false">IF(D66&lt;=$P$7,$N$7*12*(1+IF($M$7="CRC",N($F$8),$F$9))^(D66-1),0)</f>
        <v>0</v>
      </c>
      <c r="G66" s="8" t="n">
        <f aca="false">IF(D66&lt;=$P$8,$N$8*12*(1+IF($M$8="CRC",N($F$8),$F$9))^(D66-1),0)</f>
        <v>0</v>
      </c>
      <c r="H66" s="8" t="n">
        <f aca="false">IF(AND($N$9&gt;0,D66&gt;=$O$9,D66&lt;=$P$9),$N$9*12*(1+IF($M$9="CRC",N($F$8),$F$9))^(D66-1),0)</f>
        <v>52856.5056722555</v>
      </c>
      <c r="I66" s="8" t="n">
        <f aca="false">SUMPRODUCT((Ingresos!$H$14:$H$17&gt;=B66)*Ingresos!$G$14:$G$17*(1+(Ingresos!$E$14:$E$17="CRC")*N($F$8)+(Ingresos!$E$14:$E$17&lt;&gt;"CRC")*$F$9)^(D66-1))*12</f>
        <v>0</v>
      </c>
      <c r="J66" s="8" t="n">
        <f aca="false">IF(AND($N$10&gt;0,D66&gt;=N($O$10)),$N$10*12*(1+IF($M$10="CRC",N($F$8),$F$9))^(N($O$10)-1)*(1+N($F$10))^(D66-N($O$10))*IF(D66=N($O$10),IF(AND(ISNUMBER($F$21),N($F$20)&gt;=$C$30),(12-$F$21)/12,1),1),0)</f>
        <v>52265.7849444238</v>
      </c>
      <c r="K66" s="8" t="n">
        <f aca="false">Pensiones!T55</f>
        <v>12553.8977671245</v>
      </c>
      <c r="L66" s="8" t="n">
        <f aca="false">Pensiones!U55</f>
        <v>14740.4820661339</v>
      </c>
      <c r="M66" s="15" t="n">
        <f aca="false">SUM(F66:L66)</f>
        <v>132416.670449938</v>
      </c>
      <c r="N66" s="8" t="n">
        <f aca="false">SUMPRODUCT((Ingresos!$H$22:$H$26=B66)*Ingresos!$G$22:$G$26*(1+(Ingresos!$E$22:$E$26="CRC")*N($F$8)+(Ingresos!$E$22:$E$26&lt;&gt;"CRC")*$F$9)^(D66-1))</f>
        <v>0</v>
      </c>
      <c r="O66" s="8" t="n">
        <f aca="false">Pensiones!S55</f>
        <v>0</v>
      </c>
      <c r="P66" s="15" t="n">
        <f aca="false">SUM(N66:O66)</f>
        <v>0</v>
      </c>
      <c r="Q66" s="15" t="n">
        <f aca="false">M66+P66</f>
        <v>132416.670449938</v>
      </c>
      <c r="R66" s="8" t="n">
        <f aca="false">$W$7*12*(N($F$22)*(1+$F$9)^(D66-1)+(1-N($F$22))*(1+N($F$8))^(D66-1))*IF(D66&gt;$F$19,$F$18,1)</f>
        <v>261639.703077665</v>
      </c>
      <c r="S66" s="8" t="n">
        <f aca="false">SUMPRODUCT((Gastos!$H$14:$H$17&lt;=B66)*(Gastos!$H$14:$H$17+Gastos!$I$14:$I$17&gt;B66)*Gastos!$G$14:$G$17*(1+(Gastos!$E$14:$E$17="CRC")*N($F$8)+(Gastos!$E$14:$E$17&lt;&gt;"CRC")*$F$9)^(D66-1))</f>
        <v>0</v>
      </c>
      <c r="T66" s="8" t="n">
        <f aca="false">$W$10*(1+IF($V$10="CRC",N($F$8),$F$9))^(D66-1)</f>
        <v>11892.7137762575</v>
      </c>
      <c r="U66" s="8" t="n">
        <f aca="false">(IF(D66&lt;=$X$11,$W$11*12,0)+IF(Gastos!$G$28="Sí",0,SUMPRODUCT((Gastos!$H$22:$H$26&gt;=B66)*Gastos!$G$22:$G$26)*12)+SUMPRODUCT((Gastos!$H$43:$H$45&lt;=B66)*(Gastos!$H$43:$H$45+Gastos!$I$43:$I$45-1&gt;=B66)*Gastos!$K$43:$K$45))</f>
        <v>0</v>
      </c>
      <c r="V66" s="15" t="n">
        <f aca="false">SUM(R66:U66)</f>
        <v>273532.416853922</v>
      </c>
      <c r="W66" s="8" t="n">
        <f aca="false">SUMPRODUCT((Gastos!$I$33:$I$37=1)*(Gastos!$H$33:$H$37=B66)*Gastos!$G$33:$G$37*(1+(Gastos!$E$33:$E$37="CRC")*N($F$8)+(Gastos!$E$33:$E$37&lt;&gt;"CRC")*$F$9)^(D66-1))+SUMPRODUCT((Gastos!$I$33:$I$37=2)*(Gastos!$H$33:$H$37&lt;=B66)*Gastos!$G$33:$G$37*(1+(Gastos!$E$33:$E$37="CRC")*N($F$8)+(Gastos!$E$33:$E$37&lt;&gt;"CRC")*$F$9)^(D66-1))+SUMPRODUCT(('Retiros del portafolio'!$H$15:$H$18=B66)*'Retiros del portafolio'!$G$15:$G$18*(1+('Retiros del portafolio'!$E$15:$E$18="CRC")*N($F$8)+('Retiros del portafolio'!$E$15:$E$18&lt;&gt;"CRC")*$F$9)^(D66-1))</f>
        <v>23785.427552515</v>
      </c>
      <c r="X66" s="8" t="n">
        <f aca="false">SUMPRODUCT(('Retiros del portafolio'!$H$6:$H$9=B66)*'Retiros del portafolio'!$G$6:$G$9*(1+('Retiros del portafolio'!$E$6:$E$9="CRC")*N($F$8)+('Retiros del portafolio'!$E$6:$E$9&lt;&gt;"CRC")*$F$9)^(D66-1))</f>
        <v>0</v>
      </c>
      <c r="Y66" s="15" t="n">
        <f aca="false">W66+X66</f>
        <v>23785.427552515</v>
      </c>
      <c r="Z66" s="15" t="n">
        <f aca="false">V66+Y66</f>
        <v>297317.844406437</v>
      </c>
      <c r="AA66" s="15" t="n">
        <f aca="false">Q66-Z66</f>
        <v>-164901.173956499</v>
      </c>
      <c r="AB66" s="8" t="n">
        <f aca="false">SUMPRODUCT((Desinversiones!$H$6:$H$10=B66)*(Desinversiones!$I$6:$I$10=1)*Desinversiones!$G$6:$G$10*(1+(Desinversiones!$E$6:$E$10="CRC")*N($F$8)+(Desinversiones!$E$6:$E$10&lt;&gt;"CRC")*$F$9)^(D66-1))</f>
        <v>0</v>
      </c>
      <c r="AC66" s="8" t="n">
        <f aca="false">SUMPRODUCT((Desinversiones!$H$6:$H$10=B66)*(Desinversiones!$I$6:$I$10=2)*Desinversiones!$G$6:$G$10*(1+(Desinversiones!$E$6:$E$10="CRC")*N($F$8)+(Desinversiones!$E$6:$E$10&lt;&gt;"CRC")*$F$9)^(D66-1))</f>
        <v>0</v>
      </c>
      <c r="AD66" s="8" t="n">
        <f aca="false">SUMPRODUCT((Desinversiones!$H$6:$H$10=B66)*(Desinversiones!$I$6:$I$10=3)*Desinversiones!$G$6:$G$10*(1+(Desinversiones!$E$6:$E$10="CRC")*N($F$8)+(Desinversiones!$E$6:$E$10&lt;&gt;"CRC")*$F$9)^(D66-1))</f>
        <v>0</v>
      </c>
      <c r="AE66" s="15" t="n">
        <f aca="false">SUM(AB66:AD66)</f>
        <v>0</v>
      </c>
      <c r="AF66" s="15" t="n">
        <f aca="false">AE66</f>
        <v>0</v>
      </c>
      <c r="AG66" s="8" t="n">
        <f aca="false">AJ65</f>
        <v>0</v>
      </c>
      <c r="AH66" s="8" t="n">
        <f aca="false">AG66*$F$13</f>
        <v>0</v>
      </c>
      <c r="AI66" s="15" t="n">
        <f aca="false">AA66+AF66</f>
        <v>-164901.173956499</v>
      </c>
      <c r="AJ66" s="15" t="n">
        <f aca="false">AG66+AH66+AI66+AM66</f>
        <v>0</v>
      </c>
      <c r="AK66" s="8" t="n">
        <f aca="false">AJ66/(1+$F$9)^(D66-1+$F$24/12)</f>
        <v>0</v>
      </c>
      <c r="AL66" s="9" t="n">
        <f aca="false">IF(AG66&lt;=0,0,MAX(0,-AI66)/AG66)</f>
        <v>0</v>
      </c>
      <c r="AM66" s="8" t="n">
        <f aca="false">MAX(0,-(AG66+AH66+AI66))</f>
        <v>164901.173956499</v>
      </c>
    </row>
    <row r="67" customFormat="false" ht="13.8" hidden="false" customHeight="false" outlineLevel="0" collapsed="false">
      <c r="B67" s="13" t="n">
        <f aca="false">B66+1</f>
        <v>2063</v>
      </c>
      <c r="C67" s="13" t="n">
        <f aca="false">C66+1</f>
        <v>83</v>
      </c>
      <c r="D67" s="13" t="n">
        <f aca="false">D66+1</f>
        <v>38</v>
      </c>
      <c r="E67" s="4" t="str">
        <f aca="false">IF(D67&lt;=$F$19,"Acumulación","Retiro")</f>
        <v>Retiro</v>
      </c>
      <c r="F67" s="8" t="n">
        <f aca="false">IF(D67&lt;=$P$7,$N$7*12*(1+IF($M$7="CRC",N($F$8),$F$9))^(D67-1),0)</f>
        <v>0</v>
      </c>
      <c r="G67" s="8" t="n">
        <f aca="false">IF(D67&lt;=$P$8,$N$8*12*(1+IF($M$8="CRC",N($F$8),$F$9))^(D67-1),0)</f>
        <v>0</v>
      </c>
      <c r="H67" s="8" t="n">
        <f aca="false">IF(AND($N$9&gt;0,D67&gt;=$O$9,D67&lt;=$P$9),$N$9*12*(1+IF($M$9="CRC",N($F$8),$F$9))^(D67-1),0)</f>
        <v>54917.9093934735</v>
      </c>
      <c r="I67" s="8" t="n">
        <f aca="false">SUMPRODUCT((Ingresos!$H$14:$H$17&gt;=B67)*Ingresos!$G$14:$G$17*(1+(Ingresos!$E$14:$E$17="CRC")*N($F$8)+(Ingresos!$E$14:$E$17&lt;&gt;"CRC")*$F$9)^(D67-1))*12</f>
        <v>0</v>
      </c>
      <c r="J67" s="8" t="n">
        <f aca="false">IF(AND($N$10&gt;0,D67&gt;=N($O$10)),$N$10*12*(1+IF($M$10="CRC",N($F$8),$F$9))^(N($O$10)-1)*(1+N($F$10))^(D67-N($O$10))*IF(D67=N($O$10),IF(AND(ISNUMBER($F$21),N($F$20)&gt;=$C$30),(12-$F$21)/12,1),1),0)</f>
        <v>52788.4427938681</v>
      </c>
      <c r="K67" s="8" t="n">
        <f aca="false">Pensiones!T56</f>
        <v>12553.8977671245</v>
      </c>
      <c r="L67" s="8" t="n">
        <f aca="false">Pensiones!U56</f>
        <v>14740.4820661339</v>
      </c>
      <c r="M67" s="15" t="n">
        <f aca="false">SUM(F67:L67)</f>
        <v>135000.7320206</v>
      </c>
      <c r="N67" s="8" t="n">
        <f aca="false">SUMPRODUCT((Ingresos!$H$22:$H$26=B67)*Ingresos!$G$22:$G$26*(1+(Ingresos!$E$22:$E$26="CRC")*N($F$8)+(Ingresos!$E$22:$E$26&lt;&gt;"CRC")*$F$9)^(D67-1))</f>
        <v>0</v>
      </c>
      <c r="O67" s="8" t="n">
        <f aca="false">Pensiones!S56</f>
        <v>0</v>
      </c>
      <c r="P67" s="15" t="n">
        <f aca="false">SUM(N67:O67)</f>
        <v>0</v>
      </c>
      <c r="Q67" s="15" t="n">
        <f aca="false">M67+P67</f>
        <v>135000.7320206</v>
      </c>
      <c r="R67" s="8" t="n">
        <f aca="false">$W$7*12*(N($F$22)*(1+$F$9)^(D67-1)+(1-N($F$22))*(1+N($F$8))^(D67-1))*IF(D67&gt;$F$19,$F$18,1)</f>
        <v>271843.651497694</v>
      </c>
      <c r="S67" s="8" t="n">
        <f aca="false">SUMPRODUCT((Gastos!$H$14:$H$17&lt;=B67)*(Gastos!$H$14:$H$17+Gastos!$I$14:$I$17&gt;B67)*Gastos!$G$14:$G$17*(1+(Gastos!$E$14:$E$17="CRC")*N($F$8)+(Gastos!$E$14:$E$17&lt;&gt;"CRC")*$F$9)^(D67-1))</f>
        <v>0</v>
      </c>
      <c r="T67" s="8" t="n">
        <f aca="false">$W$10*(1+IF($V$10="CRC",N($F$8),$F$9))^(D67-1)</f>
        <v>12356.5296135315</v>
      </c>
      <c r="U67" s="8" t="n">
        <f aca="false">(IF(D67&lt;=$X$11,$W$11*12,0)+IF(Gastos!$G$28="Sí",0,SUMPRODUCT((Gastos!$H$22:$H$26&gt;=B67)*Gastos!$G$22:$G$26)*12)+SUMPRODUCT((Gastos!$H$43:$H$45&lt;=B67)*(Gastos!$H$43:$H$45+Gastos!$I$43:$I$45-1&gt;=B67)*Gastos!$K$43:$K$45))</f>
        <v>0</v>
      </c>
      <c r="V67" s="15" t="n">
        <f aca="false">SUM(R67:U67)</f>
        <v>284200.181111225</v>
      </c>
      <c r="W67" s="8" t="n">
        <f aca="false">SUMPRODUCT((Gastos!$I$33:$I$37=1)*(Gastos!$H$33:$H$37=B67)*Gastos!$G$33:$G$37*(1+(Gastos!$E$33:$E$37="CRC")*N($F$8)+(Gastos!$E$33:$E$37&lt;&gt;"CRC")*$F$9)^(D67-1))+SUMPRODUCT((Gastos!$I$33:$I$37=2)*(Gastos!$H$33:$H$37&lt;=B67)*Gastos!$G$33:$G$37*(1+(Gastos!$E$33:$E$37="CRC")*N($F$8)+(Gastos!$E$33:$E$37&lt;&gt;"CRC")*$F$9)^(D67-1))+SUMPRODUCT(('Retiros del portafolio'!$H$15:$H$18=B67)*'Retiros del portafolio'!$G$15:$G$18*(1+('Retiros del portafolio'!$E$15:$E$18="CRC")*N($F$8)+('Retiros del portafolio'!$E$15:$E$18&lt;&gt;"CRC")*$F$9)^(D67-1))</f>
        <v>24713.0592270631</v>
      </c>
      <c r="X67" s="8" t="n">
        <f aca="false">SUMPRODUCT(('Retiros del portafolio'!$H$6:$H$9=B67)*'Retiros del portafolio'!$G$6:$G$9*(1+('Retiros del portafolio'!$E$6:$E$9="CRC")*N($F$8)+('Retiros del portafolio'!$E$6:$E$9&lt;&gt;"CRC")*$F$9)^(D67-1))</f>
        <v>0</v>
      </c>
      <c r="Y67" s="15" t="n">
        <f aca="false">W67+X67</f>
        <v>24713.0592270631</v>
      </c>
      <c r="Z67" s="15" t="n">
        <f aca="false">V67+Y67</f>
        <v>308913.240338288</v>
      </c>
      <c r="AA67" s="15" t="n">
        <f aca="false">Q67-Z67</f>
        <v>-173912.508317688</v>
      </c>
      <c r="AB67" s="8" t="n">
        <f aca="false">SUMPRODUCT((Desinversiones!$H$6:$H$10=B67)*(Desinversiones!$I$6:$I$10=1)*Desinversiones!$G$6:$G$10*(1+(Desinversiones!$E$6:$E$10="CRC")*N($F$8)+(Desinversiones!$E$6:$E$10&lt;&gt;"CRC")*$F$9)^(D67-1))</f>
        <v>0</v>
      </c>
      <c r="AC67" s="8" t="n">
        <f aca="false">SUMPRODUCT((Desinversiones!$H$6:$H$10=B67)*(Desinversiones!$I$6:$I$10=2)*Desinversiones!$G$6:$G$10*(1+(Desinversiones!$E$6:$E$10="CRC")*N($F$8)+(Desinversiones!$E$6:$E$10&lt;&gt;"CRC")*$F$9)^(D67-1))</f>
        <v>0</v>
      </c>
      <c r="AD67" s="8" t="n">
        <f aca="false">SUMPRODUCT((Desinversiones!$H$6:$H$10=B67)*(Desinversiones!$I$6:$I$10=3)*Desinversiones!$G$6:$G$10*(1+(Desinversiones!$E$6:$E$10="CRC")*N($F$8)+(Desinversiones!$E$6:$E$10&lt;&gt;"CRC")*$F$9)^(D67-1))</f>
        <v>0</v>
      </c>
      <c r="AE67" s="15" t="n">
        <f aca="false">SUM(AB67:AD67)</f>
        <v>0</v>
      </c>
      <c r="AF67" s="15" t="n">
        <f aca="false">AE67</f>
        <v>0</v>
      </c>
      <c r="AG67" s="8" t="n">
        <f aca="false">AJ66</f>
        <v>0</v>
      </c>
      <c r="AH67" s="8" t="n">
        <f aca="false">AG67*$F$13</f>
        <v>0</v>
      </c>
      <c r="AI67" s="15" t="n">
        <f aca="false">AA67+AF67</f>
        <v>-173912.508317688</v>
      </c>
      <c r="AJ67" s="15" t="n">
        <f aca="false">AG67+AH67+AI67+AM67</f>
        <v>0</v>
      </c>
      <c r="AK67" s="8" t="n">
        <f aca="false">AJ67/(1+$F$9)^(D67-1+$F$24/12)</f>
        <v>0</v>
      </c>
      <c r="AL67" s="9" t="n">
        <f aca="false">IF(AG67&lt;=0,0,MAX(0,-AI67)/AG67)</f>
        <v>0</v>
      </c>
      <c r="AM67" s="8" t="n">
        <f aca="false">MAX(0,-(AG67+AH67+AI67))</f>
        <v>173912.508317688</v>
      </c>
    </row>
    <row r="68" customFormat="false" ht="13.8" hidden="false" customHeight="false" outlineLevel="0" collapsed="false">
      <c r="B68" s="13" t="n">
        <f aca="false">B67+1</f>
        <v>2064</v>
      </c>
      <c r="C68" s="13" t="n">
        <f aca="false">C67+1</f>
        <v>84</v>
      </c>
      <c r="D68" s="13" t="n">
        <f aca="false">D67+1</f>
        <v>39</v>
      </c>
      <c r="E68" s="4" t="str">
        <f aca="false">IF(D68&lt;=$F$19,"Acumulación","Retiro")</f>
        <v>Retiro</v>
      </c>
      <c r="F68" s="8" t="n">
        <f aca="false">IF(D68&lt;=$P$7,$N$7*12*(1+IF($M$7="CRC",N($F$8),$F$9))^(D68-1),0)</f>
        <v>0</v>
      </c>
      <c r="G68" s="8" t="n">
        <f aca="false">IF(D68&lt;=$P$8,$N$8*12*(1+IF($M$8="CRC",N($F$8),$F$9))^(D68-1),0)</f>
        <v>0</v>
      </c>
      <c r="H68" s="8" t="n">
        <f aca="false">IF(AND($N$9&gt;0,D68&gt;=$O$9,D68&lt;=$P$9),$N$9*12*(1+IF($M$9="CRC",N($F$8),$F$9))^(D68-1),0)</f>
        <v>57059.7078598189</v>
      </c>
      <c r="I68" s="8" t="n">
        <f aca="false">SUMPRODUCT((Ingresos!$H$14:$H$17&gt;=B68)*Ingresos!$G$14:$G$17*(1+(Ingresos!$E$14:$E$17="CRC")*N($F$8)+(Ingresos!$E$14:$E$17&lt;&gt;"CRC")*$F$9)^(D68-1))*12</f>
        <v>0</v>
      </c>
      <c r="J68" s="8" t="n">
        <f aca="false">IF(AND($N$10&gt;0,D68&gt;=N($O$10)),$N$10*12*(1+IF($M$10="CRC",N($F$8),$F$9))^(N($O$10)-1)*(1+N($F$10))^(D68-N($O$10))*IF(D68=N($O$10),IF(AND(ISNUMBER($F$21),N($F$20)&gt;=$C$30),(12-$F$21)/12,1),1),0)</f>
        <v>53316.3272218068</v>
      </c>
      <c r="K68" s="8" t="n">
        <f aca="false">Pensiones!T57</f>
        <v>12553.8977671245</v>
      </c>
      <c r="L68" s="8" t="n">
        <f aca="false">Pensiones!U57</f>
        <v>14740.4820661339</v>
      </c>
      <c r="M68" s="15" t="n">
        <f aca="false">SUM(F68:L68)</f>
        <v>137670.414914884</v>
      </c>
      <c r="N68" s="8" t="n">
        <f aca="false">SUMPRODUCT((Ingresos!$H$22:$H$26=B68)*Ingresos!$G$22:$G$26*(1+(Ingresos!$E$22:$E$26="CRC")*N($F$8)+(Ingresos!$E$22:$E$26&lt;&gt;"CRC")*$F$9)^(D68-1))</f>
        <v>0</v>
      </c>
      <c r="O68" s="8" t="n">
        <f aca="false">Pensiones!S57</f>
        <v>0</v>
      </c>
      <c r="P68" s="15" t="n">
        <f aca="false">SUM(N68:O68)</f>
        <v>0</v>
      </c>
      <c r="Q68" s="15" t="n">
        <f aca="false">M68+P68</f>
        <v>137670.414914884</v>
      </c>
      <c r="R68" s="8" t="n">
        <f aca="false">$W$7*12*(N($F$22)*(1+$F$9)^(D68-1)+(1-N($F$22))*(1+N($F$8))^(D68-1))*IF(D68&gt;$F$19,$F$18,1)</f>
        <v>282445.553906104</v>
      </c>
      <c r="S68" s="8" t="n">
        <f aca="false">SUMPRODUCT((Gastos!$H$14:$H$17&lt;=B68)*(Gastos!$H$14:$H$17+Gastos!$I$14:$I$17&gt;B68)*Gastos!$G$14:$G$17*(1+(Gastos!$E$14:$E$17="CRC")*N($F$8)+(Gastos!$E$14:$E$17&lt;&gt;"CRC")*$F$9)^(D68-1))</f>
        <v>0</v>
      </c>
      <c r="T68" s="8" t="n">
        <f aca="false">$W$10*(1+IF($V$10="CRC",N($F$8),$F$9))^(D68-1)</f>
        <v>12838.4342684593</v>
      </c>
      <c r="U68" s="8" t="n">
        <f aca="false">(IF(D68&lt;=$X$11,$W$11*12,0)+IF(Gastos!$G$28="Sí",0,SUMPRODUCT((Gastos!$H$22:$H$26&gt;=B68)*Gastos!$G$22:$G$26)*12)+SUMPRODUCT((Gastos!$H$43:$H$45&lt;=B68)*(Gastos!$H$43:$H$45+Gastos!$I$43:$I$45-1&gt;=B68)*Gastos!$K$43:$K$45))</f>
        <v>0</v>
      </c>
      <c r="V68" s="15" t="n">
        <f aca="false">SUM(R68:U68)</f>
        <v>295283.988174563</v>
      </c>
      <c r="W68" s="8" t="n">
        <f aca="false">SUMPRODUCT((Gastos!$I$33:$I$37=1)*(Gastos!$H$33:$H$37=B68)*Gastos!$G$33:$G$37*(1+(Gastos!$E$33:$E$37="CRC")*N($F$8)+(Gastos!$E$33:$E$37&lt;&gt;"CRC")*$F$9)^(D68-1))+SUMPRODUCT((Gastos!$I$33:$I$37=2)*(Gastos!$H$33:$H$37&lt;=B68)*Gastos!$G$33:$G$37*(1+(Gastos!$E$33:$E$37="CRC")*N($F$8)+(Gastos!$E$33:$E$37&lt;&gt;"CRC")*$F$9)^(D68-1))+SUMPRODUCT(('Retiros del portafolio'!$H$15:$H$18=B68)*'Retiros del portafolio'!$G$15:$G$18*(1+('Retiros del portafolio'!$E$15:$E$18="CRC")*N($F$8)+('Retiros del portafolio'!$E$15:$E$18&lt;&gt;"CRC")*$F$9)^(D68-1))</f>
        <v>25676.8685369185</v>
      </c>
      <c r="X68" s="8" t="n">
        <f aca="false">SUMPRODUCT(('Retiros del portafolio'!$H$6:$H$9=B68)*'Retiros del portafolio'!$G$6:$G$9*(1+('Retiros del portafolio'!$E$6:$E$9="CRC")*N($F$8)+('Retiros del portafolio'!$E$6:$E$9&lt;&gt;"CRC")*$F$9)^(D68-1))</f>
        <v>0</v>
      </c>
      <c r="Y68" s="15" t="n">
        <f aca="false">W68+X68</f>
        <v>25676.8685369185</v>
      </c>
      <c r="Z68" s="15" t="n">
        <f aca="false">V68+Y68</f>
        <v>320960.856711481</v>
      </c>
      <c r="AA68" s="15" t="n">
        <f aca="false">Q68-Z68</f>
        <v>-183290.441796597</v>
      </c>
      <c r="AB68" s="8" t="n">
        <f aca="false">SUMPRODUCT((Desinversiones!$H$6:$H$10=B68)*(Desinversiones!$I$6:$I$10=1)*Desinversiones!$G$6:$G$10*(1+(Desinversiones!$E$6:$E$10="CRC")*N($F$8)+(Desinversiones!$E$6:$E$10&lt;&gt;"CRC")*$F$9)^(D68-1))</f>
        <v>0</v>
      </c>
      <c r="AC68" s="8" t="n">
        <f aca="false">SUMPRODUCT((Desinversiones!$H$6:$H$10=B68)*(Desinversiones!$I$6:$I$10=2)*Desinversiones!$G$6:$G$10*(1+(Desinversiones!$E$6:$E$10="CRC")*N($F$8)+(Desinversiones!$E$6:$E$10&lt;&gt;"CRC")*$F$9)^(D68-1))</f>
        <v>0</v>
      </c>
      <c r="AD68" s="8" t="n">
        <f aca="false">SUMPRODUCT((Desinversiones!$H$6:$H$10=B68)*(Desinversiones!$I$6:$I$10=3)*Desinversiones!$G$6:$G$10*(1+(Desinversiones!$E$6:$E$10="CRC")*N($F$8)+(Desinversiones!$E$6:$E$10&lt;&gt;"CRC")*$F$9)^(D68-1))</f>
        <v>0</v>
      </c>
      <c r="AE68" s="15" t="n">
        <f aca="false">SUM(AB68:AD68)</f>
        <v>0</v>
      </c>
      <c r="AF68" s="15" t="n">
        <f aca="false">AE68</f>
        <v>0</v>
      </c>
      <c r="AG68" s="8" t="n">
        <f aca="false">AJ67</f>
        <v>0</v>
      </c>
      <c r="AH68" s="8" t="n">
        <f aca="false">AG68*$F$13</f>
        <v>0</v>
      </c>
      <c r="AI68" s="15" t="n">
        <f aca="false">AA68+AF68</f>
        <v>-183290.441796597</v>
      </c>
      <c r="AJ68" s="15" t="n">
        <f aca="false">AG68+AH68+AI68+AM68</f>
        <v>0</v>
      </c>
      <c r="AK68" s="8" t="n">
        <f aca="false">AJ68/(1+$F$9)^(D68-1+$F$24/12)</f>
        <v>0</v>
      </c>
      <c r="AL68" s="9" t="n">
        <f aca="false">IF(AG68&lt;=0,0,MAX(0,-AI68)/AG68)</f>
        <v>0</v>
      </c>
      <c r="AM68" s="8" t="n">
        <f aca="false">MAX(0,-(AG68+AH68+AI68))</f>
        <v>183290.441796597</v>
      </c>
    </row>
    <row r="69" customFormat="false" ht="13.8" hidden="false" customHeight="false" outlineLevel="0" collapsed="false">
      <c r="B69" s="13" t="n">
        <f aca="false">B68+1</f>
        <v>2065</v>
      </c>
      <c r="C69" s="13" t="n">
        <f aca="false">C68+1</f>
        <v>85</v>
      </c>
      <c r="D69" s="13" t="n">
        <f aca="false">D68+1</f>
        <v>40</v>
      </c>
      <c r="E69" s="4" t="str">
        <f aca="false">IF(D69&lt;=$F$19,"Acumulación","Retiro")</f>
        <v>Retiro</v>
      </c>
      <c r="F69" s="8" t="n">
        <f aca="false">IF(D69&lt;=$P$7,$N$7*12*(1+IF($M$7="CRC",N($F$8),$F$9))^(D69-1),0)</f>
        <v>0</v>
      </c>
      <c r="G69" s="8" t="n">
        <f aca="false">IF(D69&lt;=$P$8,$N$8*12*(1+IF($M$8="CRC",N($F$8),$F$9))^(D69-1),0)</f>
        <v>0</v>
      </c>
      <c r="H69" s="8" t="n">
        <f aca="false">IF(AND($N$9&gt;0,D69&gt;=$O$9,D69&lt;=$P$9),$N$9*12*(1+IF($M$9="CRC",N($F$8),$F$9))^(D69-1),0)</f>
        <v>59285.0364663519</v>
      </c>
      <c r="I69" s="8" t="n">
        <f aca="false">SUMPRODUCT((Ingresos!$H$14:$H$17&gt;=B69)*Ingresos!$G$14:$G$17*(1+(Ingresos!$E$14:$E$17="CRC")*N($F$8)+(Ingresos!$E$14:$E$17&lt;&gt;"CRC")*$F$9)^(D69-1))*12</f>
        <v>0</v>
      </c>
      <c r="J69" s="8" t="n">
        <f aca="false">IF(AND($N$10&gt;0,D69&gt;=N($O$10)),$N$10*12*(1+IF($M$10="CRC",N($F$8),$F$9))^(N($O$10)-1)*(1+N($F$10))^(D69-N($O$10))*IF(D69=N($O$10),IF(AND(ISNUMBER($F$21),N($F$20)&gt;=$C$30),(12-$F$21)/12,1),1),0)</f>
        <v>53849.4904940248</v>
      </c>
      <c r="K69" s="8" t="n">
        <f aca="false">Pensiones!T58</f>
        <v>12553.8977671245</v>
      </c>
      <c r="L69" s="8" t="n">
        <f aca="false">Pensiones!U58</f>
        <v>14740.4820661339</v>
      </c>
      <c r="M69" s="15" t="n">
        <f aca="false">SUM(F69:L69)</f>
        <v>140428.906793635</v>
      </c>
      <c r="N69" s="8" t="n">
        <f aca="false">SUMPRODUCT((Ingresos!$H$22:$H$26=B69)*Ingresos!$G$22:$G$26*(1+(Ingresos!$E$22:$E$26="CRC")*N($F$8)+(Ingresos!$E$22:$E$26&lt;&gt;"CRC")*$F$9)^(D69-1))</f>
        <v>0</v>
      </c>
      <c r="O69" s="8" t="n">
        <f aca="false">Pensiones!S58</f>
        <v>0</v>
      </c>
      <c r="P69" s="15" t="n">
        <f aca="false">SUM(N69:O69)</f>
        <v>0</v>
      </c>
      <c r="Q69" s="15" t="n">
        <f aca="false">M69+P69</f>
        <v>140428.906793635</v>
      </c>
      <c r="R69" s="8" t="n">
        <f aca="false">$W$7*12*(N($F$22)*(1+$F$9)^(D69-1)+(1-N($F$22))*(1+N($F$8))^(D69-1))*IF(D69&gt;$F$19,$F$18,1)</f>
        <v>293460.930508442</v>
      </c>
      <c r="S69" s="8" t="n">
        <f aca="false">SUMPRODUCT((Gastos!$H$14:$H$17&lt;=B69)*(Gastos!$H$14:$H$17+Gastos!$I$14:$I$17&gt;B69)*Gastos!$G$14:$G$17*(1+(Gastos!$E$14:$E$17="CRC")*N($F$8)+(Gastos!$E$14:$E$17&lt;&gt;"CRC")*$F$9)^(D69-1))</f>
        <v>0</v>
      </c>
      <c r="T69" s="8" t="n">
        <f aca="false">$W$10*(1+IF($V$10="CRC",N($F$8),$F$9))^(D69-1)</f>
        <v>13339.1332049292</v>
      </c>
      <c r="U69" s="8" t="n">
        <f aca="false">(IF(D69&lt;=$X$11,$W$11*12,0)+IF(Gastos!$G$28="Sí",0,SUMPRODUCT((Gastos!$H$22:$H$26&gt;=B69)*Gastos!$G$22:$G$26)*12)+SUMPRODUCT((Gastos!$H$43:$H$45&lt;=B69)*(Gastos!$H$43:$H$45+Gastos!$I$43:$I$45-1&gt;=B69)*Gastos!$K$43:$K$45))</f>
        <v>0</v>
      </c>
      <c r="V69" s="15" t="n">
        <f aca="false">SUM(R69:U69)</f>
        <v>306800.063713371</v>
      </c>
      <c r="W69" s="8" t="n">
        <f aca="false">SUMPRODUCT((Gastos!$I$33:$I$37=1)*(Gastos!$H$33:$H$37=B69)*Gastos!$G$33:$G$37*(1+(Gastos!$E$33:$E$37="CRC")*N($F$8)+(Gastos!$E$33:$E$37&lt;&gt;"CRC")*$F$9)^(D69-1))+SUMPRODUCT((Gastos!$I$33:$I$37=2)*(Gastos!$H$33:$H$37&lt;=B69)*Gastos!$G$33:$G$37*(1+(Gastos!$E$33:$E$37="CRC")*N($F$8)+(Gastos!$E$33:$E$37&lt;&gt;"CRC")*$F$9)^(D69-1))+SUMPRODUCT(('Retiros del portafolio'!$H$15:$H$18=B69)*'Retiros del portafolio'!$G$15:$G$18*(1+('Retiros del portafolio'!$E$15:$E$18="CRC")*N($F$8)+('Retiros del portafolio'!$E$15:$E$18&lt;&gt;"CRC")*$F$9)^(D69-1))</f>
        <v>26678.2664098583</v>
      </c>
      <c r="X69" s="8" t="n">
        <f aca="false">SUMPRODUCT(('Retiros del portafolio'!$H$6:$H$9=B69)*'Retiros del portafolio'!$G$6:$G$9*(1+('Retiros del portafolio'!$E$6:$E$9="CRC")*N($F$8)+('Retiros del portafolio'!$E$6:$E$9&lt;&gt;"CRC")*$F$9)^(D69-1))</f>
        <v>0</v>
      </c>
      <c r="Y69" s="15" t="n">
        <f aca="false">W69+X69</f>
        <v>26678.2664098583</v>
      </c>
      <c r="Z69" s="15" t="n">
        <f aca="false">V69+Y69</f>
        <v>333478.330123229</v>
      </c>
      <c r="AA69" s="15" t="n">
        <f aca="false">Q69-Z69</f>
        <v>-193049.423329594</v>
      </c>
      <c r="AB69" s="8" t="n">
        <f aca="false">SUMPRODUCT((Desinversiones!$H$6:$H$10=B69)*(Desinversiones!$I$6:$I$10=1)*Desinversiones!$G$6:$G$10*(1+(Desinversiones!$E$6:$E$10="CRC")*N($F$8)+(Desinversiones!$E$6:$E$10&lt;&gt;"CRC")*$F$9)^(D69-1))</f>
        <v>0</v>
      </c>
      <c r="AC69" s="8" t="n">
        <f aca="false">SUMPRODUCT((Desinversiones!$H$6:$H$10=B69)*(Desinversiones!$I$6:$I$10=2)*Desinversiones!$G$6:$G$10*(1+(Desinversiones!$E$6:$E$10="CRC")*N($F$8)+(Desinversiones!$E$6:$E$10&lt;&gt;"CRC")*$F$9)^(D69-1))</f>
        <v>0</v>
      </c>
      <c r="AD69" s="8" t="n">
        <f aca="false">SUMPRODUCT((Desinversiones!$H$6:$H$10=B69)*(Desinversiones!$I$6:$I$10=3)*Desinversiones!$G$6:$G$10*(1+(Desinversiones!$E$6:$E$10="CRC")*N($F$8)+(Desinversiones!$E$6:$E$10&lt;&gt;"CRC")*$F$9)^(D69-1))</f>
        <v>0</v>
      </c>
      <c r="AE69" s="15" t="n">
        <f aca="false">SUM(AB69:AD69)</f>
        <v>0</v>
      </c>
      <c r="AF69" s="15" t="n">
        <f aca="false">AE69</f>
        <v>0</v>
      </c>
      <c r="AG69" s="8" t="n">
        <f aca="false">AJ68</f>
        <v>0</v>
      </c>
      <c r="AH69" s="8" t="n">
        <f aca="false">AG69*$F$13</f>
        <v>0</v>
      </c>
      <c r="AI69" s="15" t="n">
        <f aca="false">AA69+AF69</f>
        <v>-193049.423329594</v>
      </c>
      <c r="AJ69" s="15" t="n">
        <f aca="false">AG69+AH69+AI69+AM69</f>
        <v>0</v>
      </c>
      <c r="AK69" s="8" t="n">
        <f aca="false">AJ69/(1+$F$9)^(D69-1+$F$24/12)</f>
        <v>0</v>
      </c>
      <c r="AL69" s="9" t="n">
        <f aca="false">IF(AG69&lt;=0,0,MAX(0,-AI69)/AG69)</f>
        <v>0</v>
      </c>
      <c r="AM69" s="8" t="n">
        <f aca="false">MAX(0,-(AG69+AH69+AI69))</f>
        <v>193049.423329594</v>
      </c>
    </row>
    <row r="70" customFormat="false" ht="13.8" hidden="false" customHeight="false" outlineLevel="0" collapsed="false">
      <c r="B70" s="13" t="n">
        <f aca="false">B69+1</f>
        <v>2066</v>
      </c>
      <c r="C70" s="13" t="n">
        <f aca="false">C69+1</f>
        <v>86</v>
      </c>
      <c r="D70" s="13" t="n">
        <f aca="false">D69+1</f>
        <v>41</v>
      </c>
      <c r="E70" s="4" t="str">
        <f aca="false">IF(D70&lt;=$F$19,"Acumulación","Retiro")</f>
        <v>Retiro</v>
      </c>
      <c r="F70" s="8" t="n">
        <f aca="false">IF(D70&lt;=$P$7,$N$7*12*(1+IF($M$7="CRC",N($F$8),$F$9))^(D70-1),0)</f>
        <v>0</v>
      </c>
      <c r="G70" s="8" t="n">
        <f aca="false">IF(D70&lt;=$P$8,$N$8*12*(1+IF($M$8="CRC",N($F$8),$F$9))^(D70-1),0)</f>
        <v>0</v>
      </c>
      <c r="H70" s="8" t="n">
        <f aca="false">IF(AND($N$9&gt;0,D70&gt;=$O$9,D70&lt;=$P$9),$N$9*12*(1+IF($M$9="CRC",N($F$8),$F$9))^(D70-1),0)</f>
        <v>61597.1528885396</v>
      </c>
      <c r="I70" s="8" t="n">
        <f aca="false">SUMPRODUCT((Ingresos!$H$14:$H$17&gt;=B70)*Ingresos!$G$14:$G$17*(1+(Ingresos!$E$14:$E$17="CRC")*N($F$8)+(Ingresos!$E$14:$E$17&lt;&gt;"CRC")*$F$9)^(D70-1))*12</f>
        <v>0</v>
      </c>
      <c r="J70" s="8" t="n">
        <f aca="false">IF(AND($N$10&gt;0,D70&gt;=N($O$10)),$N$10*12*(1+IF($M$10="CRC",N($F$8),$F$9))^(N($O$10)-1)*(1+N($F$10))^(D70-N($O$10))*IF(D70=N($O$10),IF(AND(ISNUMBER($F$21),N($F$20)&gt;=$C$30),(12-$F$21)/12,1),1),0)</f>
        <v>54387.9853989651</v>
      </c>
      <c r="K70" s="8" t="n">
        <f aca="false">Pensiones!T59</f>
        <v>12553.8977671245</v>
      </c>
      <c r="L70" s="8" t="n">
        <f aca="false">Pensiones!U59</f>
        <v>14740.4820661339</v>
      </c>
      <c r="M70" s="15" t="n">
        <f aca="false">SUM(F70:L70)</f>
        <v>143279.518120763</v>
      </c>
      <c r="N70" s="8" t="n">
        <f aca="false">SUMPRODUCT((Ingresos!$H$22:$H$26=B70)*Ingresos!$G$22:$G$26*(1+(Ingresos!$E$22:$E$26="CRC")*N($F$8)+(Ingresos!$E$22:$E$26&lt;&gt;"CRC")*$F$9)^(D70-1))</f>
        <v>0</v>
      </c>
      <c r="O70" s="8" t="n">
        <f aca="false">Pensiones!S59</f>
        <v>0</v>
      </c>
      <c r="P70" s="15" t="n">
        <f aca="false">SUM(N70:O70)</f>
        <v>0</v>
      </c>
      <c r="Q70" s="15" t="n">
        <f aca="false">M70+P70</f>
        <v>143279.518120763</v>
      </c>
      <c r="R70" s="8" t="n">
        <f aca="false">$W$7*12*(N($F$22)*(1+$F$9)^(D70-1)+(1-N($F$22))*(1+N($F$8))^(D70-1))*IF(D70&gt;$F$19,$F$18,1)</f>
        <v>304905.906798271</v>
      </c>
      <c r="S70" s="8" t="n">
        <f aca="false">SUMPRODUCT((Gastos!$H$14:$H$17&lt;=B70)*(Gastos!$H$14:$H$17+Gastos!$I$14:$I$17&gt;B70)*Gastos!$G$14:$G$17*(1+(Gastos!$E$14:$E$17="CRC")*N($F$8)+(Gastos!$E$14:$E$17&lt;&gt;"CRC")*$F$9)^(D70-1))</f>
        <v>0</v>
      </c>
      <c r="T70" s="8" t="n">
        <f aca="false">$W$10*(1+IF($V$10="CRC",N($F$8),$F$9))^(D70-1)</f>
        <v>13859.3593999214</v>
      </c>
      <c r="U70" s="8" t="n">
        <f aca="false">(IF(D70&lt;=$X$11,$W$11*12,0)+IF(Gastos!$G$28="Sí",0,SUMPRODUCT((Gastos!$H$22:$H$26&gt;=B70)*Gastos!$G$22:$G$26)*12)+SUMPRODUCT((Gastos!$H$43:$H$45&lt;=B70)*(Gastos!$H$43:$H$45+Gastos!$I$43:$I$45-1&gt;=B70)*Gastos!$K$43:$K$45))</f>
        <v>0</v>
      </c>
      <c r="V70" s="15" t="n">
        <f aca="false">SUM(R70:U70)</f>
        <v>318765.266198192</v>
      </c>
      <c r="W70" s="8" t="n">
        <f aca="false">SUMPRODUCT((Gastos!$I$33:$I$37=1)*(Gastos!$H$33:$H$37=B70)*Gastos!$G$33:$G$37*(1+(Gastos!$E$33:$E$37="CRC")*N($F$8)+(Gastos!$E$33:$E$37&lt;&gt;"CRC")*$F$9)^(D70-1))+SUMPRODUCT((Gastos!$I$33:$I$37=2)*(Gastos!$H$33:$H$37&lt;=B70)*Gastos!$G$33:$G$37*(1+(Gastos!$E$33:$E$37="CRC")*N($F$8)+(Gastos!$E$33:$E$37&lt;&gt;"CRC")*$F$9)^(D70-1))+SUMPRODUCT(('Retiros del portafolio'!$H$15:$H$18=B70)*'Retiros del portafolio'!$G$15:$G$18*(1+('Retiros del portafolio'!$E$15:$E$18="CRC")*N($F$8)+('Retiros del portafolio'!$E$15:$E$18&lt;&gt;"CRC")*$F$9)^(D70-1))</f>
        <v>27718.7187998428</v>
      </c>
      <c r="X70" s="8" t="n">
        <f aca="false">SUMPRODUCT(('Retiros del portafolio'!$H$6:$H$9=B70)*'Retiros del portafolio'!$G$6:$G$9*(1+('Retiros del portafolio'!$E$6:$E$9="CRC")*N($F$8)+('Retiros del portafolio'!$E$6:$E$9&lt;&gt;"CRC")*$F$9)^(D70-1))</f>
        <v>0</v>
      </c>
      <c r="Y70" s="15" t="n">
        <f aca="false">W70+X70</f>
        <v>27718.7187998428</v>
      </c>
      <c r="Z70" s="15" t="n">
        <f aca="false">V70+Y70</f>
        <v>346483.984998035</v>
      </c>
      <c r="AA70" s="15" t="n">
        <f aca="false">Q70-Z70</f>
        <v>-203204.466877272</v>
      </c>
      <c r="AB70" s="8" t="n">
        <f aca="false">SUMPRODUCT((Desinversiones!$H$6:$H$10=B70)*(Desinversiones!$I$6:$I$10=1)*Desinversiones!$G$6:$G$10*(1+(Desinversiones!$E$6:$E$10="CRC")*N($F$8)+(Desinversiones!$E$6:$E$10&lt;&gt;"CRC")*$F$9)^(D70-1))</f>
        <v>0</v>
      </c>
      <c r="AC70" s="8" t="n">
        <f aca="false">SUMPRODUCT((Desinversiones!$H$6:$H$10=B70)*(Desinversiones!$I$6:$I$10=2)*Desinversiones!$G$6:$G$10*(1+(Desinversiones!$E$6:$E$10="CRC")*N($F$8)+(Desinversiones!$E$6:$E$10&lt;&gt;"CRC")*$F$9)^(D70-1))</f>
        <v>0</v>
      </c>
      <c r="AD70" s="8" t="n">
        <f aca="false">SUMPRODUCT((Desinversiones!$H$6:$H$10=B70)*(Desinversiones!$I$6:$I$10=3)*Desinversiones!$G$6:$G$10*(1+(Desinversiones!$E$6:$E$10="CRC")*N($F$8)+(Desinversiones!$E$6:$E$10&lt;&gt;"CRC")*$F$9)^(D70-1))</f>
        <v>0</v>
      </c>
      <c r="AE70" s="15" t="n">
        <f aca="false">SUM(AB70:AD70)</f>
        <v>0</v>
      </c>
      <c r="AF70" s="15" t="n">
        <f aca="false">AE70</f>
        <v>0</v>
      </c>
      <c r="AG70" s="8" t="n">
        <f aca="false">AJ69</f>
        <v>0</v>
      </c>
      <c r="AH70" s="8" t="n">
        <f aca="false">AG70*$F$13</f>
        <v>0</v>
      </c>
      <c r="AI70" s="15" t="n">
        <f aca="false">AA70+AF70</f>
        <v>-203204.466877272</v>
      </c>
      <c r="AJ70" s="15" t="n">
        <f aca="false">AG70+AH70+AI70+AM70</f>
        <v>0</v>
      </c>
      <c r="AK70" s="8" t="n">
        <f aca="false">AJ70/(1+$F$9)^(D70-1+$F$24/12)</f>
        <v>0</v>
      </c>
      <c r="AL70" s="9" t="n">
        <f aca="false">IF(AG70&lt;=0,0,MAX(0,-AI70)/AG70)</f>
        <v>0</v>
      </c>
      <c r="AM70" s="8" t="n">
        <f aca="false">MAX(0,-(AG70+AH70+AI70))</f>
        <v>203204.466877272</v>
      </c>
    </row>
    <row r="71" customFormat="false" ht="13.8" hidden="false" customHeight="false" outlineLevel="0" collapsed="false">
      <c r="B71" s="13" t="n">
        <f aca="false">B70+1</f>
        <v>2067</v>
      </c>
      <c r="C71" s="13" t="n">
        <f aca="false">C70+1</f>
        <v>87</v>
      </c>
      <c r="D71" s="13" t="n">
        <f aca="false">D70+1</f>
        <v>42</v>
      </c>
      <c r="E71" s="4" t="str">
        <f aca="false">IF(D71&lt;=$F$19,"Acumulación","Retiro")</f>
        <v>Retiro</v>
      </c>
      <c r="F71" s="8" t="n">
        <f aca="false">IF(D71&lt;=$P$7,$N$7*12*(1+IF($M$7="CRC",N($F$8),$F$9))^(D71-1),0)</f>
        <v>0</v>
      </c>
      <c r="G71" s="8" t="n">
        <f aca="false">IF(D71&lt;=$P$8,$N$8*12*(1+IF($M$8="CRC",N($F$8),$F$9))^(D71-1),0)</f>
        <v>0</v>
      </c>
      <c r="H71" s="8" t="n">
        <f aca="false">IF(AND($N$9&gt;0,D71&gt;=$O$9,D71&lt;=$P$9),$N$9*12*(1+IF($M$9="CRC",N($F$8),$F$9))^(D71-1),0)</f>
        <v>63999.4418511926</v>
      </c>
      <c r="I71" s="8" t="n">
        <f aca="false">SUMPRODUCT((Ingresos!$H$14:$H$17&gt;=B71)*Ingresos!$G$14:$G$17*(1+(Ingresos!$E$14:$E$17="CRC")*N($F$8)+(Ingresos!$E$14:$E$17&lt;&gt;"CRC")*$F$9)^(D71-1))*12</f>
        <v>0</v>
      </c>
      <c r="J71" s="8" t="n">
        <f aca="false">IF(AND($N$10&gt;0,D71&gt;=N($O$10)),$N$10*12*(1+IF($M$10="CRC",N($F$8),$F$9))^(N($O$10)-1)*(1+N($F$10))^(D71-N($O$10))*IF(D71=N($O$10),IF(AND(ISNUMBER($F$21),N($F$20)&gt;=$C$30),(12-$F$21)/12,1),1),0)</f>
        <v>54931.8652529547</v>
      </c>
      <c r="K71" s="8" t="n">
        <f aca="false">Pensiones!T60</f>
        <v>12553.8977671245</v>
      </c>
      <c r="L71" s="8" t="n">
        <f aca="false">Pensiones!U60</f>
        <v>14740.4820661339</v>
      </c>
      <c r="M71" s="15" t="n">
        <f aca="false">SUM(F71:L71)</f>
        <v>146225.686937406</v>
      </c>
      <c r="N71" s="8" t="n">
        <f aca="false">SUMPRODUCT((Ingresos!$H$22:$H$26=B71)*Ingresos!$G$22:$G$26*(1+(Ingresos!$E$22:$E$26="CRC")*N($F$8)+(Ingresos!$E$22:$E$26&lt;&gt;"CRC")*$F$9)^(D71-1))</f>
        <v>0</v>
      </c>
      <c r="O71" s="8" t="n">
        <f aca="false">Pensiones!S60</f>
        <v>0</v>
      </c>
      <c r="P71" s="15" t="n">
        <f aca="false">SUM(N71:O71)</f>
        <v>0</v>
      </c>
      <c r="Q71" s="15" t="n">
        <f aca="false">M71+P71</f>
        <v>146225.686937406</v>
      </c>
      <c r="R71" s="8" t="n">
        <f aca="false">$W$7*12*(N($F$22)*(1+$F$9)^(D71-1)+(1-N($F$22))*(1+N($F$8))^(D71-1))*IF(D71&gt;$F$19,$F$18,1)</f>
        <v>316797.237163403</v>
      </c>
      <c r="S71" s="8" t="n">
        <f aca="false">SUMPRODUCT((Gastos!$H$14:$H$17&lt;=B71)*(Gastos!$H$14:$H$17+Gastos!$I$14:$I$17&gt;B71)*Gastos!$G$14:$G$17*(1+(Gastos!$E$14:$E$17="CRC")*N($F$8)+(Gastos!$E$14:$E$17&lt;&gt;"CRC")*$F$9)^(D71-1))</f>
        <v>0</v>
      </c>
      <c r="T71" s="8" t="n">
        <f aca="false">$W$10*(1+IF($V$10="CRC",N($F$8),$F$9))^(D71-1)</f>
        <v>14399.8744165183</v>
      </c>
      <c r="U71" s="8" t="n">
        <f aca="false">(IF(D71&lt;=$X$11,$W$11*12,0)+IF(Gastos!$G$28="Sí",0,SUMPRODUCT((Gastos!$H$22:$H$26&gt;=B71)*Gastos!$G$22:$G$26)*12)+SUMPRODUCT((Gastos!$H$43:$H$45&lt;=B71)*(Gastos!$H$43:$H$45+Gastos!$I$43:$I$45-1&gt;=B71)*Gastos!$K$43:$K$45))</f>
        <v>0</v>
      </c>
      <c r="V71" s="15" t="n">
        <f aca="false">SUM(R71:U71)</f>
        <v>331197.111579922</v>
      </c>
      <c r="W71" s="8" t="n">
        <f aca="false">SUMPRODUCT((Gastos!$I$33:$I$37=1)*(Gastos!$H$33:$H$37=B71)*Gastos!$G$33:$G$37*(1+(Gastos!$E$33:$E$37="CRC")*N($F$8)+(Gastos!$E$33:$E$37&lt;&gt;"CRC")*$F$9)^(D71-1))+SUMPRODUCT((Gastos!$I$33:$I$37=2)*(Gastos!$H$33:$H$37&lt;=B71)*Gastos!$G$33:$G$37*(1+(Gastos!$E$33:$E$37="CRC")*N($F$8)+(Gastos!$E$33:$E$37&lt;&gt;"CRC")*$F$9)^(D71-1))+SUMPRODUCT(('Retiros del portafolio'!$H$15:$H$18=B71)*'Retiros del portafolio'!$G$15:$G$18*(1+('Retiros del portafolio'!$E$15:$E$18="CRC")*N($F$8)+('Retiros del portafolio'!$E$15:$E$18&lt;&gt;"CRC")*$F$9)^(D71-1))</f>
        <v>28799.7488330367</v>
      </c>
      <c r="X71" s="8" t="n">
        <f aca="false">SUMPRODUCT(('Retiros del portafolio'!$H$6:$H$9=B71)*'Retiros del portafolio'!$G$6:$G$9*(1+('Retiros del portafolio'!$E$6:$E$9="CRC")*N($F$8)+('Retiros del portafolio'!$E$6:$E$9&lt;&gt;"CRC")*$F$9)^(D71-1))</f>
        <v>0</v>
      </c>
      <c r="Y71" s="15" t="n">
        <f aca="false">W71+X71</f>
        <v>28799.7488330367</v>
      </c>
      <c r="Z71" s="15" t="n">
        <f aca="false">V71+Y71</f>
        <v>359996.860412958</v>
      </c>
      <c r="AA71" s="15" t="n">
        <f aca="false">Q71-Z71</f>
        <v>-213771.173475553</v>
      </c>
      <c r="AB71" s="8" t="n">
        <f aca="false">SUMPRODUCT((Desinversiones!$H$6:$H$10=B71)*(Desinversiones!$I$6:$I$10=1)*Desinversiones!$G$6:$G$10*(1+(Desinversiones!$E$6:$E$10="CRC")*N($F$8)+(Desinversiones!$E$6:$E$10&lt;&gt;"CRC")*$F$9)^(D71-1))</f>
        <v>0</v>
      </c>
      <c r="AC71" s="8" t="n">
        <f aca="false">SUMPRODUCT((Desinversiones!$H$6:$H$10=B71)*(Desinversiones!$I$6:$I$10=2)*Desinversiones!$G$6:$G$10*(1+(Desinversiones!$E$6:$E$10="CRC")*N($F$8)+(Desinversiones!$E$6:$E$10&lt;&gt;"CRC")*$F$9)^(D71-1))</f>
        <v>0</v>
      </c>
      <c r="AD71" s="8" t="n">
        <f aca="false">SUMPRODUCT((Desinversiones!$H$6:$H$10=B71)*(Desinversiones!$I$6:$I$10=3)*Desinversiones!$G$6:$G$10*(1+(Desinversiones!$E$6:$E$10="CRC")*N($F$8)+(Desinversiones!$E$6:$E$10&lt;&gt;"CRC")*$F$9)^(D71-1))</f>
        <v>0</v>
      </c>
      <c r="AE71" s="15" t="n">
        <f aca="false">SUM(AB71:AD71)</f>
        <v>0</v>
      </c>
      <c r="AF71" s="15" t="n">
        <f aca="false">AE71</f>
        <v>0</v>
      </c>
      <c r="AG71" s="8" t="n">
        <f aca="false">AJ70</f>
        <v>0</v>
      </c>
      <c r="AH71" s="8" t="n">
        <f aca="false">AG71*$F$13</f>
        <v>0</v>
      </c>
      <c r="AI71" s="15" t="n">
        <f aca="false">AA71+AF71</f>
        <v>-213771.173475553</v>
      </c>
      <c r="AJ71" s="15" t="n">
        <f aca="false">AG71+AH71+AI71+AM71</f>
        <v>0</v>
      </c>
      <c r="AK71" s="8" t="n">
        <f aca="false">AJ71/(1+$F$9)^(D71-1+$F$24/12)</f>
        <v>0</v>
      </c>
      <c r="AL71" s="9" t="n">
        <f aca="false">IF(AG71&lt;=0,0,MAX(0,-AI71)/AG71)</f>
        <v>0</v>
      </c>
      <c r="AM71" s="8" t="n">
        <f aca="false">MAX(0,-(AG71+AH71+AI71))</f>
        <v>213771.173475553</v>
      </c>
    </row>
    <row r="72" customFormat="false" ht="13.8" hidden="false" customHeight="false" outlineLevel="0" collapsed="false">
      <c r="B72" s="13" t="n">
        <f aca="false">B71+1</f>
        <v>2068</v>
      </c>
      <c r="C72" s="13" t="n">
        <f aca="false">C71+1</f>
        <v>88</v>
      </c>
      <c r="D72" s="13" t="n">
        <f aca="false">D71+1</f>
        <v>43</v>
      </c>
      <c r="E72" s="4" t="str">
        <f aca="false">IF(D72&lt;=$F$19,"Acumulación","Retiro")</f>
        <v>Retiro</v>
      </c>
      <c r="F72" s="8" t="n">
        <f aca="false">IF(D72&lt;=$P$7,$N$7*12*(1+IF($M$7="CRC",N($F$8),$F$9))^(D72-1),0)</f>
        <v>0</v>
      </c>
      <c r="G72" s="8" t="n">
        <f aca="false">IF(D72&lt;=$P$8,$N$8*12*(1+IF($M$8="CRC",N($F$8),$F$9))^(D72-1),0)</f>
        <v>0</v>
      </c>
      <c r="H72" s="8" t="n">
        <f aca="false">IF(AND($N$9&gt;0,D72&gt;=$O$9,D72&lt;=$P$9),$N$9*12*(1+IF($M$9="CRC",N($F$8),$F$9))^(D72-1),0)</f>
        <v>66495.4200833891</v>
      </c>
      <c r="I72" s="8" t="n">
        <f aca="false">SUMPRODUCT((Ingresos!$H$14:$H$17&gt;=B72)*Ingresos!$G$14:$G$17*(1+(Ingresos!$E$14:$E$17="CRC")*N($F$8)+(Ingresos!$E$14:$E$17&lt;&gt;"CRC")*$F$9)^(D72-1))*12</f>
        <v>0</v>
      </c>
      <c r="J72" s="8" t="n">
        <f aca="false">IF(AND($N$10&gt;0,D72&gt;=N($O$10)),$N$10*12*(1+IF($M$10="CRC",N($F$8),$F$9))^(N($O$10)-1)*(1+N($F$10))^(D72-N($O$10))*IF(D72=N($O$10),IF(AND(ISNUMBER($F$21),N($F$20)&gt;=$C$30),(12-$F$21)/12,1),1),0)</f>
        <v>55481.1839054843</v>
      </c>
      <c r="K72" s="8" t="n">
        <f aca="false">Pensiones!T61</f>
        <v>12553.8977671245</v>
      </c>
      <c r="L72" s="8" t="n">
        <f aca="false">Pensiones!U61</f>
        <v>14740.4820661339</v>
      </c>
      <c r="M72" s="15" t="n">
        <f aca="false">SUM(F72:L72)</f>
        <v>149270.983822132</v>
      </c>
      <c r="N72" s="8" t="n">
        <f aca="false">SUMPRODUCT((Ingresos!$H$22:$H$26=B72)*Ingresos!$G$22:$G$26*(1+(Ingresos!$E$22:$E$26="CRC")*N($F$8)+(Ingresos!$E$22:$E$26&lt;&gt;"CRC")*$F$9)^(D72-1))</f>
        <v>0</v>
      </c>
      <c r="O72" s="8" t="n">
        <f aca="false">Pensiones!S61</f>
        <v>0</v>
      </c>
      <c r="P72" s="15" t="n">
        <f aca="false">SUM(N72:O72)</f>
        <v>0</v>
      </c>
      <c r="Q72" s="15" t="n">
        <f aca="false">M72+P72</f>
        <v>149270.983822132</v>
      </c>
      <c r="R72" s="8" t="n">
        <f aca="false">$W$7*12*(N($F$22)*(1+$F$9)^(D72-1)+(1-N($F$22))*(1+N($F$8))^(D72-1))*IF(D72&gt;$F$19,$F$18,1)</f>
        <v>329152.329412776</v>
      </c>
      <c r="S72" s="8" t="n">
        <f aca="false">SUMPRODUCT((Gastos!$H$14:$H$17&lt;=B72)*(Gastos!$H$14:$H$17+Gastos!$I$14:$I$17&gt;B72)*Gastos!$G$14:$G$17*(1+(Gastos!$E$14:$E$17="CRC")*N($F$8)+(Gastos!$E$14:$E$17&lt;&gt;"CRC")*$F$9)^(D72-1))</f>
        <v>0</v>
      </c>
      <c r="T72" s="8" t="n">
        <f aca="false">$W$10*(1+IF($V$10="CRC",N($F$8),$F$9))^(D72-1)</f>
        <v>14961.4695187626</v>
      </c>
      <c r="U72" s="8" t="n">
        <f aca="false">(IF(D72&lt;=$X$11,$W$11*12,0)+IF(Gastos!$G$28="Sí",0,SUMPRODUCT((Gastos!$H$22:$H$26&gt;=B72)*Gastos!$G$22:$G$26)*12)+SUMPRODUCT((Gastos!$H$43:$H$45&lt;=B72)*(Gastos!$H$43:$H$45+Gastos!$I$43:$I$45-1&gt;=B72)*Gastos!$K$43:$K$45))</f>
        <v>0</v>
      </c>
      <c r="V72" s="15" t="n">
        <f aca="false">SUM(R72:U72)</f>
        <v>344113.798931539</v>
      </c>
      <c r="W72" s="8" t="n">
        <f aca="false">SUMPRODUCT((Gastos!$I$33:$I$37=1)*(Gastos!$H$33:$H$37=B72)*Gastos!$G$33:$G$37*(1+(Gastos!$E$33:$E$37="CRC")*N($F$8)+(Gastos!$E$33:$E$37&lt;&gt;"CRC")*$F$9)^(D72-1))+SUMPRODUCT((Gastos!$I$33:$I$37=2)*(Gastos!$H$33:$H$37&lt;=B72)*Gastos!$G$33:$G$37*(1+(Gastos!$E$33:$E$37="CRC")*N($F$8)+(Gastos!$E$33:$E$37&lt;&gt;"CRC")*$F$9)^(D72-1))+SUMPRODUCT(('Retiros del portafolio'!$H$15:$H$18=B72)*'Retiros del portafolio'!$G$15:$G$18*(1+('Retiros del portafolio'!$E$15:$E$18="CRC")*N($F$8)+('Retiros del portafolio'!$E$15:$E$18&lt;&gt;"CRC")*$F$9)^(D72-1))</f>
        <v>29922.9390375251</v>
      </c>
      <c r="X72" s="8" t="n">
        <f aca="false">SUMPRODUCT(('Retiros del portafolio'!$H$6:$H$9=B72)*'Retiros del portafolio'!$G$6:$G$9*(1+('Retiros del portafolio'!$E$6:$E$9="CRC")*N($F$8)+('Retiros del portafolio'!$E$6:$E$9&lt;&gt;"CRC")*$F$9)^(D72-1))</f>
        <v>0</v>
      </c>
      <c r="Y72" s="15" t="n">
        <f aca="false">W72+X72</f>
        <v>29922.9390375251</v>
      </c>
      <c r="Z72" s="15" t="n">
        <f aca="false">V72+Y72</f>
        <v>374036.737969064</v>
      </c>
      <c r="AA72" s="15" t="n">
        <f aca="false">Q72-Z72</f>
        <v>-224765.754146932</v>
      </c>
      <c r="AB72" s="8" t="n">
        <f aca="false">SUMPRODUCT((Desinversiones!$H$6:$H$10=B72)*(Desinversiones!$I$6:$I$10=1)*Desinversiones!$G$6:$G$10*(1+(Desinversiones!$E$6:$E$10="CRC")*N($F$8)+(Desinversiones!$E$6:$E$10&lt;&gt;"CRC")*$F$9)^(D72-1))</f>
        <v>0</v>
      </c>
      <c r="AC72" s="8" t="n">
        <f aca="false">SUMPRODUCT((Desinversiones!$H$6:$H$10=B72)*(Desinversiones!$I$6:$I$10=2)*Desinversiones!$G$6:$G$10*(1+(Desinversiones!$E$6:$E$10="CRC")*N($F$8)+(Desinversiones!$E$6:$E$10&lt;&gt;"CRC")*$F$9)^(D72-1))</f>
        <v>0</v>
      </c>
      <c r="AD72" s="8" t="n">
        <f aca="false">SUMPRODUCT((Desinversiones!$H$6:$H$10=B72)*(Desinversiones!$I$6:$I$10=3)*Desinversiones!$G$6:$G$10*(1+(Desinversiones!$E$6:$E$10="CRC")*N($F$8)+(Desinversiones!$E$6:$E$10&lt;&gt;"CRC")*$F$9)^(D72-1))</f>
        <v>0</v>
      </c>
      <c r="AE72" s="15" t="n">
        <f aca="false">SUM(AB72:AD72)</f>
        <v>0</v>
      </c>
      <c r="AF72" s="15" t="n">
        <f aca="false">AE72</f>
        <v>0</v>
      </c>
      <c r="AG72" s="8" t="n">
        <f aca="false">AJ71</f>
        <v>0</v>
      </c>
      <c r="AH72" s="8" t="n">
        <f aca="false">AG72*$F$13</f>
        <v>0</v>
      </c>
      <c r="AI72" s="15" t="n">
        <f aca="false">AA72+AF72</f>
        <v>-224765.754146932</v>
      </c>
      <c r="AJ72" s="15" t="n">
        <f aca="false">AG72+AH72+AI72+AM72</f>
        <v>0</v>
      </c>
      <c r="AK72" s="8" t="n">
        <f aca="false">AJ72/(1+$F$9)^(D72-1+$F$24/12)</f>
        <v>0</v>
      </c>
      <c r="AL72" s="9" t="n">
        <f aca="false">IF(AG72&lt;=0,0,MAX(0,-AI72)/AG72)</f>
        <v>0</v>
      </c>
      <c r="AM72" s="8" t="n">
        <f aca="false">MAX(0,-(AG72+AH72+AI72))</f>
        <v>224765.754146932</v>
      </c>
    </row>
    <row r="73" customFormat="false" ht="13.8" hidden="false" customHeight="false" outlineLevel="0" collapsed="false">
      <c r="B73" s="13" t="n">
        <f aca="false">B72+1</f>
        <v>2069</v>
      </c>
      <c r="C73" s="13" t="n">
        <f aca="false">C72+1</f>
        <v>89</v>
      </c>
      <c r="D73" s="13" t="n">
        <f aca="false">D72+1</f>
        <v>44</v>
      </c>
      <c r="E73" s="4" t="str">
        <f aca="false">IF(D73&lt;=$F$19,"Acumulación","Retiro")</f>
        <v>Retiro</v>
      </c>
      <c r="F73" s="8" t="n">
        <f aca="false">IF(D73&lt;=$P$7,$N$7*12*(1+IF($M$7="CRC",N($F$8),$F$9))^(D73-1),0)</f>
        <v>0</v>
      </c>
      <c r="G73" s="8" t="n">
        <f aca="false">IF(D73&lt;=$P$8,$N$8*12*(1+IF($M$8="CRC",N($F$8),$F$9))^(D73-1),0)</f>
        <v>0</v>
      </c>
      <c r="H73" s="8" t="n">
        <f aca="false">IF(AND($N$9&gt;0,D73&gt;=$O$9,D73&lt;=$P$9),$N$9*12*(1+IF($M$9="CRC",N($F$8),$F$9))^(D73-1),0)</f>
        <v>69088.7414666413</v>
      </c>
      <c r="I73" s="8" t="n">
        <f aca="false">SUMPRODUCT((Ingresos!$H$14:$H$17&gt;=B73)*Ingresos!$G$14:$G$17*(1+(Ingresos!$E$14:$E$17="CRC")*N($F$8)+(Ingresos!$E$14:$E$17&lt;&gt;"CRC")*$F$9)^(D73-1))*12</f>
        <v>0</v>
      </c>
      <c r="J73" s="8" t="n">
        <f aca="false">IF(AND($N$10&gt;0,D73&gt;=N($O$10)),$N$10*12*(1+IF($M$10="CRC",N($F$8),$F$9))^(N($O$10)-1)*(1+N($F$10))^(D73-N($O$10))*IF(D73=N($O$10),IF(AND(ISNUMBER($F$21),N($F$20)&gt;=$C$30),(12-$F$21)/12,1),1),0)</f>
        <v>56035.9957445391</v>
      </c>
      <c r="K73" s="8" t="n">
        <f aca="false">Pensiones!T62</f>
        <v>12553.8977671245</v>
      </c>
      <c r="L73" s="8" t="n">
        <f aca="false">Pensiones!U62</f>
        <v>14740.4820661339</v>
      </c>
      <c r="M73" s="15" t="n">
        <f aca="false">SUM(F73:L73)</f>
        <v>152419.117044439</v>
      </c>
      <c r="N73" s="8" t="n">
        <f aca="false">SUMPRODUCT((Ingresos!$H$22:$H$26=B73)*Ingresos!$G$22:$G$26*(1+(Ingresos!$E$22:$E$26="CRC")*N($F$8)+(Ingresos!$E$22:$E$26&lt;&gt;"CRC")*$F$9)^(D73-1))</f>
        <v>0</v>
      </c>
      <c r="O73" s="8" t="n">
        <f aca="false">Pensiones!S62</f>
        <v>0</v>
      </c>
      <c r="P73" s="15" t="n">
        <f aca="false">SUM(N73:O73)</f>
        <v>0</v>
      </c>
      <c r="Q73" s="15" t="n">
        <f aca="false">M73+P73</f>
        <v>152419.117044439</v>
      </c>
      <c r="R73" s="8" t="n">
        <f aca="false">$W$7*12*(N($F$22)*(1+$F$9)^(D73-1)+(1-N($F$22))*(1+N($F$8))^(D73-1))*IF(D73&gt;$F$19,$F$18,1)</f>
        <v>341989.270259874</v>
      </c>
      <c r="S73" s="8" t="n">
        <f aca="false">SUMPRODUCT((Gastos!$H$14:$H$17&lt;=B73)*(Gastos!$H$14:$H$17+Gastos!$I$14:$I$17&gt;B73)*Gastos!$G$14:$G$17*(1+(Gastos!$E$14:$E$17="CRC")*N($F$8)+(Gastos!$E$14:$E$17&lt;&gt;"CRC")*$F$9)^(D73-1))</f>
        <v>0</v>
      </c>
      <c r="T73" s="8" t="n">
        <f aca="false">$W$10*(1+IF($V$10="CRC",N($F$8),$F$9))^(D73-1)</f>
        <v>15544.9668299943</v>
      </c>
      <c r="U73" s="8" t="n">
        <f aca="false">(IF(D73&lt;=$X$11,$W$11*12,0)+IF(Gastos!$G$28="Sí",0,SUMPRODUCT((Gastos!$H$22:$H$26&gt;=B73)*Gastos!$G$22:$G$26)*12)+SUMPRODUCT((Gastos!$H$43:$H$45&lt;=B73)*(Gastos!$H$43:$H$45+Gastos!$I$43:$I$45-1&gt;=B73)*Gastos!$K$43:$K$45))</f>
        <v>0</v>
      </c>
      <c r="V73" s="15" t="n">
        <f aca="false">SUM(R73:U73)</f>
        <v>357534.237089869</v>
      </c>
      <c r="W73" s="8" t="n">
        <f aca="false">SUMPRODUCT((Gastos!$I$33:$I$37=1)*(Gastos!$H$33:$H$37=B73)*Gastos!$G$33:$G$37*(1+(Gastos!$E$33:$E$37="CRC")*N($F$8)+(Gastos!$E$33:$E$37&lt;&gt;"CRC")*$F$9)^(D73-1))+SUMPRODUCT((Gastos!$I$33:$I$37=2)*(Gastos!$H$33:$H$37&lt;=B73)*Gastos!$G$33:$G$37*(1+(Gastos!$E$33:$E$37="CRC")*N($F$8)+(Gastos!$E$33:$E$37&lt;&gt;"CRC")*$F$9)^(D73-1))+SUMPRODUCT(('Retiros del portafolio'!$H$15:$H$18=B73)*'Retiros del portafolio'!$G$15:$G$18*(1+('Retiros del portafolio'!$E$15:$E$18="CRC")*N($F$8)+('Retiros del portafolio'!$E$15:$E$18&lt;&gt;"CRC")*$F$9)^(D73-1))</f>
        <v>31089.9336599886</v>
      </c>
      <c r="X73" s="8" t="n">
        <f aca="false">SUMPRODUCT(('Retiros del portafolio'!$H$6:$H$9=B73)*'Retiros del portafolio'!$G$6:$G$9*(1+('Retiros del portafolio'!$E$6:$E$9="CRC")*N($F$8)+('Retiros del portafolio'!$E$6:$E$9&lt;&gt;"CRC")*$F$9)^(D73-1))</f>
        <v>0</v>
      </c>
      <c r="Y73" s="15" t="n">
        <f aca="false">W73+X73</f>
        <v>31089.9336599886</v>
      </c>
      <c r="Z73" s="15" t="n">
        <f aca="false">V73+Y73</f>
        <v>388624.170749857</v>
      </c>
      <c r="AA73" s="15" t="n">
        <f aca="false">Q73-Z73</f>
        <v>-236205.053705418</v>
      </c>
      <c r="AB73" s="8" t="n">
        <f aca="false">SUMPRODUCT((Desinversiones!$H$6:$H$10=B73)*(Desinversiones!$I$6:$I$10=1)*Desinversiones!$G$6:$G$10*(1+(Desinversiones!$E$6:$E$10="CRC")*N($F$8)+(Desinversiones!$E$6:$E$10&lt;&gt;"CRC")*$F$9)^(D73-1))</f>
        <v>0</v>
      </c>
      <c r="AC73" s="8" t="n">
        <f aca="false">SUMPRODUCT((Desinversiones!$H$6:$H$10=B73)*(Desinversiones!$I$6:$I$10=2)*Desinversiones!$G$6:$G$10*(1+(Desinversiones!$E$6:$E$10="CRC")*N($F$8)+(Desinversiones!$E$6:$E$10&lt;&gt;"CRC")*$F$9)^(D73-1))</f>
        <v>0</v>
      </c>
      <c r="AD73" s="8" t="n">
        <f aca="false">SUMPRODUCT((Desinversiones!$H$6:$H$10=B73)*(Desinversiones!$I$6:$I$10=3)*Desinversiones!$G$6:$G$10*(1+(Desinversiones!$E$6:$E$10="CRC")*N($F$8)+(Desinversiones!$E$6:$E$10&lt;&gt;"CRC")*$F$9)^(D73-1))</f>
        <v>0</v>
      </c>
      <c r="AE73" s="15" t="n">
        <f aca="false">SUM(AB73:AD73)</f>
        <v>0</v>
      </c>
      <c r="AF73" s="15" t="n">
        <f aca="false">AE73</f>
        <v>0</v>
      </c>
      <c r="AG73" s="8" t="n">
        <f aca="false">AJ72</f>
        <v>0</v>
      </c>
      <c r="AH73" s="8" t="n">
        <f aca="false">AG73*$F$13</f>
        <v>0</v>
      </c>
      <c r="AI73" s="15" t="n">
        <f aca="false">AA73+AF73</f>
        <v>-236205.053705418</v>
      </c>
      <c r="AJ73" s="15" t="n">
        <f aca="false">AG73+AH73+AI73+AM73</f>
        <v>0</v>
      </c>
      <c r="AK73" s="8" t="n">
        <f aca="false">AJ73/(1+$F$9)^(D73-1+$F$24/12)</f>
        <v>0</v>
      </c>
      <c r="AL73" s="9" t="n">
        <f aca="false">IF(AG73&lt;=0,0,MAX(0,-AI73)/AG73)</f>
        <v>0</v>
      </c>
      <c r="AM73" s="8" t="n">
        <f aca="false">MAX(0,-(AG73+AH73+AI73))</f>
        <v>236205.053705418</v>
      </c>
    </row>
    <row r="74" customFormat="false" ht="13.8" hidden="false" customHeight="false" outlineLevel="0" collapsed="false">
      <c r="B74" s="13" t="n">
        <f aca="false">B73+1</f>
        <v>2070</v>
      </c>
      <c r="C74" s="13" t="n">
        <f aca="false">C73+1</f>
        <v>90</v>
      </c>
      <c r="D74" s="13" t="n">
        <f aca="false">D73+1</f>
        <v>45</v>
      </c>
      <c r="E74" s="4" t="str">
        <f aca="false">IF(D74&lt;=$F$19,"Acumulación","Retiro")</f>
        <v>Retiro</v>
      </c>
      <c r="F74" s="8" t="n">
        <f aca="false">IF(D74&lt;=$P$7,$N$7*12*(1+IF($M$7="CRC",N($F$8),$F$9))^(D74-1),0)</f>
        <v>0</v>
      </c>
      <c r="G74" s="8" t="n">
        <f aca="false">IF(D74&lt;=$P$8,$N$8*12*(1+IF($M$8="CRC",N($F$8),$F$9))^(D74-1),0)</f>
        <v>0</v>
      </c>
      <c r="H74" s="8" t="n">
        <f aca="false">IF(AND($N$9&gt;0,D74&gt;=$O$9,D74&lt;=$P$9),$N$9*12*(1+IF($M$9="CRC",N($F$8),$F$9))^(D74-1),0)</f>
        <v>71783.2023838403</v>
      </c>
      <c r="I74" s="8" t="n">
        <f aca="false">SUMPRODUCT((Ingresos!$H$14:$H$17&gt;=B74)*Ingresos!$G$14:$G$17*(1+(Ingresos!$E$14:$E$17="CRC")*N($F$8)+(Ingresos!$E$14:$E$17&lt;&gt;"CRC")*$F$9)^(D74-1))*12</f>
        <v>0</v>
      </c>
      <c r="J74" s="8" t="n">
        <f aca="false">IF(AND($N$10&gt;0,D74&gt;=N($O$10)),$N$10*12*(1+IF($M$10="CRC",N($F$8),$F$9))^(N($O$10)-1)*(1+N($F$10))^(D74-N($O$10))*IF(D74=N($O$10),IF(AND(ISNUMBER($F$21),N($F$20)&gt;=$C$30),(12-$F$21)/12,1),1),0)</f>
        <v>56596.3557019845</v>
      </c>
      <c r="K74" s="8" t="n">
        <f aca="false">Pensiones!T63</f>
        <v>12553.8977671245</v>
      </c>
      <c r="L74" s="8" t="n">
        <f aca="false">Pensiones!U63</f>
        <v>14740.4820661339</v>
      </c>
      <c r="M74" s="15" t="n">
        <f aca="false">SUM(F74:L74)</f>
        <v>155673.937919083</v>
      </c>
      <c r="N74" s="8" t="n">
        <f aca="false">SUMPRODUCT((Ingresos!$H$22:$H$26=B74)*Ingresos!$G$22:$G$26*(1+(Ingresos!$E$22:$E$26="CRC")*N($F$8)+(Ingresos!$E$22:$E$26&lt;&gt;"CRC")*$F$9)^(D74-1))</f>
        <v>0</v>
      </c>
      <c r="O74" s="8" t="n">
        <f aca="false">Pensiones!S63</f>
        <v>0</v>
      </c>
      <c r="P74" s="15" t="n">
        <f aca="false">SUM(N74:O74)</f>
        <v>0</v>
      </c>
      <c r="Q74" s="15" t="n">
        <f aca="false">M74+P74</f>
        <v>155673.937919083</v>
      </c>
      <c r="R74" s="8" t="n">
        <f aca="false">$W$7*12*(N($F$22)*(1+$F$9)^(D74-1)+(1-N($F$22))*(1+N($F$8))^(D74-1))*IF(D74&gt;$F$19,$F$18,1)</f>
        <v>355326.851800009</v>
      </c>
      <c r="S74" s="8" t="n">
        <f aca="false">SUMPRODUCT((Gastos!$H$14:$H$17&lt;=B74)*(Gastos!$H$14:$H$17+Gastos!$I$14:$I$17&gt;B74)*Gastos!$G$14:$G$17*(1+(Gastos!$E$14:$E$17="CRC")*N($F$8)+(Gastos!$E$14:$E$17&lt;&gt;"CRC")*$F$9)^(D74-1))</f>
        <v>0</v>
      </c>
      <c r="T74" s="8" t="n">
        <f aca="false">$W$10*(1+IF($V$10="CRC",N($F$8),$F$9))^(D74-1)</f>
        <v>16151.2205363641</v>
      </c>
      <c r="U74" s="8" t="n">
        <f aca="false">(IF(D74&lt;=$X$11,$W$11*12,0)+IF(Gastos!$G$28="Sí",0,SUMPRODUCT((Gastos!$H$22:$H$26&gt;=B74)*Gastos!$G$22:$G$26)*12)+SUMPRODUCT((Gastos!$H$43:$H$45&lt;=B74)*(Gastos!$H$43:$H$45+Gastos!$I$43:$I$45-1&gt;=B74)*Gastos!$K$43:$K$45))</f>
        <v>0</v>
      </c>
      <c r="V74" s="15" t="n">
        <f aca="false">SUM(R74:U74)</f>
        <v>371478.072336374</v>
      </c>
      <c r="W74" s="8" t="n">
        <f aca="false">SUMPRODUCT((Gastos!$I$33:$I$37=1)*(Gastos!$H$33:$H$37=B74)*Gastos!$G$33:$G$37*(1+(Gastos!$E$33:$E$37="CRC")*N($F$8)+(Gastos!$E$33:$E$37&lt;&gt;"CRC")*$F$9)^(D74-1))+SUMPRODUCT((Gastos!$I$33:$I$37=2)*(Gastos!$H$33:$H$37&lt;=B74)*Gastos!$G$33:$G$37*(1+(Gastos!$E$33:$E$37="CRC")*N($F$8)+(Gastos!$E$33:$E$37&lt;&gt;"CRC")*$F$9)^(D74-1))+SUMPRODUCT(('Retiros del portafolio'!$H$15:$H$18=B74)*'Retiros del portafolio'!$G$15:$G$18*(1+('Retiros del portafolio'!$E$15:$E$18="CRC")*N($F$8)+('Retiros del portafolio'!$E$15:$E$18&lt;&gt;"CRC")*$F$9)^(D74-1))</f>
        <v>32302.4410727281</v>
      </c>
      <c r="X74" s="8" t="n">
        <f aca="false">SUMPRODUCT(('Retiros del portafolio'!$H$6:$H$9=B74)*'Retiros del portafolio'!$G$6:$G$9*(1+('Retiros del portafolio'!$E$6:$E$9="CRC")*N($F$8)+('Retiros del portafolio'!$E$6:$E$9&lt;&gt;"CRC")*$F$9)^(D74-1))</f>
        <v>0</v>
      </c>
      <c r="Y74" s="15" t="n">
        <f aca="false">W74+X74</f>
        <v>32302.4410727281</v>
      </c>
      <c r="Z74" s="15" t="n">
        <f aca="false">V74+Y74</f>
        <v>403780.513409102</v>
      </c>
      <c r="AA74" s="15" t="n">
        <f aca="false">Q74-Z74</f>
        <v>-248106.575490018</v>
      </c>
      <c r="AB74" s="8" t="n">
        <f aca="false">SUMPRODUCT((Desinversiones!$H$6:$H$10=B74)*(Desinversiones!$I$6:$I$10=1)*Desinversiones!$G$6:$G$10*(1+(Desinversiones!$E$6:$E$10="CRC")*N($F$8)+(Desinversiones!$E$6:$E$10&lt;&gt;"CRC")*$F$9)^(D74-1))</f>
        <v>0</v>
      </c>
      <c r="AC74" s="8" t="n">
        <f aca="false">SUMPRODUCT((Desinversiones!$H$6:$H$10=B74)*(Desinversiones!$I$6:$I$10=2)*Desinversiones!$G$6:$G$10*(1+(Desinversiones!$E$6:$E$10="CRC")*N($F$8)+(Desinversiones!$E$6:$E$10&lt;&gt;"CRC")*$F$9)^(D74-1))</f>
        <v>0</v>
      </c>
      <c r="AD74" s="8" t="n">
        <f aca="false">SUMPRODUCT((Desinversiones!$H$6:$H$10=B74)*(Desinversiones!$I$6:$I$10=3)*Desinversiones!$G$6:$G$10*(1+(Desinversiones!$E$6:$E$10="CRC")*N($F$8)+(Desinversiones!$E$6:$E$10&lt;&gt;"CRC")*$F$9)^(D74-1))</f>
        <v>0</v>
      </c>
      <c r="AE74" s="15" t="n">
        <f aca="false">SUM(AB74:AD74)</f>
        <v>0</v>
      </c>
      <c r="AF74" s="15" t="n">
        <f aca="false">AE74</f>
        <v>0</v>
      </c>
      <c r="AG74" s="8" t="n">
        <f aca="false">AJ73</f>
        <v>0</v>
      </c>
      <c r="AH74" s="8" t="n">
        <f aca="false">AG74*$F$13</f>
        <v>0</v>
      </c>
      <c r="AI74" s="15" t="n">
        <f aca="false">AA74+AF74</f>
        <v>-248106.575490018</v>
      </c>
      <c r="AJ74" s="15" t="n">
        <f aca="false">AG74+AH74+AI74+AM74</f>
        <v>0</v>
      </c>
      <c r="AK74" s="8" t="n">
        <f aca="false">AJ74/(1+$F$9)^(D74-1+$F$24/12)</f>
        <v>0</v>
      </c>
      <c r="AL74" s="9" t="n">
        <f aca="false">IF(AG74&lt;=0,0,MAX(0,-AI74)/AG74)</f>
        <v>0</v>
      </c>
      <c r="AM74" s="8" t="n">
        <f aca="false">MAX(0,-(AG74+AH74+AI74))</f>
        <v>248106.575490018</v>
      </c>
    </row>
    <row r="75" customFormat="false" ht="13.8" hidden="false" customHeight="false" outlineLevel="0" collapsed="false">
      <c r="B75" s="13" t="n">
        <f aca="false">B74+1</f>
        <v>2071</v>
      </c>
      <c r="C75" s="13" t="n">
        <f aca="false">C74+1</f>
        <v>91</v>
      </c>
      <c r="D75" s="13" t="n">
        <f aca="false">D74+1</f>
        <v>46</v>
      </c>
      <c r="E75" s="4" t="str">
        <f aca="false">IF(D75&lt;=$F$19,"Acumulación","Retiro")</f>
        <v>Retiro</v>
      </c>
      <c r="F75" s="8" t="n">
        <f aca="false">IF(D75&lt;=$P$7,$N$7*12*(1+IF($M$7="CRC",N($F$8),$F$9))^(D75-1),0)</f>
        <v>0</v>
      </c>
      <c r="G75" s="8" t="n">
        <f aca="false">IF(D75&lt;=$P$8,$N$8*12*(1+IF($M$8="CRC",N($F$8),$F$9))^(D75-1),0)</f>
        <v>0</v>
      </c>
      <c r="H75" s="8" t="n">
        <f aca="false">IF(AND($N$9&gt;0,D75&gt;=$O$9,D75&lt;=$P$9),$N$9*12*(1+IF($M$9="CRC",N($F$8),$F$9))^(D75-1),0)</f>
        <v>74582.7472768101</v>
      </c>
      <c r="I75" s="8" t="n">
        <f aca="false">SUMPRODUCT((Ingresos!$H$14:$H$17&gt;=B75)*Ingresos!$G$14:$G$17*(1+(Ingresos!$E$14:$E$17="CRC")*N($F$8)+(Ingresos!$E$14:$E$17&lt;&gt;"CRC")*$F$9)^(D75-1))*12</f>
        <v>0</v>
      </c>
      <c r="J75" s="8" t="n">
        <f aca="false">IF(AND($N$10&gt;0,D75&gt;=N($O$10)),$N$10*12*(1+IF($M$10="CRC",N($F$8),$F$9))^(N($O$10)-1)*(1+N($F$10))^(D75-N($O$10))*IF(D75=N($O$10),IF(AND(ISNUMBER($F$21),N($F$20)&gt;=$C$30),(12-$F$21)/12,1),1),0)</f>
        <v>57162.3192590044</v>
      </c>
      <c r="K75" s="8" t="n">
        <f aca="false">Pensiones!T64</f>
        <v>12553.8977671245</v>
      </c>
      <c r="L75" s="8" t="n">
        <f aca="false">Pensiones!U64</f>
        <v>14740.4820661339</v>
      </c>
      <c r="M75" s="15" t="n">
        <f aca="false">SUM(F75:L75)</f>
        <v>159039.446369073</v>
      </c>
      <c r="N75" s="8" t="n">
        <f aca="false">SUMPRODUCT((Ingresos!$H$22:$H$26=B75)*Ingresos!$G$22:$G$26*(1+(Ingresos!$E$22:$E$26="CRC")*N($F$8)+(Ingresos!$E$22:$E$26&lt;&gt;"CRC")*$F$9)^(D75-1))</f>
        <v>0</v>
      </c>
      <c r="O75" s="8" t="n">
        <f aca="false">Pensiones!S64</f>
        <v>0</v>
      </c>
      <c r="P75" s="15" t="n">
        <f aca="false">SUM(N75:O75)</f>
        <v>0</v>
      </c>
      <c r="Q75" s="15" t="n">
        <f aca="false">M75+P75</f>
        <v>159039.446369073</v>
      </c>
      <c r="R75" s="8" t="n">
        <f aca="false">$W$7*12*(N($F$22)*(1+$F$9)^(D75-1)+(1-N($F$22))*(1+N($F$8))^(D75-1))*IF(D75&gt;$F$19,$F$18,1)</f>
        <v>369184.59902021</v>
      </c>
      <c r="S75" s="8" t="n">
        <f aca="false">SUMPRODUCT((Gastos!$H$14:$H$17&lt;=B75)*(Gastos!$H$14:$H$17+Gastos!$I$14:$I$17&gt;B75)*Gastos!$G$14:$G$17*(1+(Gastos!$E$14:$E$17="CRC")*N($F$8)+(Gastos!$E$14:$E$17&lt;&gt;"CRC")*$F$9)^(D75-1))</f>
        <v>0</v>
      </c>
      <c r="T75" s="8" t="n">
        <f aca="false">$W$10*(1+IF($V$10="CRC",N($F$8),$F$9))^(D75-1)</f>
        <v>16781.1181372823</v>
      </c>
      <c r="U75" s="8" t="n">
        <f aca="false">(IF(D75&lt;=$X$11,$W$11*12,0)+IF(Gastos!$G$28="Sí",0,SUMPRODUCT((Gastos!$H$22:$H$26&gt;=B75)*Gastos!$G$22:$G$26)*12)+SUMPRODUCT((Gastos!$H$43:$H$45&lt;=B75)*(Gastos!$H$43:$H$45+Gastos!$I$43:$I$45-1&gt;=B75)*Gastos!$K$43:$K$45))</f>
        <v>0</v>
      </c>
      <c r="V75" s="15" t="n">
        <f aca="false">SUM(R75:U75)</f>
        <v>385965.717157492</v>
      </c>
      <c r="W75" s="8" t="n">
        <f aca="false">SUMPRODUCT((Gastos!$I$33:$I$37=1)*(Gastos!$H$33:$H$37=B75)*Gastos!$G$33:$G$37*(1+(Gastos!$E$33:$E$37="CRC")*N($F$8)+(Gastos!$E$33:$E$37&lt;&gt;"CRC")*$F$9)^(D75-1))+SUMPRODUCT((Gastos!$I$33:$I$37=2)*(Gastos!$H$33:$H$37&lt;=B75)*Gastos!$G$33:$G$37*(1+(Gastos!$E$33:$E$37="CRC")*N($F$8)+(Gastos!$E$33:$E$37&lt;&gt;"CRC")*$F$9)^(D75-1))+SUMPRODUCT(('Retiros del portafolio'!$H$15:$H$18=B75)*'Retiros del portafolio'!$G$15:$G$18*(1+('Retiros del portafolio'!$E$15:$E$18="CRC")*N($F$8)+('Retiros del portafolio'!$E$15:$E$18&lt;&gt;"CRC")*$F$9)^(D75-1))</f>
        <v>33562.2362745645</v>
      </c>
      <c r="X75" s="8" t="n">
        <f aca="false">SUMPRODUCT(('Retiros del portafolio'!$H$6:$H$9=B75)*'Retiros del portafolio'!$G$6:$G$9*(1+('Retiros del portafolio'!$E$6:$E$9="CRC")*N($F$8)+('Retiros del portafolio'!$E$6:$E$9&lt;&gt;"CRC")*$F$9)^(D75-1))</f>
        <v>0</v>
      </c>
      <c r="Y75" s="15" t="n">
        <f aca="false">W75+X75</f>
        <v>33562.2362745645</v>
      </c>
      <c r="Z75" s="15" t="n">
        <f aca="false">V75+Y75</f>
        <v>419527.953432057</v>
      </c>
      <c r="AA75" s="15" t="n">
        <f aca="false">Q75-Z75</f>
        <v>-260488.507062984</v>
      </c>
      <c r="AB75" s="8" t="n">
        <f aca="false">SUMPRODUCT((Desinversiones!$H$6:$H$10=B75)*(Desinversiones!$I$6:$I$10=1)*Desinversiones!$G$6:$G$10*(1+(Desinversiones!$E$6:$E$10="CRC")*N($F$8)+(Desinversiones!$E$6:$E$10&lt;&gt;"CRC")*$F$9)^(D75-1))</f>
        <v>0</v>
      </c>
      <c r="AC75" s="8" t="n">
        <f aca="false">SUMPRODUCT((Desinversiones!$H$6:$H$10=B75)*(Desinversiones!$I$6:$I$10=2)*Desinversiones!$G$6:$G$10*(1+(Desinversiones!$E$6:$E$10="CRC")*N($F$8)+(Desinversiones!$E$6:$E$10&lt;&gt;"CRC")*$F$9)^(D75-1))</f>
        <v>0</v>
      </c>
      <c r="AD75" s="8" t="n">
        <f aca="false">SUMPRODUCT((Desinversiones!$H$6:$H$10=B75)*(Desinversiones!$I$6:$I$10=3)*Desinversiones!$G$6:$G$10*(1+(Desinversiones!$E$6:$E$10="CRC")*N($F$8)+(Desinversiones!$E$6:$E$10&lt;&gt;"CRC")*$F$9)^(D75-1))</f>
        <v>0</v>
      </c>
      <c r="AE75" s="15" t="n">
        <f aca="false">SUM(AB75:AD75)</f>
        <v>0</v>
      </c>
      <c r="AF75" s="15" t="n">
        <f aca="false">AE75</f>
        <v>0</v>
      </c>
      <c r="AG75" s="8" t="n">
        <f aca="false">AJ74</f>
        <v>0</v>
      </c>
      <c r="AH75" s="8" t="n">
        <f aca="false">AG75*$F$13</f>
        <v>0</v>
      </c>
      <c r="AI75" s="15" t="n">
        <f aca="false">AA75+AF75</f>
        <v>-260488.507062984</v>
      </c>
      <c r="AJ75" s="15" t="n">
        <f aca="false">AG75+AH75+AI75+AM75</f>
        <v>0</v>
      </c>
      <c r="AK75" s="8" t="n">
        <f aca="false">AJ75/(1+$F$9)^(D75-1+$F$24/12)</f>
        <v>0</v>
      </c>
      <c r="AL75" s="9" t="n">
        <f aca="false">IF(AG75&lt;=0,0,MAX(0,-AI75)/AG75)</f>
        <v>0</v>
      </c>
      <c r="AM75" s="8" t="n">
        <f aca="false">MAX(0,-(AG75+AH75+AI75))</f>
        <v>260488.507062984</v>
      </c>
    </row>
    <row r="76" customFormat="false" ht="13.8" hidden="false" customHeight="false" outlineLevel="0" collapsed="false">
      <c r="B76" s="13" t="n">
        <f aca="false">B75+1</f>
        <v>2072</v>
      </c>
      <c r="C76" s="13" t="n">
        <f aca="false">C75+1</f>
        <v>92</v>
      </c>
      <c r="D76" s="13" t="n">
        <f aca="false">D75+1</f>
        <v>47</v>
      </c>
      <c r="E76" s="4" t="str">
        <f aca="false">IF(D76&lt;=$F$19,"Acumulación","Retiro")</f>
        <v>Retiro</v>
      </c>
      <c r="F76" s="8" t="n">
        <f aca="false">IF(D76&lt;=$P$7,$N$7*12*(1+IF($M$7="CRC",N($F$8),$F$9))^(D76-1),0)</f>
        <v>0</v>
      </c>
      <c r="G76" s="8" t="n">
        <f aca="false">IF(D76&lt;=$P$8,$N$8*12*(1+IF($M$8="CRC",N($F$8),$F$9))^(D76-1),0)</f>
        <v>0</v>
      </c>
      <c r="H76" s="8" t="n">
        <f aca="false">IF(AND($N$9&gt;0,D76&gt;=$O$9,D76&lt;=$P$9),$N$9*12*(1+IF($M$9="CRC",N($F$8),$F$9))^(D76-1),0)</f>
        <v>77491.4744206056</v>
      </c>
      <c r="I76" s="8" t="n">
        <f aca="false">SUMPRODUCT((Ingresos!$H$14:$H$17&gt;=B76)*Ingresos!$G$14:$G$17*(1+(Ingresos!$E$14:$E$17="CRC")*N($F$8)+(Ingresos!$E$14:$E$17&lt;&gt;"CRC")*$F$9)^(D76-1))*12</f>
        <v>0</v>
      </c>
      <c r="J76" s="8" t="n">
        <f aca="false">IF(AND($N$10&gt;0,D76&gt;=N($O$10)),$N$10*12*(1+IF($M$10="CRC",N($F$8),$F$9))^(N($O$10)-1)*(1+N($F$10))^(D76-N($O$10))*IF(D76=N($O$10),IF(AND(ISNUMBER($F$21),N($F$20)&gt;=$C$30),(12-$F$21)/12,1),1),0)</f>
        <v>57733.9424515944</v>
      </c>
      <c r="K76" s="8" t="n">
        <f aca="false">Pensiones!T65</f>
        <v>12553.8977671245</v>
      </c>
      <c r="L76" s="8" t="n">
        <f aca="false">Pensiones!U65</f>
        <v>14740.4820661339</v>
      </c>
      <c r="M76" s="15" t="n">
        <f aca="false">SUM(F76:L76)</f>
        <v>162519.796705459</v>
      </c>
      <c r="N76" s="8" t="n">
        <f aca="false">SUMPRODUCT((Ingresos!$H$22:$H$26=B76)*Ingresos!$G$22:$G$26*(1+(Ingresos!$E$22:$E$26="CRC")*N($F$8)+(Ingresos!$E$22:$E$26&lt;&gt;"CRC")*$F$9)^(D76-1))</f>
        <v>0</v>
      </c>
      <c r="O76" s="8" t="n">
        <f aca="false">Pensiones!S65</f>
        <v>0</v>
      </c>
      <c r="P76" s="15" t="n">
        <f aca="false">SUM(N76:O76)</f>
        <v>0</v>
      </c>
      <c r="Q76" s="15" t="n">
        <f aca="false">M76+P76</f>
        <v>162519.796705459</v>
      </c>
      <c r="R76" s="8" t="n">
        <f aca="false">$W$7*12*(N($F$22)*(1+$F$9)^(D76-1)+(1-N($F$22))*(1+N($F$8))^(D76-1))*IF(D76&gt;$F$19,$F$18,1)</f>
        <v>383582.798381998</v>
      </c>
      <c r="S76" s="8" t="n">
        <f aca="false">SUMPRODUCT((Gastos!$H$14:$H$17&lt;=B76)*(Gastos!$H$14:$H$17+Gastos!$I$14:$I$17&gt;B76)*Gastos!$G$14:$G$17*(1+(Gastos!$E$14:$E$17="CRC")*N($F$8)+(Gastos!$E$14:$E$17&lt;&gt;"CRC")*$F$9)^(D76-1))</f>
        <v>0</v>
      </c>
      <c r="T76" s="8" t="n">
        <f aca="false">$W$10*(1+IF($V$10="CRC",N($F$8),$F$9))^(D76-1)</f>
        <v>17435.5817446363</v>
      </c>
      <c r="U76" s="8" t="n">
        <f aca="false">(IF(D76&lt;=$X$11,$W$11*12,0)+IF(Gastos!$G$28="Sí",0,SUMPRODUCT((Gastos!$H$22:$H$26&gt;=B76)*Gastos!$G$22:$G$26)*12)+SUMPRODUCT((Gastos!$H$43:$H$45&lt;=B76)*(Gastos!$H$43:$H$45+Gastos!$I$43:$I$45-1&gt;=B76)*Gastos!$K$43:$K$45))</f>
        <v>0</v>
      </c>
      <c r="V76" s="15" t="n">
        <f aca="false">SUM(R76:U76)</f>
        <v>401018.380126634</v>
      </c>
      <c r="W76" s="8" t="n">
        <f aca="false">SUMPRODUCT((Gastos!$I$33:$I$37=1)*(Gastos!$H$33:$H$37=B76)*Gastos!$G$33:$G$37*(1+(Gastos!$E$33:$E$37="CRC")*N($F$8)+(Gastos!$E$33:$E$37&lt;&gt;"CRC")*$F$9)^(D76-1))+SUMPRODUCT((Gastos!$I$33:$I$37=2)*(Gastos!$H$33:$H$37&lt;=B76)*Gastos!$G$33:$G$37*(1+(Gastos!$E$33:$E$37="CRC")*N($F$8)+(Gastos!$E$33:$E$37&lt;&gt;"CRC")*$F$9)^(D76-1))+SUMPRODUCT(('Retiros del portafolio'!$H$15:$H$18=B76)*'Retiros del portafolio'!$G$15:$G$18*(1+('Retiros del portafolio'!$E$15:$E$18="CRC")*N($F$8)+('Retiros del portafolio'!$E$15:$E$18&lt;&gt;"CRC")*$F$9)^(D76-1))</f>
        <v>34871.1634892725</v>
      </c>
      <c r="X76" s="8" t="n">
        <f aca="false">SUMPRODUCT(('Retiros del portafolio'!$H$6:$H$9=B76)*'Retiros del portafolio'!$G$6:$G$9*(1+('Retiros del portafolio'!$E$6:$E$9="CRC")*N($F$8)+('Retiros del portafolio'!$E$6:$E$9&lt;&gt;"CRC")*$F$9)^(D76-1))</f>
        <v>0</v>
      </c>
      <c r="Y76" s="15" t="n">
        <f aca="false">W76+X76</f>
        <v>34871.1634892725</v>
      </c>
      <c r="Z76" s="15" t="n">
        <f aca="false">V76+Y76</f>
        <v>435889.543615907</v>
      </c>
      <c r="AA76" s="15" t="n">
        <f aca="false">Q76-Z76</f>
        <v>-273369.746910448</v>
      </c>
      <c r="AB76" s="8" t="n">
        <f aca="false">SUMPRODUCT((Desinversiones!$H$6:$H$10=B76)*(Desinversiones!$I$6:$I$10=1)*Desinversiones!$G$6:$G$10*(1+(Desinversiones!$E$6:$E$10="CRC")*N($F$8)+(Desinversiones!$E$6:$E$10&lt;&gt;"CRC")*$F$9)^(D76-1))</f>
        <v>0</v>
      </c>
      <c r="AC76" s="8" t="n">
        <f aca="false">SUMPRODUCT((Desinversiones!$H$6:$H$10=B76)*(Desinversiones!$I$6:$I$10=2)*Desinversiones!$G$6:$G$10*(1+(Desinversiones!$E$6:$E$10="CRC")*N($F$8)+(Desinversiones!$E$6:$E$10&lt;&gt;"CRC")*$F$9)^(D76-1))</f>
        <v>0</v>
      </c>
      <c r="AD76" s="8" t="n">
        <f aca="false">SUMPRODUCT((Desinversiones!$H$6:$H$10=B76)*(Desinversiones!$I$6:$I$10=3)*Desinversiones!$G$6:$G$10*(1+(Desinversiones!$E$6:$E$10="CRC")*N($F$8)+(Desinversiones!$E$6:$E$10&lt;&gt;"CRC")*$F$9)^(D76-1))</f>
        <v>0</v>
      </c>
      <c r="AE76" s="15" t="n">
        <f aca="false">SUM(AB76:AD76)</f>
        <v>0</v>
      </c>
      <c r="AF76" s="15" t="n">
        <f aca="false">AE76</f>
        <v>0</v>
      </c>
      <c r="AG76" s="8" t="n">
        <f aca="false">AJ75</f>
        <v>0</v>
      </c>
      <c r="AH76" s="8" t="n">
        <f aca="false">AG76*$F$13</f>
        <v>0</v>
      </c>
      <c r="AI76" s="15" t="n">
        <f aca="false">AA76+AF76</f>
        <v>-273369.746910448</v>
      </c>
      <c r="AJ76" s="15" t="n">
        <f aca="false">AG76+AH76+AI76+AM76</f>
        <v>0</v>
      </c>
      <c r="AK76" s="8" t="n">
        <f aca="false">AJ76/(1+$F$9)^(D76-1+$F$24/12)</f>
        <v>0</v>
      </c>
      <c r="AL76" s="9" t="n">
        <f aca="false">IF(AG76&lt;=0,0,MAX(0,-AI76)/AG76)</f>
        <v>0</v>
      </c>
      <c r="AM76" s="8" t="n">
        <f aca="false">MAX(0,-(AG76+AH76+AI76))</f>
        <v>273369.746910448</v>
      </c>
    </row>
    <row r="77" customFormat="false" ht="13.8" hidden="false" customHeight="false" outlineLevel="0" collapsed="false">
      <c r="B77" s="13" t="n">
        <f aca="false">B76+1</f>
        <v>2073</v>
      </c>
      <c r="C77" s="13" t="n">
        <f aca="false">C76+1</f>
        <v>93</v>
      </c>
      <c r="D77" s="13" t="n">
        <f aca="false">D76+1</f>
        <v>48</v>
      </c>
      <c r="E77" s="4" t="str">
        <f aca="false">IF(D77&lt;=$F$19,"Acumulación","Retiro")</f>
        <v>Retiro</v>
      </c>
      <c r="F77" s="8" t="n">
        <f aca="false">IF(D77&lt;=$P$7,$N$7*12*(1+IF($M$7="CRC",N($F$8),$F$9))^(D77-1),0)</f>
        <v>0</v>
      </c>
      <c r="G77" s="8" t="n">
        <f aca="false">IF(D77&lt;=$P$8,$N$8*12*(1+IF($M$8="CRC",N($F$8),$F$9))^(D77-1),0)</f>
        <v>0</v>
      </c>
      <c r="H77" s="8" t="n">
        <f aca="false">IF(AND($N$9&gt;0,D77&gt;=$O$9,D77&lt;=$P$9),$N$9*12*(1+IF($M$9="CRC",N($F$8),$F$9))^(D77-1),0)</f>
        <v>80513.6419230092</v>
      </c>
      <c r="I77" s="8" t="n">
        <f aca="false">SUMPRODUCT((Ingresos!$H$14:$H$17&gt;=B77)*Ingresos!$G$14:$G$17*(1+(Ingresos!$E$14:$E$17="CRC")*N($F$8)+(Ingresos!$E$14:$E$17&lt;&gt;"CRC")*$F$9)^(D77-1))*12</f>
        <v>0</v>
      </c>
      <c r="J77" s="8" t="n">
        <f aca="false">IF(AND($N$10&gt;0,D77&gt;=N($O$10)),$N$10*12*(1+IF($M$10="CRC",N($F$8),$F$9))^(N($O$10)-1)*(1+N($F$10))^(D77-N($O$10))*IF(D77=N($O$10),IF(AND(ISNUMBER($F$21),N($F$20)&gt;=$C$30),(12-$F$21)/12,1),1),0)</f>
        <v>58311.2818761104</v>
      </c>
      <c r="K77" s="8" t="n">
        <f aca="false">Pensiones!T66</f>
        <v>12553.8977671245</v>
      </c>
      <c r="L77" s="8" t="n">
        <f aca="false">Pensiones!U66</f>
        <v>14740.4820661339</v>
      </c>
      <c r="M77" s="15" t="n">
        <f aca="false">SUM(F77:L77)</f>
        <v>166119.303632378</v>
      </c>
      <c r="N77" s="8" t="n">
        <f aca="false">SUMPRODUCT((Ingresos!$H$22:$H$26=B77)*Ingresos!$G$22:$G$26*(1+(Ingresos!$E$22:$E$26="CRC")*N($F$8)+(Ingresos!$E$22:$E$26&lt;&gt;"CRC")*$F$9)^(D77-1))</f>
        <v>0</v>
      </c>
      <c r="O77" s="8" t="n">
        <f aca="false">Pensiones!S66</f>
        <v>0</v>
      </c>
      <c r="P77" s="15" t="n">
        <f aca="false">SUM(N77:O77)</f>
        <v>0</v>
      </c>
      <c r="Q77" s="15" t="n">
        <f aca="false">M77+P77</f>
        <v>166119.303632378</v>
      </c>
      <c r="R77" s="8" t="n">
        <f aca="false">$W$7*12*(N($F$22)*(1+$F$9)^(D77-1)+(1-N($F$22))*(1+N($F$8))^(D77-1))*IF(D77&gt;$F$19,$F$18,1)</f>
        <v>398542.527518896</v>
      </c>
      <c r="S77" s="8" t="n">
        <f aca="false">SUMPRODUCT((Gastos!$H$14:$H$17&lt;=B77)*(Gastos!$H$14:$H$17+Gastos!$I$14:$I$17&gt;B77)*Gastos!$G$14:$G$17*(1+(Gastos!$E$14:$E$17="CRC")*N($F$8)+(Gastos!$E$14:$E$17&lt;&gt;"CRC")*$F$9)^(D77-1))</f>
        <v>0</v>
      </c>
      <c r="T77" s="8" t="n">
        <f aca="false">$W$10*(1+IF($V$10="CRC",N($F$8),$F$9))^(D77-1)</f>
        <v>18115.5694326771</v>
      </c>
      <c r="U77" s="8" t="n">
        <f aca="false">(IF(D77&lt;=$X$11,$W$11*12,0)+IF(Gastos!$G$28="Sí",0,SUMPRODUCT((Gastos!$H$22:$H$26&gt;=B77)*Gastos!$G$22:$G$26)*12)+SUMPRODUCT((Gastos!$H$43:$H$45&lt;=B77)*(Gastos!$H$43:$H$45+Gastos!$I$43:$I$45-1&gt;=B77)*Gastos!$K$43:$K$45))</f>
        <v>0</v>
      </c>
      <c r="V77" s="15" t="n">
        <f aca="false">SUM(R77:U77)</f>
        <v>416658.096951573</v>
      </c>
      <c r="W77" s="8" t="n">
        <f aca="false">SUMPRODUCT((Gastos!$I$33:$I$37=1)*(Gastos!$H$33:$H$37=B77)*Gastos!$G$33:$G$37*(1+(Gastos!$E$33:$E$37="CRC")*N($F$8)+(Gastos!$E$33:$E$37&lt;&gt;"CRC")*$F$9)^(D77-1))+SUMPRODUCT((Gastos!$I$33:$I$37=2)*(Gastos!$H$33:$H$37&lt;=B77)*Gastos!$G$33:$G$37*(1+(Gastos!$E$33:$E$37="CRC")*N($F$8)+(Gastos!$E$33:$E$37&lt;&gt;"CRC")*$F$9)^(D77-1))+SUMPRODUCT(('Retiros del portafolio'!$H$15:$H$18=B77)*'Retiros del portafolio'!$G$15:$G$18*(1+('Retiros del portafolio'!$E$15:$E$18="CRC")*N($F$8)+('Retiros del portafolio'!$E$15:$E$18&lt;&gt;"CRC")*$F$9)^(D77-1))</f>
        <v>36231.1388653542</v>
      </c>
      <c r="X77" s="8" t="n">
        <f aca="false">SUMPRODUCT(('Retiros del portafolio'!$H$6:$H$9=B77)*'Retiros del portafolio'!$G$6:$G$9*(1+('Retiros del portafolio'!$E$6:$E$9="CRC")*N($F$8)+('Retiros del portafolio'!$E$6:$E$9&lt;&gt;"CRC")*$F$9)^(D77-1))</f>
        <v>0</v>
      </c>
      <c r="Y77" s="15" t="n">
        <f aca="false">W77+X77</f>
        <v>36231.1388653542</v>
      </c>
      <c r="Z77" s="15" t="n">
        <f aca="false">V77+Y77</f>
        <v>452889.235816927</v>
      </c>
      <c r="AA77" s="15" t="n">
        <f aca="false">Q77-Z77</f>
        <v>-286769.932184549</v>
      </c>
      <c r="AB77" s="8" t="n">
        <f aca="false">SUMPRODUCT((Desinversiones!$H$6:$H$10=B77)*(Desinversiones!$I$6:$I$10=1)*Desinversiones!$G$6:$G$10*(1+(Desinversiones!$E$6:$E$10="CRC")*N($F$8)+(Desinversiones!$E$6:$E$10&lt;&gt;"CRC")*$F$9)^(D77-1))</f>
        <v>0</v>
      </c>
      <c r="AC77" s="8" t="n">
        <f aca="false">SUMPRODUCT((Desinversiones!$H$6:$H$10=B77)*(Desinversiones!$I$6:$I$10=2)*Desinversiones!$G$6:$G$10*(1+(Desinversiones!$E$6:$E$10="CRC")*N($F$8)+(Desinversiones!$E$6:$E$10&lt;&gt;"CRC")*$F$9)^(D77-1))</f>
        <v>0</v>
      </c>
      <c r="AD77" s="8" t="n">
        <f aca="false">SUMPRODUCT((Desinversiones!$H$6:$H$10=B77)*(Desinversiones!$I$6:$I$10=3)*Desinversiones!$G$6:$G$10*(1+(Desinversiones!$E$6:$E$10="CRC")*N($F$8)+(Desinversiones!$E$6:$E$10&lt;&gt;"CRC")*$F$9)^(D77-1))</f>
        <v>0</v>
      </c>
      <c r="AE77" s="15" t="n">
        <f aca="false">SUM(AB77:AD77)</f>
        <v>0</v>
      </c>
      <c r="AF77" s="15" t="n">
        <f aca="false">AE77</f>
        <v>0</v>
      </c>
      <c r="AG77" s="8" t="n">
        <f aca="false">AJ76</f>
        <v>0</v>
      </c>
      <c r="AH77" s="8" t="n">
        <f aca="false">AG77*$F$13</f>
        <v>0</v>
      </c>
      <c r="AI77" s="15" t="n">
        <f aca="false">AA77+AF77</f>
        <v>-286769.932184549</v>
      </c>
      <c r="AJ77" s="15" t="n">
        <f aca="false">AG77+AH77+AI77+AM77</f>
        <v>0</v>
      </c>
      <c r="AK77" s="8" t="n">
        <f aca="false">AJ77/(1+$F$9)^(D77-1+$F$24/12)</f>
        <v>0</v>
      </c>
      <c r="AL77" s="9" t="n">
        <f aca="false">IF(AG77&lt;=0,0,MAX(0,-AI77)/AG77)</f>
        <v>0</v>
      </c>
      <c r="AM77" s="8" t="n">
        <f aca="false">MAX(0,-(AG77+AH77+AI77))</f>
        <v>286769.932184549</v>
      </c>
    </row>
    <row r="78" customFormat="false" ht="13.8" hidden="false" customHeight="false" outlineLevel="0" collapsed="false">
      <c r="B78" s="13" t="n">
        <f aca="false">B77+1</f>
        <v>2074</v>
      </c>
      <c r="C78" s="13" t="n">
        <f aca="false">C77+1</f>
        <v>94</v>
      </c>
      <c r="D78" s="13" t="n">
        <f aca="false">D77+1</f>
        <v>49</v>
      </c>
      <c r="E78" s="4" t="str">
        <f aca="false">IF(D78&lt;=$F$19,"Acumulación","Retiro")</f>
        <v>Retiro</v>
      </c>
      <c r="F78" s="8" t="n">
        <f aca="false">IF(D78&lt;=$P$7,$N$7*12*(1+IF($M$7="CRC",N($F$8),$F$9))^(D78-1),0)</f>
        <v>0</v>
      </c>
      <c r="G78" s="8" t="n">
        <f aca="false">IF(D78&lt;=$P$8,$N$8*12*(1+IF($M$8="CRC",N($F$8),$F$9))^(D78-1),0)</f>
        <v>0</v>
      </c>
      <c r="H78" s="8" t="n">
        <f aca="false">IF(AND($N$9&gt;0,D78&gt;=$O$9,D78&lt;=$P$9),$N$9*12*(1+IF($M$9="CRC",N($F$8),$F$9))^(D78-1),0)</f>
        <v>83653.6739580066</v>
      </c>
      <c r="I78" s="8" t="n">
        <f aca="false">SUMPRODUCT((Ingresos!$H$14:$H$17&gt;=B78)*Ingresos!$G$14:$G$17*(1+(Ingresos!$E$14:$E$17="CRC")*N($F$8)+(Ingresos!$E$14:$E$17&lt;&gt;"CRC")*$F$9)^(D78-1))*12</f>
        <v>0</v>
      </c>
      <c r="J78" s="8" t="n">
        <f aca="false">IF(AND($N$10&gt;0,D78&gt;=N($O$10)),$N$10*12*(1+IF($M$10="CRC",N($F$8),$F$9))^(N($O$10)-1)*(1+N($F$10))^(D78-N($O$10))*IF(D78=N($O$10),IF(AND(ISNUMBER($F$21),N($F$20)&gt;=$C$30),(12-$F$21)/12,1),1),0)</f>
        <v>58894.3946948715</v>
      </c>
      <c r="K78" s="8" t="n">
        <f aca="false">Pensiones!T67</f>
        <v>12553.8977671245</v>
      </c>
      <c r="L78" s="8" t="n">
        <f aca="false">Pensiones!U67</f>
        <v>14740.4820661339</v>
      </c>
      <c r="M78" s="15" t="n">
        <f aca="false">SUM(F78:L78)</f>
        <v>169842.448486137</v>
      </c>
      <c r="N78" s="8" t="n">
        <f aca="false">SUMPRODUCT((Ingresos!$H$22:$H$26=B78)*Ingresos!$G$22:$G$26*(1+(Ingresos!$E$22:$E$26="CRC")*N($F$8)+(Ingresos!$E$22:$E$26&lt;&gt;"CRC")*$F$9)^(D78-1))</f>
        <v>0</v>
      </c>
      <c r="O78" s="8" t="n">
        <f aca="false">Pensiones!S67</f>
        <v>0</v>
      </c>
      <c r="P78" s="15" t="n">
        <f aca="false">SUM(N78:O78)</f>
        <v>0</v>
      </c>
      <c r="Q78" s="15" t="n">
        <f aca="false">M78+P78</f>
        <v>169842.448486137</v>
      </c>
      <c r="R78" s="8" t="n">
        <f aca="false">$W$7*12*(N($F$22)*(1+$F$9)^(D78-1)+(1-N($F$22))*(1+N($F$8))^(D78-1))*IF(D78&gt;$F$19,$F$18,1)</f>
        <v>414085.686092133</v>
      </c>
      <c r="S78" s="8" t="n">
        <f aca="false">SUMPRODUCT((Gastos!$H$14:$H$17&lt;=B78)*(Gastos!$H$14:$H$17+Gastos!$I$14:$I$17&gt;B78)*Gastos!$G$14:$G$17*(1+(Gastos!$E$14:$E$17="CRC")*N($F$8)+(Gastos!$E$14:$E$17&lt;&gt;"CRC")*$F$9)^(D78-1))</f>
        <v>0</v>
      </c>
      <c r="T78" s="8" t="n">
        <f aca="false">$W$10*(1+IF($V$10="CRC",N($F$8),$F$9))^(D78-1)</f>
        <v>18822.0766405515</v>
      </c>
      <c r="U78" s="8" t="n">
        <f aca="false">(IF(D78&lt;=$X$11,$W$11*12,0)+IF(Gastos!$G$28="Sí",0,SUMPRODUCT((Gastos!$H$22:$H$26&gt;=B78)*Gastos!$G$22:$G$26)*12)+SUMPRODUCT((Gastos!$H$43:$H$45&lt;=B78)*(Gastos!$H$43:$H$45+Gastos!$I$43:$I$45-1&gt;=B78)*Gastos!$K$43:$K$45))</f>
        <v>0</v>
      </c>
      <c r="V78" s="15" t="n">
        <f aca="false">SUM(R78:U78)</f>
        <v>432907.762732684</v>
      </c>
      <c r="W78" s="8" t="n">
        <f aca="false">SUMPRODUCT((Gastos!$I$33:$I$37=1)*(Gastos!$H$33:$H$37=B78)*Gastos!$G$33:$G$37*(1+(Gastos!$E$33:$E$37="CRC")*N($F$8)+(Gastos!$E$33:$E$37&lt;&gt;"CRC")*$F$9)^(D78-1))+SUMPRODUCT((Gastos!$I$33:$I$37=2)*(Gastos!$H$33:$H$37&lt;=B78)*Gastos!$G$33:$G$37*(1+(Gastos!$E$33:$E$37="CRC")*N($F$8)+(Gastos!$E$33:$E$37&lt;&gt;"CRC")*$F$9)^(D78-1))+SUMPRODUCT(('Retiros del portafolio'!$H$15:$H$18=B78)*'Retiros del portafolio'!$G$15:$G$18*(1+('Retiros del portafolio'!$E$15:$E$18="CRC")*N($F$8)+('Retiros del portafolio'!$E$15:$E$18&lt;&gt;"CRC")*$F$9)^(D78-1))</f>
        <v>37644.153281103</v>
      </c>
      <c r="X78" s="8" t="n">
        <f aca="false">SUMPRODUCT(('Retiros del portafolio'!$H$6:$H$9=B78)*'Retiros del portafolio'!$G$6:$G$9*(1+('Retiros del portafolio'!$E$6:$E$9="CRC")*N($F$8)+('Retiros del portafolio'!$E$6:$E$9&lt;&gt;"CRC")*$F$9)^(D78-1))</f>
        <v>0</v>
      </c>
      <c r="Y78" s="15" t="n">
        <f aca="false">W78+X78</f>
        <v>37644.153281103</v>
      </c>
      <c r="Z78" s="15" t="n">
        <f aca="false">V78+Y78</f>
        <v>470551.916013787</v>
      </c>
      <c r="AA78" s="15" t="n">
        <f aca="false">Q78-Z78</f>
        <v>-300709.467527651</v>
      </c>
      <c r="AB78" s="8" t="n">
        <f aca="false">SUMPRODUCT((Desinversiones!$H$6:$H$10=B78)*(Desinversiones!$I$6:$I$10=1)*Desinversiones!$G$6:$G$10*(1+(Desinversiones!$E$6:$E$10="CRC")*N($F$8)+(Desinversiones!$E$6:$E$10&lt;&gt;"CRC")*$F$9)^(D78-1))</f>
        <v>0</v>
      </c>
      <c r="AC78" s="8" t="n">
        <f aca="false">SUMPRODUCT((Desinversiones!$H$6:$H$10=B78)*(Desinversiones!$I$6:$I$10=2)*Desinversiones!$G$6:$G$10*(1+(Desinversiones!$E$6:$E$10="CRC")*N($F$8)+(Desinversiones!$E$6:$E$10&lt;&gt;"CRC")*$F$9)^(D78-1))</f>
        <v>0</v>
      </c>
      <c r="AD78" s="8" t="n">
        <f aca="false">SUMPRODUCT((Desinversiones!$H$6:$H$10=B78)*(Desinversiones!$I$6:$I$10=3)*Desinversiones!$G$6:$G$10*(1+(Desinversiones!$E$6:$E$10="CRC")*N($F$8)+(Desinversiones!$E$6:$E$10&lt;&gt;"CRC")*$F$9)^(D78-1))</f>
        <v>0</v>
      </c>
      <c r="AE78" s="15" t="n">
        <f aca="false">SUM(AB78:AD78)</f>
        <v>0</v>
      </c>
      <c r="AF78" s="15" t="n">
        <f aca="false">AE78</f>
        <v>0</v>
      </c>
      <c r="AG78" s="8" t="n">
        <f aca="false">AJ77</f>
        <v>0</v>
      </c>
      <c r="AH78" s="8" t="n">
        <f aca="false">AG78*$F$13</f>
        <v>0</v>
      </c>
      <c r="AI78" s="15" t="n">
        <f aca="false">AA78+AF78</f>
        <v>-300709.467527651</v>
      </c>
      <c r="AJ78" s="15" t="n">
        <f aca="false">AG78+AH78+AI78+AM78</f>
        <v>0</v>
      </c>
      <c r="AK78" s="8" t="n">
        <f aca="false">AJ78/(1+$F$9)^(D78-1+$F$24/12)</f>
        <v>0</v>
      </c>
      <c r="AL78" s="9" t="n">
        <f aca="false">IF(AG78&lt;=0,0,MAX(0,-AI78)/AG78)</f>
        <v>0</v>
      </c>
      <c r="AM78" s="8" t="n">
        <f aca="false">MAX(0,-(AG78+AH78+AI78))</f>
        <v>300709.467527651</v>
      </c>
    </row>
    <row r="79" customFormat="false" ht="13.8" hidden="false" customHeight="false" outlineLevel="0" collapsed="false">
      <c r="B79" s="13" t="n">
        <f aca="false">B78+1</f>
        <v>2075</v>
      </c>
      <c r="C79" s="13" t="n">
        <f aca="false">C78+1</f>
        <v>95</v>
      </c>
      <c r="D79" s="13" t="n">
        <f aca="false">D78+1</f>
        <v>50</v>
      </c>
      <c r="E79" s="4" t="str">
        <f aca="false">IF(D79&lt;=$F$19,"Acumulación","Retiro")</f>
        <v>Retiro</v>
      </c>
      <c r="F79" s="8" t="n">
        <f aca="false">IF(D79&lt;=$P$7,$N$7*12*(1+IF($M$7="CRC",N($F$8),$F$9))^(D79-1),0)</f>
        <v>0</v>
      </c>
      <c r="G79" s="8" t="n">
        <f aca="false">IF(D79&lt;=$P$8,$N$8*12*(1+IF($M$8="CRC",N($F$8),$F$9))^(D79-1),0)</f>
        <v>0</v>
      </c>
      <c r="H79" s="8" t="n">
        <f aca="false">IF(AND($N$9&gt;0,D79&gt;=$O$9,D79&lt;=$P$9),$N$9*12*(1+IF($M$9="CRC",N($F$8),$F$9))^(D79-1),0)</f>
        <v>86916.1672423689</v>
      </c>
      <c r="I79" s="8" t="n">
        <f aca="false">SUMPRODUCT((Ingresos!$H$14:$H$17&gt;=B79)*Ingresos!$G$14:$G$17*(1+(Ingresos!$E$14:$E$17="CRC")*N($F$8)+(Ingresos!$E$14:$E$17&lt;&gt;"CRC")*$F$9)^(D79-1))*12</f>
        <v>0</v>
      </c>
      <c r="J79" s="8" t="n">
        <f aca="false">IF(AND($N$10&gt;0,D79&gt;=N($O$10)),$N$10*12*(1+IF($M$10="CRC",N($F$8),$F$9))^(N($O$10)-1)*(1+N($F$10))^(D79-N($O$10))*IF(D79=N($O$10),IF(AND(ISNUMBER($F$21),N($F$20)&gt;=$C$30),(12-$F$21)/12,1),1),0)</f>
        <v>59483.3386418202</v>
      </c>
      <c r="K79" s="8" t="n">
        <f aca="false">Pensiones!T68</f>
        <v>12553.8977671245</v>
      </c>
      <c r="L79" s="8" t="n">
        <f aca="false">Pensiones!U68</f>
        <v>14740.4820661339</v>
      </c>
      <c r="M79" s="15" t="n">
        <f aca="false">SUM(F79:L79)</f>
        <v>173693.885717447</v>
      </c>
      <c r="N79" s="8" t="n">
        <f aca="false">SUMPRODUCT((Ingresos!$H$22:$H$26=B79)*Ingresos!$G$22:$G$26*(1+(Ingresos!$E$22:$E$26="CRC")*N($F$8)+(Ingresos!$E$22:$E$26&lt;&gt;"CRC")*$F$9)^(D79-1))</f>
        <v>0</v>
      </c>
      <c r="O79" s="8" t="n">
        <f aca="false">Pensiones!S68</f>
        <v>0</v>
      </c>
      <c r="P79" s="15" t="n">
        <f aca="false">SUM(N79:O79)</f>
        <v>0</v>
      </c>
      <c r="Q79" s="15" t="n">
        <f aca="false">M79+P79</f>
        <v>173693.885717447</v>
      </c>
      <c r="R79" s="8" t="n">
        <f aca="false">$W$7*12*(N($F$22)*(1+$F$9)^(D79-1)+(1-N($F$22))*(1+N($F$8))^(D79-1))*IF(D79&gt;$F$19,$F$18,1)</f>
        <v>430235.027849726</v>
      </c>
      <c r="S79" s="8" t="n">
        <f aca="false">SUMPRODUCT((Gastos!$H$14:$H$17&lt;=B79)*(Gastos!$H$14:$H$17+Gastos!$I$14:$I$17&gt;B79)*Gastos!$G$14:$G$17*(1+(Gastos!$E$14:$E$17="CRC")*N($F$8)+(Gastos!$E$14:$E$17&lt;&gt;"CRC")*$F$9)^(D79-1))</f>
        <v>0</v>
      </c>
      <c r="T79" s="8" t="n">
        <f aca="false">$W$10*(1+IF($V$10="CRC",N($F$8),$F$9))^(D79-1)</f>
        <v>19556.137629533</v>
      </c>
      <c r="U79" s="8" t="n">
        <f aca="false">(IF(D79&lt;=$X$11,$W$11*12,0)+IF(Gastos!$G$28="Sí",0,SUMPRODUCT((Gastos!$H$22:$H$26&gt;=B79)*Gastos!$G$22:$G$26)*12)+SUMPRODUCT((Gastos!$H$43:$H$45&lt;=B79)*(Gastos!$H$43:$H$45+Gastos!$I$43:$I$45-1&gt;=B79)*Gastos!$K$43:$K$45))</f>
        <v>0</v>
      </c>
      <c r="V79" s="15" t="n">
        <f aca="false">SUM(R79:U79)</f>
        <v>449791.165479259</v>
      </c>
      <c r="W79" s="8" t="n">
        <f aca="false">SUMPRODUCT((Gastos!$I$33:$I$37=1)*(Gastos!$H$33:$H$37=B79)*Gastos!$G$33:$G$37*(1+(Gastos!$E$33:$E$37="CRC")*N($F$8)+(Gastos!$E$33:$E$37&lt;&gt;"CRC")*$F$9)^(D79-1))+SUMPRODUCT((Gastos!$I$33:$I$37=2)*(Gastos!$H$33:$H$37&lt;=B79)*Gastos!$G$33:$G$37*(1+(Gastos!$E$33:$E$37="CRC")*N($F$8)+(Gastos!$E$33:$E$37&lt;&gt;"CRC")*$F$9)^(D79-1))+SUMPRODUCT(('Retiros del portafolio'!$H$15:$H$18=B79)*'Retiros del portafolio'!$G$15:$G$18*(1+('Retiros del portafolio'!$E$15:$E$18="CRC")*N($F$8)+('Retiros del portafolio'!$E$15:$E$18&lt;&gt;"CRC")*$F$9)^(D79-1))</f>
        <v>39112.275259066</v>
      </c>
      <c r="X79" s="8" t="n">
        <f aca="false">SUMPRODUCT(('Retiros del portafolio'!$H$6:$H$9=B79)*'Retiros del portafolio'!$G$6:$G$9*(1+('Retiros del portafolio'!$E$6:$E$9="CRC")*N($F$8)+('Retiros del portafolio'!$E$6:$E$9&lt;&gt;"CRC")*$F$9)^(D79-1))</f>
        <v>0</v>
      </c>
      <c r="Y79" s="15" t="n">
        <f aca="false">W79+X79</f>
        <v>39112.275259066</v>
      </c>
      <c r="Z79" s="15" t="n">
        <f aca="false">V79+Y79</f>
        <v>488903.440738325</v>
      </c>
      <c r="AA79" s="15" t="n">
        <f aca="false">Q79-Z79</f>
        <v>-315209.555020877</v>
      </c>
      <c r="AB79" s="8" t="n">
        <f aca="false">SUMPRODUCT((Desinversiones!$H$6:$H$10=B79)*(Desinversiones!$I$6:$I$10=1)*Desinversiones!$G$6:$G$10*(1+(Desinversiones!$E$6:$E$10="CRC")*N($F$8)+(Desinversiones!$E$6:$E$10&lt;&gt;"CRC")*$F$9)^(D79-1))</f>
        <v>0</v>
      </c>
      <c r="AC79" s="8" t="n">
        <f aca="false">SUMPRODUCT((Desinversiones!$H$6:$H$10=B79)*(Desinversiones!$I$6:$I$10=2)*Desinversiones!$G$6:$G$10*(1+(Desinversiones!$E$6:$E$10="CRC")*N($F$8)+(Desinversiones!$E$6:$E$10&lt;&gt;"CRC")*$F$9)^(D79-1))</f>
        <v>0</v>
      </c>
      <c r="AD79" s="8" t="n">
        <f aca="false">SUMPRODUCT((Desinversiones!$H$6:$H$10=B79)*(Desinversiones!$I$6:$I$10=3)*Desinversiones!$G$6:$G$10*(1+(Desinversiones!$E$6:$E$10="CRC")*N($F$8)+(Desinversiones!$E$6:$E$10&lt;&gt;"CRC")*$F$9)^(D79-1))</f>
        <v>0</v>
      </c>
      <c r="AE79" s="15" t="n">
        <f aca="false">SUM(AB79:AD79)</f>
        <v>0</v>
      </c>
      <c r="AF79" s="15" t="n">
        <f aca="false">AE79</f>
        <v>0</v>
      </c>
      <c r="AG79" s="8" t="n">
        <f aca="false">AJ78</f>
        <v>0</v>
      </c>
      <c r="AH79" s="8" t="n">
        <f aca="false">AG79*$F$13</f>
        <v>0</v>
      </c>
      <c r="AI79" s="15" t="n">
        <f aca="false">AA79+AF79</f>
        <v>-315209.555020877</v>
      </c>
      <c r="AJ79" s="15" t="n">
        <f aca="false">AG79+AH79+AI79+AM79</f>
        <v>0</v>
      </c>
      <c r="AK79" s="8" t="n">
        <f aca="false">AJ79/(1+$F$9)^(D79-1+$F$24/12)</f>
        <v>0</v>
      </c>
      <c r="AL79" s="9" t="n">
        <f aca="false">IF(AG79&lt;=0,0,MAX(0,-AI79)/AG79)</f>
        <v>0</v>
      </c>
      <c r="AM79" s="8" t="n">
        <f aca="false">MAX(0,-(AG79+AH79+AI79))</f>
        <v>315209.555020877</v>
      </c>
    </row>
    <row r="80" customFormat="false" ht="13.8" hidden="false" customHeight="false" outlineLevel="0" collapsed="false"/>
    <row r="81" customFormat="false" ht="57.75" hidden="false" customHeight="true" outlineLevel="0" collapsed="false">
      <c r="B81" s="18" t="s">
        <v>375</v>
      </c>
      <c r="C81" s="18"/>
      <c r="D81" s="18"/>
      <c r="E81" s="18"/>
      <c r="F81" s="18"/>
      <c r="G81" s="18"/>
      <c r="H81" s="18"/>
      <c r="I81" s="18"/>
      <c r="J81" s="18"/>
      <c r="K81" s="18"/>
      <c r="L81" s="18"/>
      <c r="M81" s="18"/>
      <c r="N81" s="18"/>
      <c r="O81" s="18"/>
      <c r="P81" s="18"/>
    </row>
  </sheetData>
  <mergeCells count="85">
    <mergeCell ref="B4:G4"/>
    <mergeCell ref="I4:P4"/>
    <mergeCell ref="R4:X4"/>
    <mergeCell ref="Z4:AE4"/>
    <mergeCell ref="AG4:AO4"/>
    <mergeCell ref="B6:G6"/>
    <mergeCell ref="I6:P6"/>
    <mergeCell ref="R6:X6"/>
    <mergeCell ref="Z6:AE6"/>
    <mergeCell ref="AG6:AJ6"/>
    <mergeCell ref="AL6:AO6"/>
    <mergeCell ref="B7:E7"/>
    <mergeCell ref="I7:K7"/>
    <mergeCell ref="R7:T7"/>
    <mergeCell ref="Z7:AB7"/>
    <mergeCell ref="AG7:AI7"/>
    <mergeCell ref="AL7:AN7"/>
    <mergeCell ref="B8:E8"/>
    <mergeCell ref="I8:K8"/>
    <mergeCell ref="R8:T8"/>
    <mergeCell ref="Z8:AB8"/>
    <mergeCell ref="AG8:AI8"/>
    <mergeCell ref="AL8:AN8"/>
    <mergeCell ref="B9:E9"/>
    <mergeCell ref="I9:K9"/>
    <mergeCell ref="R9:T9"/>
    <mergeCell ref="Z9:AE9"/>
    <mergeCell ref="AG9:AI9"/>
    <mergeCell ref="AL9:AN9"/>
    <mergeCell ref="B10:E10"/>
    <mergeCell ref="I10:K10"/>
    <mergeCell ref="R10:T10"/>
    <mergeCell ref="Z10:AB10"/>
    <mergeCell ref="AG10:AI10"/>
    <mergeCell ref="AL10:AN10"/>
    <mergeCell ref="B11:E11"/>
    <mergeCell ref="I11:K11"/>
    <mergeCell ref="R11:T11"/>
    <mergeCell ref="Z11:AB11"/>
    <mergeCell ref="AG11:AI11"/>
    <mergeCell ref="AL11:AN11"/>
    <mergeCell ref="B12:E12"/>
    <mergeCell ref="I12:K12"/>
    <mergeCell ref="L12:N12"/>
    <mergeCell ref="R12:T12"/>
    <mergeCell ref="Z12:AB12"/>
    <mergeCell ref="AG12:AJ12"/>
    <mergeCell ref="AL12:AN12"/>
    <mergeCell ref="B13:E13"/>
    <mergeCell ref="I13:K13"/>
    <mergeCell ref="L13:N13"/>
    <mergeCell ref="R13:X13"/>
    <mergeCell ref="AG13:AI13"/>
    <mergeCell ref="AL13:AN13"/>
    <mergeCell ref="B14:E14"/>
    <mergeCell ref="I14:P14"/>
    <mergeCell ref="R14:T14"/>
    <mergeCell ref="AG14:AI14"/>
    <mergeCell ref="AL14:AN14"/>
    <mergeCell ref="B15:E15"/>
    <mergeCell ref="I15:K15"/>
    <mergeCell ref="R15:T15"/>
    <mergeCell ref="AG15:AI15"/>
    <mergeCell ref="AL15:AN15"/>
    <mergeCell ref="B16:E16"/>
    <mergeCell ref="I16:K16"/>
    <mergeCell ref="L16:N16"/>
    <mergeCell ref="R16:T16"/>
    <mergeCell ref="B17:G17"/>
    <mergeCell ref="B18:E18"/>
    <mergeCell ref="B19:E19"/>
    <mergeCell ref="B20:E20"/>
    <mergeCell ref="B21:E21"/>
    <mergeCell ref="B22:E22"/>
    <mergeCell ref="B23:E23"/>
    <mergeCell ref="B24:E24"/>
    <mergeCell ref="B27:AM27"/>
    <mergeCell ref="B28:E28"/>
    <mergeCell ref="F28:M28"/>
    <mergeCell ref="N28:P28"/>
    <mergeCell ref="R28:V28"/>
    <mergeCell ref="W28:Y28"/>
    <mergeCell ref="AB28:AE28"/>
    <mergeCell ref="AG28:AM28"/>
    <mergeCell ref="B81:P81"/>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46"/>
  </cols>
  <sheetData>
    <row r="1" customFormat="false" ht="24" hidden="false" customHeight="true" outlineLevel="0" collapsed="false">
      <c r="B1" s="1" t="s">
        <v>376</v>
      </c>
    </row>
    <row r="2" customFormat="false" ht="45.75" hidden="false" customHeight="true" outlineLevel="0" collapsed="false">
      <c r="B2" s="18" t="s">
        <v>377</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378</v>
      </c>
      <c r="C4" s="3"/>
      <c r="D4" s="3"/>
      <c r="E4" s="3"/>
      <c r="F4" s="3"/>
      <c r="G4" s="3"/>
      <c r="H4" s="3"/>
      <c r="I4" s="3"/>
      <c r="J4" s="3"/>
    </row>
    <row r="5" customFormat="false" ht="31.5" hidden="false" customHeight="true" outlineLevel="0" collapsed="false">
      <c r="B5" s="2" t="s">
        <v>379</v>
      </c>
      <c r="C5" s="2" t="s">
        <v>1</v>
      </c>
      <c r="D5" s="2" t="s">
        <v>380</v>
      </c>
      <c r="E5" s="2" t="s">
        <v>280</v>
      </c>
      <c r="F5" s="2" t="s">
        <v>381</v>
      </c>
      <c r="G5" s="2" t="s">
        <v>382</v>
      </c>
      <c r="H5" s="2" t="s">
        <v>282</v>
      </c>
      <c r="I5" s="2" t="s">
        <v>283</v>
      </c>
      <c r="J5" s="2" t="s">
        <v>92</v>
      </c>
    </row>
    <row r="6" customFormat="false" ht="13.8" hidden="false" customHeight="false" outlineLevel="0" collapsed="false">
      <c r="B6" s="13" t="n">
        <v>1</v>
      </c>
      <c r="C6" s="4" t="s">
        <v>291</v>
      </c>
      <c r="D6" s="19" t="n">
        <v>2700000</v>
      </c>
      <c r="E6" s="20" t="s">
        <v>175</v>
      </c>
      <c r="F6" s="21" t="n">
        <f aca="false">IF(E6="CRC",Proyección!$F$7,1)</f>
        <v>450</v>
      </c>
      <c r="G6" s="8" t="n">
        <f aca="false">D6/F6</f>
        <v>6000</v>
      </c>
      <c r="H6" s="13" t="n">
        <v>1</v>
      </c>
      <c r="I6" s="22" t="n">
        <v>14</v>
      </c>
      <c r="J6" s="4" t="s">
        <v>383</v>
      </c>
    </row>
    <row r="7" customFormat="false" ht="13.8" hidden="false" customHeight="false" outlineLevel="0" collapsed="false">
      <c r="B7" s="13" t="n">
        <v>2</v>
      </c>
      <c r="C7" s="4" t="s">
        <v>295</v>
      </c>
      <c r="D7" s="19" t="n">
        <v>0</v>
      </c>
      <c r="E7" s="20" t="s">
        <v>177</v>
      </c>
      <c r="F7" s="21" t="n">
        <f aca="false">IF(E7="CRC",Proyección!$F$7,1)</f>
        <v>1</v>
      </c>
      <c r="G7" s="8" t="n">
        <f aca="false">D7/F7</f>
        <v>0</v>
      </c>
      <c r="H7" s="13" t="n">
        <v>1</v>
      </c>
      <c r="I7" s="22" t="n">
        <v>0</v>
      </c>
      <c r="J7" s="4" t="s">
        <v>384</v>
      </c>
    </row>
    <row r="8" customFormat="false" ht="13.8" hidden="false" customHeight="false" outlineLevel="0" collapsed="false">
      <c r="B8" s="13" t="n">
        <v>3</v>
      </c>
      <c r="C8" s="4" t="s">
        <v>300</v>
      </c>
      <c r="D8" s="19" t="n">
        <v>500000</v>
      </c>
      <c r="E8" s="20" t="s">
        <v>175</v>
      </c>
      <c r="F8" s="21" t="n">
        <f aca="false">IF(E8="CRC",Proyección!$F$7,1)</f>
        <v>450</v>
      </c>
      <c r="G8" s="8" t="n">
        <f aca="false">D8/F8</f>
        <v>1111.11111111111</v>
      </c>
      <c r="H8" s="22" t="n">
        <v>5</v>
      </c>
      <c r="I8" s="22" t="n">
        <v>50</v>
      </c>
      <c r="J8" s="4"/>
    </row>
    <row r="9" customFormat="false" ht="13.8" hidden="false" customHeight="false" outlineLevel="0" collapsed="false">
      <c r="B9" s="15" t="s">
        <v>385</v>
      </c>
      <c r="C9" s="15"/>
      <c r="D9" s="15"/>
      <c r="E9" s="15"/>
      <c r="F9" s="15"/>
      <c r="G9" s="15" t="n">
        <f aca="false">SUM(G6:G8)</f>
        <v>7111.11111111111</v>
      </c>
      <c r="H9" s="15"/>
      <c r="I9" s="15"/>
      <c r="J9" s="15"/>
    </row>
    <row r="10" customFormat="false" ht="30" hidden="false" customHeight="true" outlineLevel="0" collapsed="false">
      <c r="B10" s="18" t="s">
        <v>386</v>
      </c>
      <c r="C10" s="18"/>
      <c r="D10" s="18"/>
      <c r="E10" s="18"/>
      <c r="F10" s="18"/>
      <c r="G10" s="18"/>
      <c r="H10" s="18"/>
      <c r="I10" s="18"/>
      <c r="J10" s="18"/>
    </row>
    <row r="11" customFormat="false" ht="13.8" hidden="false" customHeight="false" outlineLevel="0" collapsed="false"/>
    <row r="12" customFormat="false" ht="21.75" hidden="false" customHeight="true" outlineLevel="0" collapsed="false">
      <c r="B12" s="3" t="s">
        <v>387</v>
      </c>
      <c r="C12" s="3"/>
      <c r="D12" s="3"/>
      <c r="E12" s="3"/>
      <c r="F12" s="3"/>
      <c r="G12" s="3"/>
      <c r="H12" s="3"/>
      <c r="I12" s="3"/>
      <c r="J12" s="3"/>
    </row>
    <row r="13" customFormat="false" ht="31.5" hidden="false" customHeight="true" outlineLevel="0" collapsed="false">
      <c r="B13" s="2" t="s">
        <v>379</v>
      </c>
      <c r="C13" s="2" t="s">
        <v>388</v>
      </c>
      <c r="D13" s="2" t="s">
        <v>389</v>
      </c>
      <c r="E13" s="2" t="s">
        <v>280</v>
      </c>
      <c r="F13" s="2" t="s">
        <v>381</v>
      </c>
      <c r="G13" s="2" t="s">
        <v>382</v>
      </c>
      <c r="H13" s="2" t="s">
        <v>390</v>
      </c>
      <c r="I13" s="2"/>
      <c r="J13" s="2" t="s">
        <v>92</v>
      </c>
    </row>
    <row r="14" customFormat="false" ht="13.8" hidden="false" customHeight="false" outlineLevel="0" collapsed="false">
      <c r="B14" s="13" t="n">
        <v>1</v>
      </c>
      <c r="C14" s="23" t="s">
        <v>391</v>
      </c>
      <c r="D14" s="19" t="n">
        <v>1100</v>
      </c>
      <c r="E14" s="20" t="s">
        <v>177</v>
      </c>
      <c r="F14" s="21" t="n">
        <f aca="false">IF(E14="CRC",Proyección!$F$7,1)</f>
        <v>1</v>
      </c>
      <c r="G14" s="8" t="n">
        <f aca="false">D14/F14</f>
        <v>1100</v>
      </c>
      <c r="H14" s="22" t="n">
        <v>2030</v>
      </c>
      <c r="I14" s="4"/>
      <c r="J14" s="4" t="s">
        <v>392</v>
      </c>
    </row>
    <row r="15" customFormat="false" ht="13.8" hidden="false" customHeight="false" outlineLevel="0" collapsed="false">
      <c r="B15" s="13" t="n">
        <v>2</v>
      </c>
      <c r="C15" s="23"/>
      <c r="D15" s="19"/>
      <c r="E15" s="20"/>
      <c r="F15" s="21" t="n">
        <f aca="false">IF(E15="CRC",Proyección!$F$7,1)</f>
        <v>1</v>
      </c>
      <c r="G15" s="8" t="n">
        <f aca="false">D15/F15</f>
        <v>0</v>
      </c>
      <c r="H15" s="22"/>
      <c r="I15" s="4"/>
      <c r="J15" s="4"/>
    </row>
    <row r="16" customFormat="false" ht="13.8" hidden="false" customHeight="false" outlineLevel="0" collapsed="false">
      <c r="B16" s="13" t="n">
        <v>3</v>
      </c>
      <c r="C16" s="23"/>
      <c r="D16" s="19"/>
      <c r="E16" s="20"/>
      <c r="F16" s="21" t="n">
        <f aca="false">IF(E16="CRC",Proyección!$F$7,1)</f>
        <v>1</v>
      </c>
      <c r="G16" s="8" t="n">
        <f aca="false">D16/F16</f>
        <v>0</v>
      </c>
      <c r="H16" s="22"/>
      <c r="I16" s="4"/>
      <c r="J16" s="4"/>
    </row>
    <row r="17" customFormat="false" ht="13.8" hidden="false" customHeight="false" outlineLevel="0" collapsed="false">
      <c r="B17" s="13" t="n">
        <v>4</v>
      </c>
      <c r="C17" s="23"/>
      <c r="D17" s="19"/>
      <c r="E17" s="20"/>
      <c r="F17" s="21" t="n">
        <f aca="false">IF(E17="CRC",Proyección!$F$7,1)</f>
        <v>1</v>
      </c>
      <c r="G17" s="8" t="n">
        <f aca="false">D17/F17</f>
        <v>0</v>
      </c>
      <c r="H17" s="22"/>
      <c r="I17" s="4"/>
      <c r="J17" s="4"/>
    </row>
    <row r="18" customFormat="false" ht="13.8" hidden="false" customHeight="false" outlineLevel="0" collapsed="false">
      <c r="B18" s="15" t="s">
        <v>393</v>
      </c>
      <c r="C18" s="15"/>
      <c r="D18" s="15"/>
      <c r="E18" s="15"/>
      <c r="F18" s="15"/>
      <c r="G18" s="15" t="n">
        <f aca="false">SUM(G14:G17)</f>
        <v>1100</v>
      </c>
      <c r="H18" s="15"/>
      <c r="I18" s="15"/>
      <c r="J18" s="15"/>
    </row>
    <row r="19" customFormat="false" ht="13.8" hidden="false" customHeight="false" outlineLevel="0" collapsed="false"/>
    <row r="20" customFormat="false" ht="21.75" hidden="false" customHeight="true" outlineLevel="0" collapsed="false">
      <c r="B20" s="3" t="s">
        <v>394</v>
      </c>
      <c r="C20" s="3"/>
      <c r="D20" s="3"/>
      <c r="E20" s="3"/>
      <c r="F20" s="3"/>
      <c r="G20" s="3"/>
      <c r="H20" s="3"/>
      <c r="I20" s="3"/>
      <c r="J20" s="3"/>
    </row>
    <row r="21" customFormat="false" ht="31.5" hidden="false" customHeight="true" outlineLevel="0" collapsed="false">
      <c r="B21" s="2" t="s">
        <v>379</v>
      </c>
      <c r="C21" s="2" t="s">
        <v>1</v>
      </c>
      <c r="D21" s="2" t="s">
        <v>380</v>
      </c>
      <c r="E21" s="2" t="s">
        <v>280</v>
      </c>
      <c r="F21" s="2" t="s">
        <v>381</v>
      </c>
      <c r="G21" s="2" t="s">
        <v>382</v>
      </c>
      <c r="H21" s="2" t="s">
        <v>350</v>
      </c>
      <c r="I21" s="2"/>
      <c r="J21" s="2" t="s">
        <v>92</v>
      </c>
    </row>
    <row r="22" customFormat="false" ht="13.8" hidden="false" customHeight="false" outlineLevel="0" collapsed="false">
      <c r="B22" s="13" t="n">
        <v>1</v>
      </c>
      <c r="C22" s="23" t="s">
        <v>395</v>
      </c>
      <c r="D22" s="19" t="n">
        <v>40000</v>
      </c>
      <c r="E22" s="20" t="s">
        <v>177</v>
      </c>
      <c r="F22" s="21" t="n">
        <f aca="false">IF(E22="CRC",Proyección!$F$7,1)</f>
        <v>1</v>
      </c>
      <c r="G22" s="8" t="n">
        <f aca="false">D22/F22</f>
        <v>40000</v>
      </c>
      <c r="H22" s="22" t="n">
        <v>2028</v>
      </c>
      <c r="I22" s="4"/>
      <c r="J22" s="4"/>
    </row>
    <row r="23" customFormat="false" ht="13.8" hidden="false" customHeight="false" outlineLevel="0" collapsed="false">
      <c r="B23" s="13" t="n">
        <v>2</v>
      </c>
      <c r="C23" s="23" t="s">
        <v>396</v>
      </c>
      <c r="D23" s="19" t="n">
        <v>120000</v>
      </c>
      <c r="E23" s="20" t="s">
        <v>177</v>
      </c>
      <c r="F23" s="21" t="n">
        <f aca="false">IF(E23="CRC",Proyección!$F$7,1)</f>
        <v>1</v>
      </c>
      <c r="G23" s="8" t="n">
        <f aca="false">D23/F23</f>
        <v>120000</v>
      </c>
      <c r="H23" s="22" t="n">
        <v>2032</v>
      </c>
      <c r="I23" s="4"/>
      <c r="J23" s="4"/>
    </row>
    <row r="24" customFormat="false" ht="13.8" hidden="false" customHeight="false" outlineLevel="0" collapsed="false">
      <c r="B24" s="13" t="n">
        <v>3</v>
      </c>
      <c r="C24" s="23"/>
      <c r="D24" s="19"/>
      <c r="E24" s="20"/>
      <c r="F24" s="21" t="n">
        <f aca="false">IF(E24="CRC",Proyección!$F$7,1)</f>
        <v>1</v>
      </c>
      <c r="G24" s="8" t="n">
        <f aca="false">D24/F24</f>
        <v>0</v>
      </c>
      <c r="H24" s="22"/>
      <c r="I24" s="4"/>
      <c r="J24" s="4"/>
    </row>
    <row r="25" customFormat="false" ht="13.8" hidden="false" customHeight="false" outlineLevel="0" collapsed="false">
      <c r="B25" s="13" t="n">
        <v>4</v>
      </c>
      <c r="C25" s="23"/>
      <c r="D25" s="19"/>
      <c r="E25" s="20"/>
      <c r="F25" s="21" t="n">
        <f aca="false">IF(E25="CRC",Proyección!$F$7,1)</f>
        <v>1</v>
      </c>
      <c r="G25" s="8" t="n">
        <f aca="false">D25/F25</f>
        <v>0</v>
      </c>
      <c r="H25" s="22"/>
      <c r="I25" s="4"/>
      <c r="J25" s="4"/>
    </row>
    <row r="26" customFormat="false" ht="13.8" hidden="false" customHeight="false" outlineLevel="0" collapsed="false">
      <c r="B26" s="13" t="n">
        <v>5</v>
      </c>
      <c r="C26" s="23"/>
      <c r="D26" s="19"/>
      <c r="E26" s="20"/>
      <c r="F26" s="21" t="n">
        <f aca="false">IF(E26="CRC",Proyección!$F$7,1)</f>
        <v>1</v>
      </c>
      <c r="G26" s="8" t="n">
        <f aca="false">D26/F26</f>
        <v>0</v>
      </c>
      <c r="H26" s="22"/>
      <c r="I26" s="4"/>
      <c r="J26" s="4"/>
    </row>
    <row r="27" customFormat="false" ht="13.8" hidden="false" customHeight="false" outlineLevel="0" collapsed="false">
      <c r="B27" s="15" t="s">
        <v>397</v>
      </c>
      <c r="C27" s="15"/>
      <c r="D27" s="15"/>
      <c r="E27" s="15"/>
      <c r="F27" s="15"/>
      <c r="G27" s="15" t="n">
        <f aca="false">SUM(G22:G26)</f>
        <v>160000</v>
      </c>
      <c r="H27" s="15"/>
      <c r="I27" s="15"/>
      <c r="J27" s="15"/>
    </row>
    <row r="28" customFormat="false" ht="30" hidden="false" customHeight="true" outlineLevel="0" collapsed="false">
      <c r="B28" s="18" t="s">
        <v>398</v>
      </c>
      <c r="C28" s="18"/>
      <c r="D28" s="18"/>
      <c r="E28" s="18"/>
      <c r="F28" s="18"/>
      <c r="G28" s="18"/>
      <c r="H28" s="18"/>
      <c r="I28" s="18"/>
      <c r="J28" s="18"/>
    </row>
    <row r="29" customFormat="false" ht="13.8" hidden="false" customHeight="false" outlineLevel="0" collapsed="false"/>
    <row r="30" customFormat="false" ht="21.75" hidden="false" customHeight="true" outlineLevel="0" collapsed="false">
      <c r="B30" s="3" t="s">
        <v>399</v>
      </c>
      <c r="C30" s="3"/>
      <c r="D30" s="3"/>
      <c r="E30" s="3"/>
      <c r="F30" s="3"/>
      <c r="G30" s="3"/>
      <c r="H30" s="3"/>
      <c r="I30" s="3"/>
      <c r="J30" s="3"/>
    </row>
    <row r="31" customFormat="false" ht="13.8" hidden="false" customHeight="false" outlineLevel="0" collapsed="false">
      <c r="B31" s="4" t="s">
        <v>293</v>
      </c>
      <c r="C31" s="4"/>
      <c r="D31" s="4"/>
      <c r="E31" s="4"/>
      <c r="F31" s="4"/>
      <c r="G31" s="8" t="n">
        <f aca="false">Proyección!$AJ$7</f>
        <v>5643124.40977774</v>
      </c>
    </row>
    <row r="32" customFormat="false" ht="13.8" hidden="false" customHeight="false" outlineLevel="0" collapsed="false">
      <c r="B32" s="4" t="s">
        <v>298</v>
      </c>
      <c r="C32" s="4"/>
      <c r="D32" s="4"/>
      <c r="E32" s="4"/>
      <c r="F32" s="4"/>
      <c r="G32" s="8" t="n">
        <f aca="false">Proyección!$AJ$8</f>
        <v>283622.368463526</v>
      </c>
    </row>
    <row r="33" customFormat="false" ht="13.8" hidden="false" customHeight="false" outlineLevel="0" collapsed="false">
      <c r="B33" s="15" t="s">
        <v>400</v>
      </c>
      <c r="C33" s="15"/>
      <c r="D33" s="15"/>
      <c r="E33" s="15"/>
      <c r="F33" s="15"/>
      <c r="G33" s="15" t="n">
        <f aca="false">Proyección!$AJ$7+Proyección!$AJ$8</f>
        <v>5926746.77824126</v>
      </c>
    </row>
  </sheetData>
  <mergeCells count="13">
    <mergeCell ref="B2:J2"/>
    <mergeCell ref="B4:J4"/>
    <mergeCell ref="B9:F9"/>
    <mergeCell ref="B10:J10"/>
    <mergeCell ref="B12:J12"/>
    <mergeCell ref="B18:F18"/>
    <mergeCell ref="B20:J20"/>
    <mergeCell ref="B27:F27"/>
    <mergeCell ref="B28:J28"/>
    <mergeCell ref="B30:J30"/>
    <mergeCell ref="B31:F31"/>
    <mergeCell ref="B32:F32"/>
    <mergeCell ref="B33:F33"/>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5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2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401</v>
      </c>
    </row>
    <row r="2" customFormat="false" ht="45.75" hidden="false" customHeight="true" outlineLevel="0" collapsed="false">
      <c r="B2" s="18" t="s">
        <v>402</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403</v>
      </c>
      <c r="C4" s="3"/>
      <c r="D4" s="3"/>
      <c r="E4" s="3"/>
      <c r="F4" s="3"/>
      <c r="G4" s="3"/>
      <c r="H4" s="3"/>
      <c r="I4" s="3"/>
      <c r="J4" s="3"/>
      <c r="K4" s="3"/>
      <c r="L4" s="3"/>
    </row>
    <row r="5" customFormat="false" ht="31.5" hidden="false" customHeight="true" outlineLevel="0" collapsed="false">
      <c r="B5" s="2" t="s">
        <v>379</v>
      </c>
      <c r="C5" s="2" t="s">
        <v>1</v>
      </c>
      <c r="D5" s="2" t="s">
        <v>380</v>
      </c>
      <c r="E5" s="2" t="s">
        <v>280</v>
      </c>
      <c r="F5" s="2" t="s">
        <v>381</v>
      </c>
      <c r="G5" s="2" t="s">
        <v>382</v>
      </c>
      <c r="H5" s="2" t="s">
        <v>404</v>
      </c>
      <c r="I5" s="2" t="s">
        <v>283</v>
      </c>
      <c r="J5" s="2" t="s">
        <v>92</v>
      </c>
      <c r="K5" s="2"/>
      <c r="L5" s="2"/>
    </row>
    <row r="6" customFormat="false" ht="13.8" hidden="false" customHeight="false" outlineLevel="0" collapsed="false">
      <c r="B6" s="13" t="n">
        <v>1</v>
      </c>
      <c r="C6" s="4" t="s">
        <v>176</v>
      </c>
      <c r="D6" s="19" t="n">
        <v>5500</v>
      </c>
      <c r="E6" s="20" t="s">
        <v>177</v>
      </c>
      <c r="F6" s="21" t="n">
        <f aca="false">IF(E6="CRC",Proyección!$F$7,1)</f>
        <v>1</v>
      </c>
      <c r="G6" s="8" t="n">
        <f aca="false">D6/F6</f>
        <v>5500</v>
      </c>
      <c r="H6" s="13" t="s">
        <v>405</v>
      </c>
      <c r="I6" s="4"/>
      <c r="J6" s="4" t="s">
        <v>406</v>
      </c>
      <c r="K6" s="4"/>
      <c r="L6" s="4"/>
    </row>
    <row r="7" customFormat="false" ht="13.8" hidden="false" customHeight="false" outlineLevel="0" collapsed="false">
      <c r="B7" s="13" t="n">
        <v>2</v>
      </c>
      <c r="C7" s="4" t="s">
        <v>306</v>
      </c>
      <c r="D7" s="19" t="n">
        <v>3000</v>
      </c>
      <c r="E7" s="20" t="s">
        <v>177</v>
      </c>
      <c r="F7" s="21" t="n">
        <f aca="false">IF(E7="CRC",Proyección!$F$7,1)</f>
        <v>1</v>
      </c>
      <c r="G7" s="8" t="n">
        <f aca="false">D7/F7</f>
        <v>3000</v>
      </c>
      <c r="H7" s="13" t="s">
        <v>407</v>
      </c>
      <c r="I7" s="4"/>
      <c r="J7" s="4"/>
      <c r="K7" s="4"/>
      <c r="L7" s="4"/>
    </row>
    <row r="8" customFormat="false" ht="13.8" hidden="false" customHeight="false" outlineLevel="0" collapsed="false">
      <c r="B8" s="13" t="n">
        <v>3</v>
      </c>
      <c r="C8" s="4" t="s">
        <v>226</v>
      </c>
      <c r="D8" s="19" t="n">
        <v>1200</v>
      </c>
      <c r="E8" s="20" t="s">
        <v>177</v>
      </c>
      <c r="F8" s="21" t="n">
        <f aca="false">IF(E8="CRC",Proyección!$F$7,1)</f>
        <v>1</v>
      </c>
      <c r="G8" s="8" t="n">
        <f aca="false">D8/F8</f>
        <v>1200</v>
      </c>
      <c r="H8" s="13" t="s">
        <v>405</v>
      </c>
      <c r="I8" s="22" t="n">
        <v>15</v>
      </c>
      <c r="J8" s="4" t="s">
        <v>408</v>
      </c>
      <c r="K8" s="4"/>
      <c r="L8" s="4"/>
    </row>
    <row r="9" customFormat="false" ht="13.8" hidden="false" customHeight="false" outlineLevel="0" collapsed="false">
      <c r="B9" s="15" t="s">
        <v>409</v>
      </c>
      <c r="C9" s="15"/>
      <c r="D9" s="15"/>
      <c r="E9" s="15"/>
      <c r="F9" s="15"/>
      <c r="G9" s="15" t="n">
        <f aca="false">SUMIF(H6:H8,"Mensual",G6:G8)</f>
        <v>6700</v>
      </c>
      <c r="H9" s="15"/>
      <c r="I9" s="15"/>
      <c r="J9" s="15"/>
      <c r="K9" s="15"/>
      <c r="L9" s="15"/>
    </row>
    <row r="10" customFormat="false" ht="13.8" hidden="false" customHeight="false" outlineLevel="0" collapsed="false">
      <c r="B10" s="15" t="s">
        <v>410</v>
      </c>
      <c r="C10" s="15"/>
      <c r="D10" s="15"/>
      <c r="E10" s="15"/>
      <c r="F10" s="15"/>
      <c r="G10" s="15" t="n">
        <f aca="false">SUMIF(H6:H8,"Anual",G6:G8)</f>
        <v>3000</v>
      </c>
      <c r="H10" s="15"/>
      <c r="I10" s="15"/>
      <c r="J10" s="15"/>
      <c r="K10" s="15"/>
      <c r="L10" s="15"/>
    </row>
    <row r="11" customFormat="false" ht="13.8" hidden="false" customHeight="false" outlineLevel="0" collapsed="false"/>
    <row r="12" customFormat="false" ht="21.75" hidden="false" customHeight="true" outlineLevel="0" collapsed="false">
      <c r="B12" s="3" t="s">
        <v>411</v>
      </c>
      <c r="C12" s="3"/>
      <c r="D12" s="3"/>
      <c r="E12" s="3"/>
      <c r="F12" s="3"/>
      <c r="G12" s="3"/>
      <c r="H12" s="3"/>
      <c r="I12" s="3"/>
      <c r="J12" s="3"/>
      <c r="K12" s="3"/>
      <c r="L12" s="3"/>
    </row>
    <row r="13" customFormat="false" ht="31.5" hidden="false" customHeight="true" outlineLevel="0" collapsed="false">
      <c r="B13" s="2" t="s">
        <v>379</v>
      </c>
      <c r="C13" s="2" t="s">
        <v>412</v>
      </c>
      <c r="D13" s="2" t="s">
        <v>413</v>
      </c>
      <c r="E13" s="2" t="s">
        <v>280</v>
      </c>
      <c r="F13" s="2" t="s">
        <v>381</v>
      </c>
      <c r="G13" s="2" t="s">
        <v>382</v>
      </c>
      <c r="H13" s="2" t="s">
        <v>254</v>
      </c>
      <c r="I13" s="2" t="s">
        <v>414</v>
      </c>
      <c r="J13" s="2" t="s">
        <v>92</v>
      </c>
      <c r="K13" s="2"/>
      <c r="L13" s="2"/>
    </row>
    <row r="14" customFormat="false" ht="13.8" hidden="false" customHeight="false" outlineLevel="0" collapsed="false">
      <c r="B14" s="13" t="n">
        <v>1</v>
      </c>
      <c r="C14" s="23" t="s">
        <v>415</v>
      </c>
      <c r="D14" s="19" t="n">
        <v>12000</v>
      </c>
      <c r="E14" s="20" t="s">
        <v>177</v>
      </c>
      <c r="F14" s="21" t="n">
        <f aca="false">IF(E14="CRC",Proyección!$F$7,1)</f>
        <v>1</v>
      </c>
      <c r="G14" s="8" t="n">
        <f aca="false">D14/F14</f>
        <v>12000</v>
      </c>
      <c r="H14" s="22" t="n">
        <v>2030</v>
      </c>
      <c r="I14" s="22" t="n">
        <v>5</v>
      </c>
      <c r="J14" s="4"/>
      <c r="K14" s="4"/>
      <c r="L14" s="4"/>
    </row>
    <row r="15" customFormat="false" ht="13.8" hidden="false" customHeight="false" outlineLevel="0" collapsed="false">
      <c r="B15" s="13" t="n">
        <v>2</v>
      </c>
      <c r="C15" s="23"/>
      <c r="D15" s="19"/>
      <c r="E15" s="20"/>
      <c r="F15" s="21" t="n">
        <f aca="false">IF(E15="CRC",Proyección!$F$7,1)</f>
        <v>1</v>
      </c>
      <c r="G15" s="8" t="n">
        <f aca="false">D15/F15</f>
        <v>0</v>
      </c>
      <c r="H15" s="22"/>
      <c r="I15" s="22"/>
      <c r="J15" s="4"/>
      <c r="K15" s="4"/>
      <c r="L15" s="4"/>
    </row>
    <row r="16" customFormat="false" ht="13.8" hidden="false" customHeight="false" outlineLevel="0" collapsed="false">
      <c r="B16" s="13" t="n">
        <v>3</v>
      </c>
      <c r="C16" s="23"/>
      <c r="D16" s="19"/>
      <c r="E16" s="20"/>
      <c r="F16" s="21" t="n">
        <f aca="false">IF(E16="CRC",Proyección!$F$7,1)</f>
        <v>1</v>
      </c>
      <c r="G16" s="8" t="n">
        <f aca="false">D16/F16</f>
        <v>0</v>
      </c>
      <c r="H16" s="22"/>
      <c r="I16" s="22"/>
      <c r="J16" s="4"/>
      <c r="K16" s="4"/>
      <c r="L16" s="4"/>
    </row>
    <row r="17" customFormat="false" ht="13.8" hidden="false" customHeight="false" outlineLevel="0" collapsed="false">
      <c r="B17" s="13" t="n">
        <v>4</v>
      </c>
      <c r="C17" s="23"/>
      <c r="D17" s="19"/>
      <c r="E17" s="20"/>
      <c r="F17" s="21" t="n">
        <f aca="false">IF(E17="CRC",Proyección!$F$7,1)</f>
        <v>1</v>
      </c>
      <c r="G17" s="8" t="n">
        <f aca="false">D17/F17</f>
        <v>0</v>
      </c>
      <c r="H17" s="22"/>
      <c r="I17" s="22"/>
      <c r="J17" s="4"/>
      <c r="K17" s="4"/>
      <c r="L17" s="4"/>
    </row>
    <row r="18" customFormat="false" ht="13.8" hidden="false" customHeight="false" outlineLevel="0" collapsed="false">
      <c r="B18" s="15" t="s">
        <v>416</v>
      </c>
      <c r="C18" s="15"/>
      <c r="D18" s="15"/>
      <c r="E18" s="15"/>
      <c r="F18" s="15"/>
      <c r="G18" s="15" t="n">
        <f aca="false">SUM(G14:G17)</f>
        <v>12000</v>
      </c>
      <c r="H18" s="15"/>
      <c r="I18" s="15"/>
      <c r="J18" s="15"/>
      <c r="K18" s="15"/>
      <c r="L18" s="15"/>
    </row>
    <row r="19" customFormat="false" ht="13.8" hidden="false" customHeight="false" outlineLevel="0" collapsed="false"/>
    <row r="20" customFormat="false" ht="21.75" hidden="false" customHeight="true" outlineLevel="0" collapsed="false">
      <c r="B20" s="3" t="s">
        <v>417</v>
      </c>
      <c r="C20" s="3"/>
      <c r="D20" s="3"/>
      <c r="E20" s="3"/>
      <c r="F20" s="3"/>
      <c r="G20" s="3"/>
      <c r="H20" s="3"/>
      <c r="I20" s="3"/>
      <c r="J20" s="3"/>
      <c r="K20" s="3"/>
      <c r="L20" s="3"/>
    </row>
    <row r="21" customFormat="false" ht="31.5" hidden="false" customHeight="true" outlineLevel="0" collapsed="false">
      <c r="B21" s="2" t="s">
        <v>379</v>
      </c>
      <c r="C21" s="2" t="s">
        <v>418</v>
      </c>
      <c r="D21" s="2" t="s">
        <v>419</v>
      </c>
      <c r="E21" s="2" t="s">
        <v>280</v>
      </c>
      <c r="F21" s="2" t="s">
        <v>381</v>
      </c>
      <c r="G21" s="2" t="s">
        <v>382</v>
      </c>
      <c r="H21" s="2" t="s">
        <v>420</v>
      </c>
      <c r="I21" s="2" t="s">
        <v>421</v>
      </c>
      <c r="J21" s="2" t="s">
        <v>422</v>
      </c>
      <c r="K21" s="2" t="s">
        <v>423</v>
      </c>
      <c r="L21" s="2" t="s">
        <v>424</v>
      </c>
    </row>
    <row r="22" customFormat="false" ht="13.8" hidden="false" customHeight="false" outlineLevel="0" collapsed="false">
      <c r="B22" s="13" t="n">
        <v>1</v>
      </c>
      <c r="C22" s="23" t="s">
        <v>425</v>
      </c>
      <c r="D22" s="19" t="n">
        <v>157500</v>
      </c>
      <c r="E22" s="20" t="s">
        <v>175</v>
      </c>
      <c r="F22" s="21" t="n">
        <f aca="false">IF(E22="CRC",Proyección!$F$7,1)</f>
        <v>450</v>
      </c>
      <c r="G22" s="8" t="n">
        <f aca="false">D22/F22</f>
        <v>350</v>
      </c>
      <c r="H22" s="22" t="n">
        <v>2029</v>
      </c>
      <c r="I22" s="19" t="n">
        <v>5400000</v>
      </c>
      <c r="J22" s="20" t="s">
        <v>175</v>
      </c>
      <c r="K22" s="8" t="n">
        <f aca="false">IF(J22="CRC",I22/Proyección!$F$7,N(I22))</f>
        <v>12000</v>
      </c>
      <c r="L22" s="14" t="n">
        <v>0.11</v>
      </c>
    </row>
    <row r="23" customFormat="false" ht="13.8" hidden="false" customHeight="false" outlineLevel="0" collapsed="false">
      <c r="B23" s="13" t="n">
        <v>2</v>
      </c>
      <c r="C23" s="23" t="s">
        <v>426</v>
      </c>
      <c r="D23" s="19" t="n">
        <v>150</v>
      </c>
      <c r="E23" s="20" t="s">
        <v>177</v>
      </c>
      <c r="F23" s="21" t="n">
        <f aca="false">IF(E23="CRC",Proyección!$F$7,1)</f>
        <v>1</v>
      </c>
      <c r="G23" s="8" t="n">
        <f aca="false">D23/F23</f>
        <v>150</v>
      </c>
      <c r="H23" s="22" t="n">
        <v>2027</v>
      </c>
      <c r="I23" s="19" t="n">
        <v>3000</v>
      </c>
      <c r="J23" s="20" t="s">
        <v>177</v>
      </c>
      <c r="K23" s="8" t="n">
        <f aca="false">IF(J23="CRC",I23/Proyección!$F$7,N(I23))</f>
        <v>3000</v>
      </c>
      <c r="L23" s="14" t="n">
        <v>0.32</v>
      </c>
    </row>
    <row r="24" customFormat="false" ht="13.8" hidden="false" customHeight="false" outlineLevel="0" collapsed="false">
      <c r="B24" s="13" t="n">
        <v>3</v>
      </c>
      <c r="C24" s="23"/>
      <c r="D24" s="19"/>
      <c r="E24" s="20"/>
      <c r="F24" s="21" t="n">
        <f aca="false">IF(E24="CRC",Proyección!$F$7,1)</f>
        <v>1</v>
      </c>
      <c r="G24" s="8" t="n">
        <f aca="false">D24/F24</f>
        <v>0</v>
      </c>
      <c r="H24" s="22"/>
      <c r="I24" s="19"/>
      <c r="J24" s="20"/>
      <c r="K24" s="8" t="n">
        <f aca="false">IF(J24="CRC",I24/Proyección!$F$7,N(I24))</f>
        <v>0</v>
      </c>
      <c r="L24" s="14"/>
    </row>
    <row r="25" customFormat="false" ht="13.8" hidden="false" customHeight="false" outlineLevel="0" collapsed="false">
      <c r="B25" s="13" t="n">
        <v>4</v>
      </c>
      <c r="C25" s="23"/>
      <c r="D25" s="19"/>
      <c r="E25" s="20"/>
      <c r="F25" s="21" t="n">
        <f aca="false">IF(E25="CRC",Proyección!$F$7,1)</f>
        <v>1</v>
      </c>
      <c r="G25" s="8" t="n">
        <f aca="false">D25/F25</f>
        <v>0</v>
      </c>
      <c r="H25" s="22"/>
      <c r="I25" s="19"/>
      <c r="J25" s="20"/>
      <c r="K25" s="8" t="n">
        <f aca="false">IF(J25="CRC",I25/Proyección!$F$7,N(I25))</f>
        <v>0</v>
      </c>
      <c r="L25" s="14"/>
    </row>
    <row r="26" customFormat="false" ht="13.8" hidden="false" customHeight="false" outlineLevel="0" collapsed="false">
      <c r="B26" s="13" t="n">
        <v>5</v>
      </c>
      <c r="C26" s="23"/>
      <c r="D26" s="19"/>
      <c r="E26" s="20"/>
      <c r="F26" s="21" t="n">
        <f aca="false">IF(E26="CRC",Proyección!$F$7,1)</f>
        <v>1</v>
      </c>
      <c r="G26" s="8" t="n">
        <f aca="false">D26/F26</f>
        <v>0</v>
      </c>
      <c r="H26" s="22"/>
      <c r="I26" s="19"/>
      <c r="J26" s="20"/>
      <c r="K26" s="8" t="n">
        <f aca="false">IF(J26="CRC",I26/Proyección!$F$7,N(I26))</f>
        <v>0</v>
      </c>
      <c r="L26" s="14"/>
    </row>
    <row r="27" customFormat="false" ht="13.8" hidden="false" customHeight="false" outlineLevel="0" collapsed="false">
      <c r="B27" s="15" t="s">
        <v>427</v>
      </c>
      <c r="C27" s="15"/>
      <c r="D27" s="15"/>
      <c r="E27" s="15"/>
      <c r="F27" s="15"/>
      <c r="G27" s="15" t="n">
        <f aca="false">SUM(G22:G26)</f>
        <v>500</v>
      </c>
      <c r="H27" s="15"/>
      <c r="I27" s="15"/>
      <c r="J27" s="15"/>
      <c r="K27" s="15" t="n">
        <f aca="false">SUM(K22:K26)</f>
        <v>15000</v>
      </c>
      <c r="L27" s="15"/>
    </row>
    <row r="28" customFormat="false" ht="13.8" hidden="false" customHeight="false" outlineLevel="0" collapsed="false">
      <c r="B28" s="4" t="s">
        <v>428</v>
      </c>
      <c r="C28" s="4"/>
      <c r="D28" s="4"/>
      <c r="E28" s="4"/>
      <c r="F28" s="4"/>
      <c r="G28" s="20" t="s">
        <v>429</v>
      </c>
      <c r="H28" s="4"/>
      <c r="I28" s="4"/>
      <c r="J28" s="4"/>
      <c r="K28" s="4"/>
      <c r="L28" s="4"/>
    </row>
    <row r="29" customFormat="false" ht="30" hidden="false" customHeight="true" outlineLevel="0" collapsed="false">
      <c r="B29" s="18" t="s">
        <v>430</v>
      </c>
      <c r="C29" s="18"/>
      <c r="D29" s="18"/>
      <c r="E29" s="18"/>
      <c r="F29" s="18"/>
      <c r="G29" s="18"/>
      <c r="H29" s="18"/>
      <c r="I29" s="18"/>
      <c r="J29" s="18"/>
      <c r="K29" s="18"/>
      <c r="L29" s="18"/>
    </row>
    <row r="30" customFormat="false" ht="13.8" hidden="false" customHeight="false" outlineLevel="0" collapsed="false"/>
    <row r="31" customFormat="false" ht="21.75" hidden="false" customHeight="true" outlineLevel="0" collapsed="false">
      <c r="B31" s="3" t="s">
        <v>431</v>
      </c>
      <c r="C31" s="3"/>
      <c r="D31" s="3"/>
      <c r="E31" s="3"/>
      <c r="F31" s="3"/>
      <c r="G31" s="3"/>
      <c r="H31" s="3"/>
      <c r="I31" s="3"/>
      <c r="J31" s="3"/>
      <c r="K31" s="3"/>
      <c r="L31" s="3"/>
    </row>
    <row r="32" customFormat="false" ht="31.5" hidden="false" customHeight="true" outlineLevel="0" collapsed="false">
      <c r="B32" s="2" t="s">
        <v>379</v>
      </c>
      <c r="C32" s="2" t="s">
        <v>432</v>
      </c>
      <c r="D32" s="2" t="s">
        <v>380</v>
      </c>
      <c r="E32" s="2" t="s">
        <v>280</v>
      </c>
      <c r="F32" s="2" t="s">
        <v>381</v>
      </c>
      <c r="G32" s="2" t="s">
        <v>382</v>
      </c>
      <c r="H32" s="2" t="s">
        <v>350</v>
      </c>
      <c r="I32" s="2" t="s">
        <v>433</v>
      </c>
      <c r="J32" s="2" t="s">
        <v>92</v>
      </c>
      <c r="K32" s="2"/>
      <c r="L32" s="2"/>
    </row>
    <row r="33" customFormat="false" ht="13.8" hidden="false" customHeight="false" outlineLevel="0" collapsed="false">
      <c r="B33" s="13" t="n">
        <v>1</v>
      </c>
      <c r="C33" s="23" t="s">
        <v>434</v>
      </c>
      <c r="D33" s="19" t="n">
        <v>6000</v>
      </c>
      <c r="E33" s="20" t="s">
        <v>177</v>
      </c>
      <c r="F33" s="21" t="n">
        <f aca="false">IF(E33="CRC",Proyección!$F$7,1)</f>
        <v>1</v>
      </c>
      <c r="G33" s="8" t="n">
        <f aca="false">D33/F33</f>
        <v>6000</v>
      </c>
      <c r="H33" s="22" t="n">
        <v>2027</v>
      </c>
      <c r="I33" s="22" t="n">
        <v>2</v>
      </c>
      <c r="J33" s="4" t="s">
        <v>435</v>
      </c>
      <c r="K33" s="4"/>
      <c r="L33" s="4"/>
    </row>
    <row r="34" customFormat="false" ht="13.8" hidden="false" customHeight="false" outlineLevel="0" collapsed="false">
      <c r="B34" s="13" t="n">
        <v>2</v>
      </c>
      <c r="C34" s="23" t="s">
        <v>436</v>
      </c>
      <c r="D34" s="19" t="n">
        <v>15750000</v>
      </c>
      <c r="E34" s="20" t="s">
        <v>175</v>
      </c>
      <c r="F34" s="21" t="n">
        <f aca="false">IF(E34="CRC",Proyección!$F$7,1)</f>
        <v>450</v>
      </c>
      <c r="G34" s="8" t="n">
        <f aca="false">D34/F34</f>
        <v>35000</v>
      </c>
      <c r="H34" s="22" t="n">
        <v>2030</v>
      </c>
      <c r="I34" s="22" t="n">
        <v>1</v>
      </c>
      <c r="J34" s="4" t="s">
        <v>437</v>
      </c>
      <c r="K34" s="4"/>
      <c r="L34" s="4"/>
    </row>
    <row r="35" customFormat="false" ht="13.8" hidden="false" customHeight="false" outlineLevel="0" collapsed="false">
      <c r="B35" s="13" t="n">
        <v>3</v>
      </c>
      <c r="C35" s="23"/>
      <c r="D35" s="19"/>
      <c r="E35" s="20"/>
      <c r="F35" s="21" t="n">
        <f aca="false">IF(E35="CRC",Proyección!$F$7,1)</f>
        <v>1</v>
      </c>
      <c r="G35" s="8" t="n">
        <f aca="false">D35/F35</f>
        <v>0</v>
      </c>
      <c r="H35" s="22"/>
      <c r="I35" s="22"/>
      <c r="J35" s="4"/>
      <c r="K35" s="4"/>
      <c r="L35" s="4"/>
    </row>
    <row r="36" customFormat="false" ht="13.8" hidden="false" customHeight="false" outlineLevel="0" collapsed="false">
      <c r="B36" s="13" t="n">
        <v>4</v>
      </c>
      <c r="C36" s="23"/>
      <c r="D36" s="19"/>
      <c r="E36" s="20"/>
      <c r="F36" s="21" t="n">
        <f aca="false">IF(E36="CRC",Proyección!$F$7,1)</f>
        <v>1</v>
      </c>
      <c r="G36" s="8" t="n">
        <f aca="false">D36/F36</f>
        <v>0</v>
      </c>
      <c r="H36" s="22"/>
      <c r="I36" s="22"/>
      <c r="J36" s="4"/>
      <c r="K36" s="4"/>
      <c r="L36" s="4"/>
    </row>
    <row r="37" customFormat="false" ht="13.8" hidden="false" customHeight="false" outlineLevel="0" collapsed="false">
      <c r="B37" s="13" t="n">
        <v>5</v>
      </c>
      <c r="C37" s="23"/>
      <c r="D37" s="19"/>
      <c r="E37" s="20"/>
      <c r="F37" s="21" t="n">
        <f aca="false">IF(E37="CRC",Proyección!$F$7,1)</f>
        <v>1</v>
      </c>
      <c r="G37" s="8" t="n">
        <f aca="false">D37/F37</f>
        <v>0</v>
      </c>
      <c r="H37" s="22"/>
      <c r="I37" s="22"/>
      <c r="J37" s="4"/>
      <c r="K37" s="4"/>
      <c r="L37" s="4"/>
    </row>
    <row r="38" customFormat="false" ht="13.8" hidden="false" customHeight="false" outlineLevel="0" collapsed="false">
      <c r="B38" s="15" t="s">
        <v>438</v>
      </c>
      <c r="C38" s="15"/>
      <c r="D38" s="15"/>
      <c r="E38" s="15"/>
      <c r="F38" s="15"/>
      <c r="G38" s="15" t="n">
        <f aca="false">SUM(G33:G37)</f>
        <v>41000</v>
      </c>
      <c r="H38" s="15"/>
      <c r="I38" s="15"/>
      <c r="J38" s="15"/>
      <c r="K38" s="15"/>
      <c r="L38" s="15"/>
    </row>
    <row r="39" customFormat="false" ht="30" hidden="false" customHeight="true" outlineLevel="0" collapsed="false">
      <c r="B39" s="18" t="s">
        <v>439</v>
      </c>
      <c r="C39" s="18"/>
      <c r="D39" s="18"/>
      <c r="E39" s="18"/>
      <c r="F39" s="18"/>
      <c r="G39" s="18"/>
      <c r="H39" s="18"/>
      <c r="I39" s="18"/>
      <c r="J39" s="18"/>
      <c r="K39" s="18"/>
      <c r="L39" s="18"/>
    </row>
    <row r="40" customFormat="false" ht="13.8" hidden="false" customHeight="false" outlineLevel="0" collapsed="false"/>
    <row r="41" customFormat="false" ht="21.75" hidden="false" customHeight="true" outlineLevel="0" collapsed="false">
      <c r="B41" s="3" t="s">
        <v>440</v>
      </c>
      <c r="C41" s="3"/>
      <c r="D41" s="3"/>
      <c r="E41" s="3"/>
      <c r="F41" s="3"/>
      <c r="G41" s="3"/>
      <c r="H41" s="3"/>
      <c r="I41" s="3"/>
      <c r="J41" s="3"/>
      <c r="K41" s="3"/>
      <c r="L41" s="3"/>
    </row>
    <row r="42" customFormat="false" ht="31.5" hidden="false" customHeight="true" outlineLevel="0" collapsed="false">
      <c r="B42" s="2" t="s">
        <v>379</v>
      </c>
      <c r="C42" s="2" t="s">
        <v>441</v>
      </c>
      <c r="D42" s="2" t="s">
        <v>380</v>
      </c>
      <c r="E42" s="2" t="s">
        <v>280</v>
      </c>
      <c r="F42" s="2" t="s">
        <v>381</v>
      </c>
      <c r="G42" s="2" t="s">
        <v>382</v>
      </c>
      <c r="H42" s="2" t="s">
        <v>442</v>
      </c>
      <c r="I42" s="2" t="s">
        <v>443</v>
      </c>
      <c r="J42" s="2" t="s">
        <v>444</v>
      </c>
      <c r="K42" s="2" t="s">
        <v>445</v>
      </c>
      <c r="L42" s="2"/>
    </row>
    <row r="43" customFormat="false" ht="13.8" hidden="false" customHeight="false" outlineLevel="0" collapsed="false">
      <c r="B43" s="13" t="n">
        <v>1</v>
      </c>
      <c r="C43" s="23"/>
      <c r="D43" s="19"/>
      <c r="E43" s="20"/>
      <c r="F43" s="21" t="n">
        <f aca="false">IF(E43="CRC",Proyección!$F$7,1)</f>
        <v>1</v>
      </c>
      <c r="G43" s="8" t="n">
        <f aca="false">D43/F43</f>
        <v>0</v>
      </c>
      <c r="H43" s="22"/>
      <c r="I43" s="22"/>
      <c r="J43" s="14"/>
      <c r="K43" s="8" t="n">
        <f aca="false">IF(OR(G43=0,N(I43)=0),0,PMT(N(J43),I43,-G43*(1+IF(E43="CRC",N(Proyección!$F$8),Proyección!$F$9))^(H43-Proyección!$B$30)))</f>
        <v>0</v>
      </c>
      <c r="L43" s="4"/>
    </row>
    <row r="44" customFormat="false" ht="13.8" hidden="false" customHeight="false" outlineLevel="0" collapsed="false">
      <c r="B44" s="13" t="n">
        <v>2</v>
      </c>
      <c r="C44" s="23"/>
      <c r="D44" s="19"/>
      <c r="E44" s="20"/>
      <c r="F44" s="21" t="n">
        <f aca="false">IF(E44="CRC",Proyección!$F$7,1)</f>
        <v>1</v>
      </c>
      <c r="G44" s="8" t="n">
        <f aca="false">D44/F44</f>
        <v>0</v>
      </c>
      <c r="H44" s="22"/>
      <c r="I44" s="22"/>
      <c r="J44" s="14"/>
      <c r="K44" s="8" t="n">
        <f aca="false">IF(OR(G44=0,N(I44)=0),0,PMT(N(J44),I44,-G44*(1+IF(E44="CRC",N(Proyección!$F$8),Proyección!$F$9))^(H44-Proyección!$B$30)))</f>
        <v>0</v>
      </c>
      <c r="L44" s="4"/>
    </row>
    <row r="45" customFormat="false" ht="13.8" hidden="false" customHeight="false" outlineLevel="0" collapsed="false">
      <c r="B45" s="13" t="n">
        <v>3</v>
      </c>
      <c r="C45" s="23"/>
      <c r="D45" s="19"/>
      <c r="E45" s="20"/>
      <c r="F45" s="21" t="n">
        <f aca="false">IF(E45="CRC",Proyección!$F$7,1)</f>
        <v>1</v>
      </c>
      <c r="G45" s="8" t="n">
        <f aca="false">D45/F45</f>
        <v>0</v>
      </c>
      <c r="H45" s="22"/>
      <c r="I45" s="22"/>
      <c r="J45" s="14"/>
      <c r="K45" s="8" t="n">
        <f aca="false">IF(OR(G45=0,N(I45)=0),0,PMT(N(J45),I45,-G45*(1+IF(E45="CRC",N(Proyección!$F$8),Proyección!$F$9))^(H45-Proyección!$B$30)))</f>
        <v>0</v>
      </c>
      <c r="L45" s="4"/>
    </row>
    <row r="46" customFormat="false" ht="13.8" hidden="false" customHeight="false" outlineLevel="0" collapsed="false">
      <c r="B46" s="15" t="s">
        <v>446</v>
      </c>
      <c r="C46" s="15"/>
      <c r="D46" s="15"/>
      <c r="E46" s="15"/>
      <c r="F46" s="15"/>
      <c r="G46" s="15"/>
      <c r="H46" s="15"/>
      <c r="I46" s="15"/>
      <c r="J46" s="15"/>
      <c r="K46" s="15" t="n">
        <f aca="false">SUM(K43:K45)</f>
        <v>0</v>
      </c>
      <c r="L46" s="15"/>
    </row>
    <row r="47" customFormat="false" ht="30" hidden="false" customHeight="true" outlineLevel="0" collapsed="false">
      <c r="B47" s="18" t="s">
        <v>447</v>
      </c>
      <c r="C47" s="18"/>
      <c r="D47" s="18"/>
      <c r="E47" s="18"/>
      <c r="F47" s="18"/>
      <c r="G47" s="18"/>
      <c r="H47" s="18"/>
      <c r="I47" s="18"/>
      <c r="J47" s="18"/>
      <c r="K47" s="18"/>
      <c r="L47" s="18"/>
    </row>
    <row r="48" customFormat="false" ht="13.8" hidden="false" customHeight="false" outlineLevel="0" collapsed="false"/>
    <row r="49" customFormat="false" ht="21.75" hidden="false" customHeight="true" outlineLevel="0" collapsed="false">
      <c r="B49" s="3" t="s">
        <v>399</v>
      </c>
      <c r="C49" s="3"/>
      <c r="D49" s="3"/>
      <c r="E49" s="3"/>
      <c r="F49" s="3"/>
      <c r="G49" s="3"/>
      <c r="H49" s="3"/>
      <c r="I49" s="3"/>
      <c r="J49" s="3"/>
      <c r="K49" s="3"/>
      <c r="L49" s="3"/>
    </row>
    <row r="50" customFormat="false" ht="13.8" hidden="false" customHeight="false" outlineLevel="0" collapsed="false">
      <c r="B50" s="4" t="s">
        <v>303</v>
      </c>
      <c r="C50" s="4"/>
      <c r="D50" s="4"/>
      <c r="E50" s="4"/>
      <c r="F50" s="4"/>
      <c r="G50" s="8" t="n">
        <f aca="false">-Proyección!$AJ$9</f>
        <v>10458609.9323128</v>
      </c>
    </row>
    <row r="51" customFormat="false" ht="13.8" hidden="false" customHeight="false" outlineLevel="0" collapsed="false">
      <c r="B51" s="4" t="s">
        <v>308</v>
      </c>
      <c r="C51" s="4"/>
      <c r="D51" s="4"/>
      <c r="E51" s="4"/>
      <c r="F51" s="4"/>
      <c r="G51" s="8" t="n">
        <f aca="false">-Proyección!$AJ$10</f>
        <v>1031906.10610854</v>
      </c>
    </row>
    <row r="52" customFormat="false" ht="13.8" hidden="false" customHeight="false" outlineLevel="0" collapsed="false">
      <c r="B52" s="15" t="s">
        <v>448</v>
      </c>
      <c r="C52" s="15"/>
      <c r="D52" s="15"/>
      <c r="E52" s="15"/>
      <c r="F52" s="15"/>
      <c r="G52" s="15" t="n">
        <f aca="false">-Proyección!$AJ$9-Proyección!$AJ$10</f>
        <v>11490516.0384213</v>
      </c>
    </row>
  </sheetData>
  <mergeCells count="20">
    <mergeCell ref="B2:L2"/>
    <mergeCell ref="B4:L4"/>
    <mergeCell ref="B9:F9"/>
    <mergeCell ref="B10:F10"/>
    <mergeCell ref="B12:L12"/>
    <mergeCell ref="B18:F18"/>
    <mergeCell ref="B20:L20"/>
    <mergeCell ref="B27:F27"/>
    <mergeCell ref="B28:F28"/>
    <mergeCell ref="B29:L29"/>
    <mergeCell ref="B31:L31"/>
    <mergeCell ref="B38:F38"/>
    <mergeCell ref="B39:L39"/>
    <mergeCell ref="B41:L41"/>
    <mergeCell ref="B46:J46"/>
    <mergeCell ref="B47:L47"/>
    <mergeCell ref="B49:L49"/>
    <mergeCell ref="B50:F50"/>
    <mergeCell ref="B51:F51"/>
    <mergeCell ref="B52:F52"/>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8" min="8" style="0" width="14"/>
    <col collapsed="false" customWidth="true" hidden="false" outlineLevel="0" max="9" min="9" style="0" width="18"/>
    <col collapsed="false" customWidth="true" hidden="false" outlineLevel="0" max="10" min="10" style="0" width="40"/>
  </cols>
  <sheetData>
    <row r="1" customFormat="false" ht="24" hidden="false" customHeight="true" outlineLevel="0" collapsed="false">
      <c r="B1" s="1" t="s">
        <v>449</v>
      </c>
    </row>
    <row r="2" customFormat="false" ht="45.75" hidden="false" customHeight="true" outlineLevel="0" collapsed="false">
      <c r="B2" s="18" t="s">
        <v>450</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451</v>
      </c>
      <c r="C4" s="3"/>
      <c r="D4" s="3"/>
      <c r="E4" s="3"/>
      <c r="F4" s="3"/>
      <c r="G4" s="3"/>
      <c r="H4" s="3"/>
      <c r="I4" s="3"/>
      <c r="J4" s="3"/>
    </row>
    <row r="5" customFormat="false" ht="31.5" hidden="false" customHeight="true" outlineLevel="0" collapsed="false">
      <c r="B5" s="2" t="s">
        <v>379</v>
      </c>
      <c r="C5" s="2" t="s">
        <v>1</v>
      </c>
      <c r="D5" s="2" t="s">
        <v>380</v>
      </c>
      <c r="E5" s="2" t="s">
        <v>280</v>
      </c>
      <c r="F5" s="2" t="s">
        <v>381</v>
      </c>
      <c r="G5" s="2" t="s">
        <v>382</v>
      </c>
      <c r="H5" s="2" t="s">
        <v>92</v>
      </c>
      <c r="I5" s="2"/>
      <c r="J5" s="2"/>
    </row>
    <row r="6" customFormat="false" ht="13.8" hidden="false" customHeight="false" outlineLevel="0" collapsed="false">
      <c r="B6" s="13" t="n">
        <v>1</v>
      </c>
      <c r="C6" s="4" t="s">
        <v>292</v>
      </c>
      <c r="D6" s="19" t="n">
        <v>250000</v>
      </c>
      <c r="E6" s="20" t="s">
        <v>177</v>
      </c>
      <c r="F6" s="21" t="n">
        <f aca="false">IF(E6="CRC",Proyección!$F$7,1)</f>
        <v>1</v>
      </c>
      <c r="G6" s="8" t="n">
        <f aca="false">D6/F6</f>
        <v>250000</v>
      </c>
      <c r="H6" s="4" t="s">
        <v>452</v>
      </c>
      <c r="I6" s="4"/>
      <c r="J6" s="4"/>
    </row>
    <row r="7" customFormat="false" ht="13.8" hidden="false" customHeight="false" outlineLevel="0" collapsed="false">
      <c r="B7" s="4" t="s">
        <v>321</v>
      </c>
      <c r="C7" s="4"/>
      <c r="D7" s="4"/>
      <c r="E7" s="4"/>
      <c r="F7" s="4"/>
      <c r="G7" s="9" t="n">
        <f aca="false">Proyección!$F$13</f>
        <v>0.0585725</v>
      </c>
      <c r="H7" s="4" t="s">
        <v>453</v>
      </c>
      <c r="I7" s="4"/>
      <c r="J7" s="4"/>
    </row>
    <row r="8" customFormat="false" ht="13.8" hidden="false" customHeight="false" outlineLevel="0" collapsed="false"/>
    <row r="9" customFormat="false" ht="21.75" hidden="false" customHeight="true" outlineLevel="0" collapsed="false">
      <c r="B9" s="3" t="s">
        <v>399</v>
      </c>
      <c r="C9" s="3"/>
      <c r="D9" s="3"/>
      <c r="E9" s="3"/>
      <c r="F9" s="3"/>
      <c r="G9" s="3"/>
      <c r="H9" s="3"/>
      <c r="I9" s="3"/>
      <c r="J9" s="3"/>
    </row>
    <row r="10" customFormat="false" ht="13.8" hidden="false" customHeight="false" outlineLevel="0" collapsed="false">
      <c r="B10" s="4" t="s">
        <v>294</v>
      </c>
      <c r="C10" s="4"/>
      <c r="D10" s="4"/>
      <c r="E10" s="4"/>
      <c r="F10" s="4"/>
      <c r="G10" s="8" t="n">
        <f aca="false">Proyección!$AO$7</f>
        <v>250000</v>
      </c>
    </row>
    <row r="11" customFormat="false" ht="13.8" hidden="false" customHeight="false" outlineLevel="0" collapsed="false">
      <c r="B11" s="4" t="s">
        <v>309</v>
      </c>
      <c r="C11" s="4"/>
      <c r="D11" s="4"/>
      <c r="E11" s="4"/>
      <c r="F11" s="4"/>
      <c r="G11" s="8" t="n">
        <f aca="false">Proyección!$AO$10</f>
        <v>1310830.70579279</v>
      </c>
    </row>
    <row r="12" customFormat="false" ht="13.8" hidden="false" customHeight="false" outlineLevel="0" collapsed="false"/>
    <row r="13" customFormat="false" ht="21.75" hidden="false" customHeight="true" outlineLevel="0" collapsed="false">
      <c r="B13" s="3" t="s">
        <v>454</v>
      </c>
      <c r="C13" s="3"/>
      <c r="D13" s="3"/>
      <c r="E13" s="3"/>
      <c r="F13" s="3"/>
      <c r="G13" s="3"/>
      <c r="H13" s="3"/>
      <c r="I13" s="3"/>
      <c r="J13" s="3"/>
    </row>
    <row r="14" customFormat="false" ht="31.5" hidden="false" customHeight="true" outlineLevel="0" collapsed="false">
      <c r="B14" s="2" t="s">
        <v>379</v>
      </c>
      <c r="C14" s="2" t="s">
        <v>455</v>
      </c>
      <c r="D14" s="2" t="s">
        <v>279</v>
      </c>
      <c r="E14" s="2" t="s">
        <v>280</v>
      </c>
      <c r="F14" s="2" t="s">
        <v>381</v>
      </c>
      <c r="G14" s="2" t="s">
        <v>382</v>
      </c>
      <c r="H14" s="2" t="s">
        <v>456</v>
      </c>
      <c r="I14" s="2" t="s">
        <v>457</v>
      </c>
      <c r="J14" s="2" t="s">
        <v>92</v>
      </c>
    </row>
    <row r="15" customFormat="false" ht="13.8" hidden="false" customHeight="false" outlineLevel="0" collapsed="false">
      <c r="B15" s="13" t="n">
        <v>1</v>
      </c>
      <c r="C15" s="23" t="s">
        <v>458</v>
      </c>
      <c r="D15" s="19" t="n">
        <v>180000</v>
      </c>
      <c r="E15" s="20" t="s">
        <v>177</v>
      </c>
      <c r="F15" s="21" t="n">
        <f aca="false">IF(E15="CRC",Proyección!$F$7,1)</f>
        <v>1</v>
      </c>
      <c r="G15" s="8" t="n">
        <f aca="false">D15/F15</f>
        <v>180000</v>
      </c>
      <c r="H15" s="14"/>
      <c r="I15" s="8" t="n">
        <f aca="false">G15*IF(H15="",1,H15)</f>
        <v>180000</v>
      </c>
      <c r="J15" s="4"/>
    </row>
    <row r="16" customFormat="false" ht="13.8" hidden="false" customHeight="false" outlineLevel="0" collapsed="false">
      <c r="B16" s="13" t="n">
        <v>2</v>
      </c>
      <c r="C16" s="23" t="s">
        <v>459</v>
      </c>
      <c r="D16" s="19" t="n">
        <v>900000</v>
      </c>
      <c r="E16" s="20" t="s">
        <v>177</v>
      </c>
      <c r="F16" s="21" t="n">
        <f aca="false">IF(E16="CRC",Proyección!$F$7,1)</f>
        <v>1</v>
      </c>
      <c r="G16" s="8" t="n">
        <f aca="false">D16/F16</f>
        <v>900000</v>
      </c>
      <c r="H16" s="14" t="n">
        <v>1</v>
      </c>
      <c r="I16" s="8" t="n">
        <f aca="false">G16*IF(H16="",1,H16)</f>
        <v>900000</v>
      </c>
      <c r="J16" s="4"/>
    </row>
    <row r="17" customFormat="false" ht="13.8" hidden="false" customHeight="false" outlineLevel="0" collapsed="false">
      <c r="B17" s="13" t="n">
        <v>3</v>
      </c>
      <c r="C17" s="23" t="s">
        <v>460</v>
      </c>
      <c r="D17" s="19" t="n">
        <v>800000</v>
      </c>
      <c r="E17" s="20" t="s">
        <v>177</v>
      </c>
      <c r="F17" s="21" t="n">
        <f aca="false">IF(E17="CRC",Proyección!$F$7,1)</f>
        <v>1</v>
      </c>
      <c r="G17" s="8" t="n">
        <f aca="false">D17/F17</f>
        <v>800000</v>
      </c>
      <c r="H17" s="14"/>
      <c r="I17" s="8" t="n">
        <f aca="false">G17*IF(H17="",1,H17)</f>
        <v>800000</v>
      </c>
      <c r="J17" s="4"/>
    </row>
    <row r="18" customFormat="false" ht="13.8" hidden="false" customHeight="false" outlineLevel="0" collapsed="false">
      <c r="B18" s="13" t="n">
        <v>4</v>
      </c>
      <c r="C18" s="23" t="s">
        <v>461</v>
      </c>
      <c r="D18" s="19" t="n">
        <v>12000000</v>
      </c>
      <c r="E18" s="20" t="s">
        <v>175</v>
      </c>
      <c r="F18" s="21" t="n">
        <f aca="false">IF(E18="CRC",Proyección!$F$7,1)</f>
        <v>450</v>
      </c>
      <c r="G18" s="8" t="n">
        <f aca="false">D18/F18</f>
        <v>26666.6666666667</v>
      </c>
      <c r="H18" s="14"/>
      <c r="I18" s="8" t="n">
        <f aca="false">G18*IF(H18="",1,H18)</f>
        <v>26666.6666666667</v>
      </c>
      <c r="J18" s="4" t="s">
        <v>462</v>
      </c>
    </row>
    <row r="19" customFormat="false" ht="13.8" hidden="false" customHeight="false" outlineLevel="0" collapsed="false">
      <c r="B19" s="13" t="n">
        <v>5</v>
      </c>
      <c r="C19" s="23" t="s">
        <v>463</v>
      </c>
      <c r="D19" s="19" t="n">
        <v>12000000</v>
      </c>
      <c r="E19" s="20" t="s">
        <v>175</v>
      </c>
      <c r="F19" s="21" t="n">
        <f aca="false">IF(E19="CRC",Proyección!$F$7,1)</f>
        <v>450</v>
      </c>
      <c r="G19" s="8" t="n">
        <f aca="false">D19/F19</f>
        <v>26666.6666666667</v>
      </c>
      <c r="H19" s="14"/>
      <c r="I19" s="8" t="n">
        <f aca="false">G19*IF(H19="",1,H19)</f>
        <v>26666.6666666667</v>
      </c>
      <c r="J19" s="4" t="s">
        <v>462</v>
      </c>
    </row>
    <row r="20" customFormat="false" ht="13.8" hidden="false" customHeight="false" outlineLevel="0" collapsed="false">
      <c r="B20" s="13" t="n">
        <v>6</v>
      </c>
      <c r="C20" s="23" t="s">
        <v>464</v>
      </c>
      <c r="D20" s="19" t="n">
        <v>12000000</v>
      </c>
      <c r="E20" s="20" t="s">
        <v>175</v>
      </c>
      <c r="F20" s="21" t="n">
        <f aca="false">IF(E20="CRC",Proyección!$F$7,1)</f>
        <v>450</v>
      </c>
      <c r="G20" s="8" t="n">
        <f aca="false">D20/F20</f>
        <v>26666.6666666667</v>
      </c>
      <c r="H20" s="14"/>
      <c r="I20" s="8" t="n">
        <f aca="false">G20*IF(H20="",1,H20)</f>
        <v>26666.6666666667</v>
      </c>
      <c r="J20" s="4" t="s">
        <v>462</v>
      </c>
    </row>
    <row r="21" customFormat="false" ht="13.8" hidden="false" customHeight="false" outlineLevel="0" collapsed="false">
      <c r="B21" s="13" t="n">
        <v>7</v>
      </c>
      <c r="C21" s="23"/>
      <c r="D21" s="19"/>
      <c r="E21" s="20"/>
      <c r="F21" s="21" t="n">
        <f aca="false">IF(E21="CRC",Proyección!$F$7,1)</f>
        <v>1</v>
      </c>
      <c r="G21" s="8" t="n">
        <f aca="false">D21/F21</f>
        <v>0</v>
      </c>
      <c r="H21" s="14"/>
      <c r="I21" s="8" t="n">
        <f aca="false">G21*IF(H21="",1,H21)</f>
        <v>0</v>
      </c>
      <c r="J21" s="4"/>
    </row>
    <row r="22" customFormat="false" ht="13.8" hidden="false" customHeight="false" outlineLevel="0" collapsed="false">
      <c r="B22" s="13" t="n">
        <v>8</v>
      </c>
      <c r="C22" s="23"/>
      <c r="D22" s="19"/>
      <c r="E22" s="20"/>
      <c r="F22" s="21" t="n">
        <f aca="false">IF(E22="CRC",Proyección!$F$7,1)</f>
        <v>1</v>
      </c>
      <c r="G22" s="8" t="n">
        <f aca="false">D22/F22</f>
        <v>0</v>
      </c>
      <c r="H22" s="14"/>
      <c r="I22" s="8" t="n">
        <f aca="false">G22*IF(H22="",1,H22)</f>
        <v>0</v>
      </c>
      <c r="J22" s="4"/>
    </row>
    <row r="23" customFormat="false" ht="13.8" hidden="false" customHeight="false" outlineLevel="0" collapsed="false">
      <c r="B23" s="13" t="n">
        <v>9</v>
      </c>
      <c r="C23" s="23"/>
      <c r="D23" s="19"/>
      <c r="E23" s="20"/>
      <c r="F23" s="21" t="n">
        <f aca="false">IF(E23="CRC",Proyección!$F$7,1)</f>
        <v>1</v>
      </c>
      <c r="G23" s="8" t="n">
        <f aca="false">D23/F23</f>
        <v>0</v>
      </c>
      <c r="H23" s="14"/>
      <c r="I23" s="8" t="n">
        <f aca="false">G23*IF(H23="",1,H23)</f>
        <v>0</v>
      </c>
      <c r="J23" s="4"/>
    </row>
    <row r="24" customFormat="false" ht="13.8" hidden="false" customHeight="false" outlineLevel="0" collapsed="false">
      <c r="B24" s="15" t="s">
        <v>465</v>
      </c>
      <c r="C24" s="15"/>
      <c r="D24" s="15"/>
      <c r="E24" s="15"/>
      <c r="F24" s="15"/>
      <c r="G24" s="15"/>
      <c r="H24" s="15"/>
      <c r="I24" s="15" t="n">
        <f aca="false">SUM(I15:I23)</f>
        <v>1960000</v>
      </c>
      <c r="J24" s="15"/>
    </row>
  </sheetData>
  <mergeCells count="10">
    <mergeCell ref="B2:J2"/>
    <mergeCell ref="B4:J4"/>
    <mergeCell ref="H6:J6"/>
    <mergeCell ref="B7:F7"/>
    <mergeCell ref="H7:J7"/>
    <mergeCell ref="B9:J9"/>
    <mergeCell ref="B10:F10"/>
    <mergeCell ref="B11:F11"/>
    <mergeCell ref="B13:J13"/>
    <mergeCell ref="B24:H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466</v>
      </c>
    </row>
    <row r="2" customFormat="false" ht="45.75" hidden="false" customHeight="true" outlineLevel="0" collapsed="false">
      <c r="B2" s="18" t="s">
        <v>467</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468</v>
      </c>
      <c r="C4" s="3"/>
      <c r="D4" s="3"/>
      <c r="E4" s="3"/>
      <c r="F4" s="3"/>
      <c r="G4" s="3"/>
      <c r="H4" s="3"/>
      <c r="I4" s="3"/>
      <c r="J4" s="3"/>
      <c r="K4" s="3"/>
      <c r="L4" s="3"/>
    </row>
    <row r="5" customFormat="false" ht="31.5" hidden="false" customHeight="true" outlineLevel="0" collapsed="false">
      <c r="B5" s="2" t="s">
        <v>379</v>
      </c>
      <c r="C5" s="2" t="s">
        <v>469</v>
      </c>
      <c r="D5" s="2" t="s">
        <v>470</v>
      </c>
      <c r="E5" s="2" t="s">
        <v>280</v>
      </c>
      <c r="F5" s="2" t="s">
        <v>381</v>
      </c>
      <c r="G5" s="2" t="s">
        <v>382</v>
      </c>
      <c r="H5" s="2" t="s">
        <v>471</v>
      </c>
      <c r="I5" s="2" t="s">
        <v>472</v>
      </c>
      <c r="J5" s="2" t="s">
        <v>92</v>
      </c>
      <c r="K5" s="2"/>
      <c r="L5" s="2"/>
    </row>
    <row r="6" customFormat="false" ht="13.8" hidden="false" customHeight="false" outlineLevel="0" collapsed="false">
      <c r="B6" s="13" t="n">
        <v>1</v>
      </c>
      <c r="C6" s="23" t="s">
        <v>473</v>
      </c>
      <c r="D6" s="19" t="n">
        <v>180000</v>
      </c>
      <c r="E6" s="20" t="s">
        <v>177</v>
      </c>
      <c r="F6" s="21" t="n">
        <f aca="false">IF(E6="CRC",Proyección!$F$7,1)</f>
        <v>1</v>
      </c>
      <c r="G6" s="8" t="n">
        <f aca="false">D6/F6</f>
        <v>180000</v>
      </c>
      <c r="H6" s="22" t="n">
        <v>2031</v>
      </c>
      <c r="I6" s="22" t="n">
        <v>1</v>
      </c>
      <c r="J6" s="4"/>
      <c r="K6" s="4"/>
      <c r="L6" s="4"/>
    </row>
    <row r="7" customFormat="false" ht="13.8" hidden="false" customHeight="false" outlineLevel="0" collapsed="false">
      <c r="B7" s="13" t="n">
        <v>2</v>
      </c>
      <c r="C7" s="23" t="s">
        <v>474</v>
      </c>
      <c r="D7" s="19" t="n">
        <v>150000</v>
      </c>
      <c r="E7" s="20" t="s">
        <v>177</v>
      </c>
      <c r="F7" s="21" t="n">
        <f aca="false">IF(E7="CRC",Proyección!$F$7,1)</f>
        <v>1</v>
      </c>
      <c r="G7" s="8" t="n">
        <f aca="false">D7/F7</f>
        <v>150000</v>
      </c>
      <c r="H7" s="22" t="n">
        <v>2033</v>
      </c>
      <c r="I7" s="22" t="n">
        <v>3</v>
      </c>
      <c r="J7" s="4"/>
      <c r="K7" s="4"/>
      <c r="L7" s="4"/>
    </row>
    <row r="8" customFormat="false" ht="13.8" hidden="false" customHeight="false" outlineLevel="0" collapsed="false">
      <c r="B8" s="13" t="n">
        <v>3</v>
      </c>
      <c r="C8" s="23"/>
      <c r="D8" s="19"/>
      <c r="E8" s="20"/>
      <c r="F8" s="21" t="n">
        <f aca="false">IF(E8="CRC",Proyección!$F$7,1)</f>
        <v>1</v>
      </c>
      <c r="G8" s="8" t="n">
        <f aca="false">D8/F8</f>
        <v>0</v>
      </c>
      <c r="H8" s="22"/>
      <c r="I8" s="22"/>
      <c r="J8" s="4"/>
      <c r="K8" s="4"/>
      <c r="L8" s="4"/>
    </row>
    <row r="9" customFormat="false" ht="13.8" hidden="false" customHeight="false" outlineLevel="0" collapsed="false">
      <c r="B9" s="13" t="n">
        <v>4</v>
      </c>
      <c r="C9" s="23"/>
      <c r="D9" s="19"/>
      <c r="E9" s="20"/>
      <c r="F9" s="21" t="n">
        <f aca="false">IF(E9="CRC",Proyección!$F$7,1)</f>
        <v>1</v>
      </c>
      <c r="G9" s="8" t="n">
        <f aca="false">D9/F9</f>
        <v>0</v>
      </c>
      <c r="H9" s="22"/>
      <c r="I9" s="22"/>
      <c r="J9" s="4"/>
      <c r="K9" s="4"/>
      <c r="L9" s="4"/>
    </row>
    <row r="10" customFormat="false" ht="13.8" hidden="false" customHeight="false" outlineLevel="0" collapsed="false">
      <c r="B10" s="13" t="n">
        <v>5</v>
      </c>
      <c r="C10" s="23"/>
      <c r="D10" s="19"/>
      <c r="E10" s="20"/>
      <c r="F10" s="21" t="n">
        <f aca="false">IF(E10="CRC",Proyección!$F$7,1)</f>
        <v>1</v>
      </c>
      <c r="G10" s="8" t="n">
        <f aca="false">D10/F10</f>
        <v>0</v>
      </c>
      <c r="H10" s="22"/>
      <c r="I10" s="22"/>
      <c r="J10" s="4"/>
      <c r="K10" s="4"/>
      <c r="L10" s="4"/>
    </row>
    <row r="11" customFormat="false" ht="13.8" hidden="false" customHeight="false" outlineLevel="0" collapsed="false">
      <c r="B11" s="4" t="s">
        <v>475</v>
      </c>
      <c r="C11" s="4"/>
      <c r="D11" s="4"/>
      <c r="E11" s="4"/>
      <c r="F11" s="4"/>
      <c r="G11" s="8" t="n">
        <f aca="false">SUMIF(I6:I10,1,G6:G10)</f>
        <v>180000</v>
      </c>
      <c r="H11" s="4"/>
      <c r="I11" s="4"/>
      <c r="J11" s="4"/>
      <c r="K11" s="4"/>
      <c r="L11" s="4"/>
    </row>
    <row r="12" customFormat="false" ht="13.8" hidden="false" customHeight="false" outlineLevel="0" collapsed="false">
      <c r="B12" s="4" t="s">
        <v>476</v>
      </c>
      <c r="C12" s="4"/>
      <c r="D12" s="4"/>
      <c r="E12" s="4"/>
      <c r="F12" s="4"/>
      <c r="G12" s="8" t="n">
        <f aca="false">SUMIF(I6:I10,2,G6:G10)</f>
        <v>0</v>
      </c>
      <c r="H12" s="4"/>
      <c r="I12" s="4"/>
      <c r="J12" s="4"/>
      <c r="K12" s="4"/>
      <c r="L12" s="4"/>
    </row>
    <row r="13" customFormat="false" ht="13.8" hidden="false" customHeight="false" outlineLevel="0" collapsed="false">
      <c r="B13" s="4" t="s">
        <v>477</v>
      </c>
      <c r="C13" s="4"/>
      <c r="D13" s="4"/>
      <c r="E13" s="4"/>
      <c r="F13" s="4"/>
      <c r="G13" s="8" t="n">
        <f aca="false">SUMIF(I6:I10,3,G6:G10)</f>
        <v>150000</v>
      </c>
      <c r="H13" s="4"/>
      <c r="I13" s="4"/>
      <c r="J13" s="4"/>
      <c r="K13" s="4"/>
      <c r="L13" s="4"/>
    </row>
    <row r="14" customFormat="false" ht="13.8" hidden="false" customHeight="false" outlineLevel="0" collapsed="false">
      <c r="B14" s="15" t="s">
        <v>478</v>
      </c>
      <c r="C14" s="15"/>
      <c r="D14" s="15"/>
      <c r="E14" s="15"/>
      <c r="F14" s="15"/>
      <c r="G14" s="15" t="n">
        <f aca="false">SUM(G6:G10)</f>
        <v>330000</v>
      </c>
      <c r="H14" s="15"/>
      <c r="I14" s="15"/>
      <c r="J14" s="15"/>
      <c r="K14" s="15"/>
      <c r="L14" s="15"/>
    </row>
    <row r="15" customFormat="false" ht="13.8" hidden="false" customHeight="false" outlineLevel="0" collapsed="false"/>
    <row r="16" customFormat="false" ht="21.75" hidden="false" customHeight="true" outlineLevel="0" collapsed="false">
      <c r="B16" s="3" t="s">
        <v>399</v>
      </c>
      <c r="C16" s="3"/>
      <c r="D16" s="3"/>
      <c r="E16" s="3"/>
      <c r="F16" s="3"/>
      <c r="G16" s="3"/>
      <c r="H16" s="3"/>
      <c r="I16" s="3"/>
      <c r="J16" s="3"/>
      <c r="K16" s="3"/>
      <c r="L16" s="3"/>
    </row>
    <row r="17" customFormat="false" ht="13.8" hidden="false" customHeight="false" outlineLevel="0" collapsed="false">
      <c r="B17" s="4" t="s">
        <v>304</v>
      </c>
      <c r="C17" s="4"/>
      <c r="D17" s="4"/>
      <c r="E17" s="4"/>
      <c r="F17" s="4"/>
      <c r="G17" s="8" t="n">
        <f aca="false">Proyección!$AO$9</f>
        <v>414011.680773998</v>
      </c>
    </row>
  </sheetData>
  <mergeCells count="8">
    <mergeCell ref="B2:L2"/>
    <mergeCell ref="B4:L4"/>
    <mergeCell ref="B11:F11"/>
    <mergeCell ref="B12:F12"/>
    <mergeCell ref="B13:F13"/>
    <mergeCell ref="B14:F14"/>
    <mergeCell ref="B16:L16"/>
    <mergeCell ref="B17:F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s>
  <sheetData>
    <row r="1" customFormat="false" ht="24" hidden="false" customHeight="true" outlineLevel="0" collapsed="false">
      <c r="B1" s="1" t="s">
        <v>479</v>
      </c>
    </row>
    <row r="2" customFormat="false" ht="45.75" hidden="false" customHeight="true" outlineLevel="0" collapsed="false">
      <c r="B2" s="18" t="s">
        <v>480</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481</v>
      </c>
      <c r="C4" s="3"/>
      <c r="D4" s="3"/>
      <c r="E4" s="3"/>
      <c r="F4" s="3"/>
      <c r="G4" s="3"/>
      <c r="H4" s="3"/>
      <c r="I4" s="3"/>
      <c r="J4" s="3"/>
    </row>
    <row r="5" customFormat="false" ht="31.5" hidden="false" customHeight="true" outlineLevel="0" collapsed="false">
      <c r="B5" s="2" t="s">
        <v>379</v>
      </c>
      <c r="C5" s="2" t="s">
        <v>441</v>
      </c>
      <c r="D5" s="2" t="s">
        <v>380</v>
      </c>
      <c r="E5" s="2" t="s">
        <v>280</v>
      </c>
      <c r="F5" s="2" t="s">
        <v>381</v>
      </c>
      <c r="G5" s="2" t="s">
        <v>382</v>
      </c>
      <c r="H5" s="2" t="s">
        <v>350</v>
      </c>
      <c r="I5" s="2"/>
      <c r="J5" s="2" t="s">
        <v>482</v>
      </c>
    </row>
    <row r="6" customFormat="false" ht="13.8" hidden="false" customHeight="false" outlineLevel="0" collapsed="false">
      <c r="B6" s="13" t="n">
        <v>1</v>
      </c>
      <c r="C6" s="23" t="s">
        <v>483</v>
      </c>
      <c r="D6" s="19" t="n">
        <v>40000</v>
      </c>
      <c r="E6" s="20" t="s">
        <v>177</v>
      </c>
      <c r="F6" s="21" t="n">
        <f aca="false">IF(E6="CRC",Proyección!$F$7,1)</f>
        <v>1</v>
      </c>
      <c r="G6" s="8" t="n">
        <f aca="false">D6/F6</f>
        <v>40000</v>
      </c>
      <c r="H6" s="22" t="n">
        <v>2031</v>
      </c>
      <c r="I6" s="4"/>
      <c r="J6" s="4" t="s">
        <v>484</v>
      </c>
    </row>
    <row r="7" customFormat="false" ht="13.8" hidden="false" customHeight="false" outlineLevel="0" collapsed="false">
      <c r="B7" s="13" t="n">
        <v>2</v>
      </c>
      <c r="C7" s="23"/>
      <c r="D7" s="19"/>
      <c r="E7" s="20"/>
      <c r="F7" s="21" t="n">
        <f aca="false">IF(E7="CRC",Proyección!$F$7,1)</f>
        <v>1</v>
      </c>
      <c r="G7" s="8" t="n">
        <f aca="false">D7/F7</f>
        <v>0</v>
      </c>
      <c r="H7" s="22"/>
      <c r="I7" s="4"/>
      <c r="J7" s="4"/>
    </row>
    <row r="8" customFormat="false" ht="13.8" hidden="false" customHeight="false" outlineLevel="0" collapsed="false">
      <c r="B8" s="13" t="n">
        <v>3</v>
      </c>
      <c r="C8" s="23"/>
      <c r="D8" s="19"/>
      <c r="E8" s="20"/>
      <c r="F8" s="21" t="n">
        <f aca="false">IF(E8="CRC",Proyección!$F$7,1)</f>
        <v>1</v>
      </c>
      <c r="G8" s="8" t="n">
        <f aca="false">D8/F8</f>
        <v>0</v>
      </c>
      <c r="H8" s="22"/>
      <c r="I8" s="4"/>
      <c r="J8" s="4"/>
    </row>
    <row r="9" customFormat="false" ht="13.8" hidden="false" customHeight="false" outlineLevel="0" collapsed="false">
      <c r="B9" s="13" t="n">
        <v>4</v>
      </c>
      <c r="C9" s="23"/>
      <c r="D9" s="19"/>
      <c r="E9" s="20"/>
      <c r="F9" s="21" t="n">
        <f aca="false">IF(E9="CRC",Proyección!$F$7,1)</f>
        <v>1</v>
      </c>
      <c r="G9" s="8" t="n">
        <f aca="false">D9/F9</f>
        <v>0</v>
      </c>
      <c r="H9" s="22"/>
      <c r="I9" s="4"/>
      <c r="J9" s="4"/>
    </row>
    <row r="10" customFormat="false" ht="13.8" hidden="false" customHeight="false" outlineLevel="0" collapsed="false">
      <c r="B10" s="15" t="s">
        <v>485</v>
      </c>
      <c r="C10" s="15"/>
      <c r="D10" s="15"/>
      <c r="E10" s="15"/>
      <c r="F10" s="15"/>
      <c r="G10" s="15" t="n">
        <f aca="false">SUM(G6:G9)</f>
        <v>40000</v>
      </c>
      <c r="H10" s="15"/>
      <c r="I10" s="15"/>
      <c r="J10" s="15"/>
    </row>
    <row r="11" customFormat="false" ht="30" hidden="false" customHeight="true" outlineLevel="0" collapsed="false">
      <c r="B11" s="18" t="s">
        <v>486</v>
      </c>
      <c r="C11" s="18"/>
      <c r="D11" s="18"/>
      <c r="E11" s="18"/>
      <c r="F11" s="18"/>
      <c r="G11" s="18"/>
      <c r="H11" s="18"/>
      <c r="I11" s="18"/>
      <c r="J11" s="18"/>
    </row>
    <row r="12" customFormat="false" ht="13.8" hidden="false" customHeight="false" outlineLevel="0" collapsed="false"/>
    <row r="13" customFormat="false" ht="21.75" hidden="false" customHeight="true" outlineLevel="0" collapsed="false">
      <c r="B13" s="3" t="s">
        <v>487</v>
      </c>
      <c r="C13" s="3"/>
      <c r="D13" s="3"/>
      <c r="E13" s="3"/>
      <c r="F13" s="3"/>
      <c r="G13" s="3"/>
      <c r="H13" s="3"/>
      <c r="I13" s="3"/>
      <c r="J13" s="3"/>
    </row>
    <row r="14" customFormat="false" ht="31.5" hidden="false" customHeight="true" outlineLevel="0" collapsed="false">
      <c r="B14" s="2" t="s">
        <v>379</v>
      </c>
      <c r="C14" s="2" t="s">
        <v>488</v>
      </c>
      <c r="D14" s="2" t="s">
        <v>380</v>
      </c>
      <c r="E14" s="2" t="s">
        <v>280</v>
      </c>
      <c r="F14" s="2" t="s">
        <v>381</v>
      </c>
      <c r="G14" s="2" t="s">
        <v>382</v>
      </c>
      <c r="H14" s="2" t="s">
        <v>350</v>
      </c>
      <c r="I14" s="2"/>
      <c r="J14" s="2" t="s">
        <v>92</v>
      </c>
    </row>
    <row r="15" customFormat="false" ht="13.8" hidden="false" customHeight="false" outlineLevel="0" collapsed="false">
      <c r="B15" s="13" t="n">
        <v>1</v>
      </c>
      <c r="C15" s="23" t="s">
        <v>489</v>
      </c>
      <c r="D15" s="19" t="n">
        <v>50000</v>
      </c>
      <c r="E15" s="20" t="s">
        <v>177</v>
      </c>
      <c r="F15" s="21" t="n">
        <f aca="false">IF(E15="CRC",Proyección!$F$7,1)</f>
        <v>1</v>
      </c>
      <c r="G15" s="8" t="n">
        <f aca="false">D15/F15</f>
        <v>50000</v>
      </c>
      <c r="H15" s="22" t="n">
        <v>2031</v>
      </c>
      <c r="I15" s="4"/>
      <c r="J15" s="4" t="s">
        <v>490</v>
      </c>
    </row>
    <row r="16" customFormat="false" ht="13.8" hidden="false" customHeight="false" outlineLevel="0" collapsed="false">
      <c r="B16" s="13" t="n">
        <v>2</v>
      </c>
      <c r="C16" s="23"/>
      <c r="D16" s="19"/>
      <c r="E16" s="20"/>
      <c r="F16" s="21" t="n">
        <f aca="false">IF(E16="CRC",Proyección!$F$7,1)</f>
        <v>1</v>
      </c>
      <c r="G16" s="8" t="n">
        <f aca="false">D16/F16</f>
        <v>0</v>
      </c>
      <c r="H16" s="22"/>
      <c r="I16" s="4"/>
      <c r="J16" s="4"/>
    </row>
    <row r="17" customFormat="false" ht="13.8" hidden="false" customHeight="false" outlineLevel="0" collapsed="false">
      <c r="B17" s="13" t="n">
        <v>3</v>
      </c>
      <c r="C17" s="23"/>
      <c r="D17" s="19"/>
      <c r="E17" s="20"/>
      <c r="F17" s="21" t="n">
        <f aca="false">IF(E17="CRC",Proyección!$F$7,1)</f>
        <v>1</v>
      </c>
      <c r="G17" s="8" t="n">
        <f aca="false">D17/F17</f>
        <v>0</v>
      </c>
      <c r="H17" s="22"/>
      <c r="I17" s="4"/>
      <c r="J17" s="4"/>
    </row>
    <row r="18" customFormat="false" ht="13.8" hidden="false" customHeight="false" outlineLevel="0" collapsed="false">
      <c r="B18" s="13" t="n">
        <v>4</v>
      </c>
      <c r="C18" s="23"/>
      <c r="D18" s="19"/>
      <c r="E18" s="20"/>
      <c r="F18" s="21" t="n">
        <f aca="false">IF(E18="CRC",Proyección!$F$7,1)</f>
        <v>1</v>
      </c>
      <c r="G18" s="8" t="n">
        <f aca="false">D18/F18</f>
        <v>0</v>
      </c>
      <c r="H18" s="22"/>
      <c r="I18" s="4"/>
      <c r="J18" s="4"/>
    </row>
    <row r="19" customFormat="false" ht="13.8" hidden="false" customHeight="false" outlineLevel="0" collapsed="false">
      <c r="B19" s="15" t="s">
        <v>491</v>
      </c>
      <c r="C19" s="15"/>
      <c r="D19" s="15"/>
      <c r="E19" s="15"/>
      <c r="F19" s="15"/>
      <c r="G19" s="15" t="n">
        <f aca="false">SUM(G15:G18)</f>
        <v>50000</v>
      </c>
      <c r="H19" s="15"/>
      <c r="I19" s="15"/>
      <c r="J19" s="15"/>
    </row>
    <row r="20" customFormat="false" ht="13.8" hidden="false" customHeight="false" outlineLevel="0" collapsed="false"/>
    <row r="21" customFormat="false" ht="21.75" hidden="false" customHeight="true" outlineLevel="0" collapsed="false">
      <c r="B21" s="3" t="s">
        <v>399</v>
      </c>
      <c r="C21" s="3"/>
      <c r="D21" s="3"/>
      <c r="E21" s="3"/>
      <c r="F21" s="3"/>
      <c r="G21" s="3"/>
      <c r="H21" s="3"/>
      <c r="I21" s="3"/>
      <c r="J21" s="3"/>
    </row>
    <row r="22" customFormat="false" ht="13.8" hidden="false" customHeight="false" outlineLevel="0" collapsed="false">
      <c r="B22" s="4" t="s">
        <v>492</v>
      </c>
      <c r="C22" s="4"/>
      <c r="D22" s="4"/>
      <c r="E22" s="4"/>
      <c r="F22" s="4"/>
      <c r="G22" s="8" t="n">
        <f aca="false">SUM(Proyección!$X$30:$X$79)</f>
        <v>48432.5938971679</v>
      </c>
    </row>
    <row r="23" customFormat="false" ht="13.8" hidden="false" customHeight="false" outlineLevel="0" collapsed="false">
      <c r="B23" s="4" t="s">
        <v>493</v>
      </c>
      <c r="C23" s="4"/>
      <c r="D23" s="4"/>
      <c r="E23" s="4"/>
      <c r="F23" s="4"/>
      <c r="G23" s="8" t="n">
        <v>60541</v>
      </c>
    </row>
    <row r="24" customFormat="false" ht="13.8" hidden="false" customHeight="false" outlineLevel="0" collapsed="false">
      <c r="B24" s="15" t="s">
        <v>494</v>
      </c>
      <c r="C24" s="15"/>
      <c r="D24" s="15"/>
      <c r="E24" s="15"/>
      <c r="F24" s="15"/>
      <c r="G24" s="15" t="n">
        <f aca="false">SUM(G22:G23)</f>
        <v>108973.593897168</v>
      </c>
    </row>
  </sheetData>
  <mergeCells count="10">
    <mergeCell ref="B2:J2"/>
    <mergeCell ref="B4:J4"/>
    <mergeCell ref="B10:F10"/>
    <mergeCell ref="B11:J11"/>
    <mergeCell ref="B13:J13"/>
    <mergeCell ref="B19:F19"/>
    <mergeCell ref="B21:J21"/>
    <mergeCell ref="B22:F22"/>
    <mergeCell ref="B23:F23"/>
    <mergeCell ref="B24:F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U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4" min="3" style="0" width="15"/>
    <col collapsed="false" customWidth="true" hidden="false" outlineLevel="0" max="5" min="5" style="0" width="20"/>
    <col collapsed="false" customWidth="true" hidden="false" outlineLevel="0" max="7" min="6" style="0" width="15"/>
    <col collapsed="false" customWidth="true" hidden="false" outlineLevel="0" max="8" min="8" style="0" width="24"/>
    <col collapsed="false" customWidth="true" hidden="false" outlineLevel="0" max="14" min="9" style="0" width="15"/>
    <col collapsed="false" customWidth="true" hidden="false" outlineLevel="0" max="15" min="15" style="0" width="12"/>
    <col collapsed="false" customWidth="true" hidden="false" outlineLevel="0" max="16" min="16" style="0" width="15"/>
    <col collapsed="false" customWidth="true" hidden="false" outlineLevel="0" max="17" min="17" style="0" width="12"/>
    <col collapsed="false" customWidth="true" hidden="false" outlineLevel="0" max="21" min="18" style="0" width="16"/>
  </cols>
  <sheetData>
    <row r="1" customFormat="false" ht="24" hidden="false" customHeight="true" outlineLevel="0" collapsed="false">
      <c r="B1" s="1" t="s">
        <v>495</v>
      </c>
    </row>
    <row r="2" customFormat="false" ht="42" hidden="false" customHeight="true" outlineLevel="0" collapsed="false">
      <c r="B2" s="18" t="s">
        <v>496</v>
      </c>
      <c r="C2" s="18"/>
      <c r="D2" s="18"/>
      <c r="E2" s="18"/>
      <c r="F2" s="18"/>
      <c r="G2" s="18"/>
      <c r="H2" s="18"/>
      <c r="I2" s="18"/>
      <c r="J2" s="18"/>
      <c r="K2" s="18"/>
      <c r="L2" s="18"/>
      <c r="M2" s="18"/>
    </row>
    <row r="3" customFormat="false" ht="13.8" hidden="false" customHeight="false" outlineLevel="0" collapsed="false"/>
    <row r="4" customFormat="false" ht="19.5" hidden="false" customHeight="true" outlineLevel="0" collapsed="false">
      <c r="B4" s="3" t="s">
        <v>272</v>
      </c>
      <c r="C4" s="3"/>
      <c r="D4" s="3"/>
      <c r="E4" s="3"/>
      <c r="G4" s="3" t="s">
        <v>497</v>
      </c>
      <c r="H4" s="3"/>
      <c r="I4" s="3"/>
      <c r="J4" s="3"/>
      <c r="K4" s="3"/>
      <c r="L4" s="3"/>
      <c r="M4" s="3"/>
    </row>
    <row r="5" customFormat="false" ht="23.85" hidden="false" customHeight="false" outlineLevel="0" collapsed="false">
      <c r="B5" s="4" t="s">
        <v>498</v>
      </c>
      <c r="C5" s="4"/>
      <c r="D5" s="4"/>
      <c r="E5" s="9" t="n">
        <f aca="false">N(Proyección!$F$14)</f>
        <v>0.06</v>
      </c>
      <c r="G5" s="2" t="s">
        <v>1</v>
      </c>
      <c r="H5" s="2" t="s">
        <v>499</v>
      </c>
      <c r="I5" s="2" t="s">
        <v>280</v>
      </c>
      <c r="J5" s="2" t="s">
        <v>381</v>
      </c>
      <c r="K5" s="2" t="s">
        <v>382</v>
      </c>
      <c r="L5" s="2" t="s">
        <v>282</v>
      </c>
      <c r="M5" s="2" t="s">
        <v>92</v>
      </c>
    </row>
    <row r="6" customFormat="false" ht="30" hidden="false" customHeight="true" outlineLevel="0" collapsed="false">
      <c r="B6" s="4" t="s">
        <v>500</v>
      </c>
      <c r="C6" s="4"/>
      <c r="D6" s="4"/>
      <c r="E6" s="9" t="n">
        <f aca="false">N(Proyección!$F$11)</f>
        <v>0.039</v>
      </c>
      <c r="G6" s="5" t="s">
        <v>305</v>
      </c>
      <c r="H6" s="19" t="n">
        <v>800000</v>
      </c>
      <c r="I6" s="20" t="s">
        <v>175</v>
      </c>
      <c r="J6" s="21" t="n">
        <f aca="false">IF(I6="CRC",Proyección!$F$7,1)</f>
        <v>450</v>
      </c>
      <c r="K6" s="8" t="n">
        <f aca="false">H6/J6</f>
        <v>1777.77777777778</v>
      </c>
      <c r="L6" s="13" t="n">
        <f aca="false">MAX(1,N(Proyección!$F$20)-Proyección!$C$30+1)</f>
        <v>20</v>
      </c>
      <c r="M6" s="5" t="str">
        <f aca="false">IF(AND(ISNUMBER(Proyección!$F$21),N(Proyección!$F$20)&gt;=Proyección!$C$30),"Desde el año en que cumple "&amp;Proyección!$F$20&amp;" años; ese año, "&amp;(12-Proyección!$F$21)&amp;" meses","Desde el año en que cumple "&amp;Proyección!$F$20&amp;" años")</f>
        <v>Desde el año en que cumple 65 años; ese año, 7 meses</v>
      </c>
    </row>
    <row r="7" customFormat="false" ht="30" hidden="false" customHeight="true" outlineLevel="0" collapsed="false">
      <c r="B7" s="4" t="s">
        <v>501</v>
      </c>
      <c r="C7" s="4"/>
      <c r="D7" s="4"/>
      <c r="E7" s="13" t="n">
        <f aca="false">Proyección!$F$19</f>
        <v>14</v>
      </c>
      <c r="G7" s="18" t="s">
        <v>502</v>
      </c>
      <c r="H7" s="18"/>
      <c r="I7" s="18"/>
      <c r="J7" s="18"/>
      <c r="K7" s="18"/>
      <c r="L7" s="18"/>
      <c r="M7" s="18"/>
    </row>
    <row r="8" customFormat="false" ht="13.8" hidden="false" customHeight="false" outlineLevel="0" collapsed="false">
      <c r="B8" s="4" t="s">
        <v>503</v>
      </c>
      <c r="C8" s="4"/>
      <c r="D8" s="4"/>
      <c r="E8" s="13" t="n">
        <f aca="false">E7+1</f>
        <v>15</v>
      </c>
      <c r="G8" s="18"/>
      <c r="H8" s="18"/>
      <c r="I8" s="18"/>
      <c r="J8" s="18"/>
      <c r="K8" s="18"/>
      <c r="L8" s="18"/>
      <c r="M8" s="18"/>
    </row>
    <row r="9" customFormat="false" ht="13.8" hidden="false" customHeight="false" outlineLevel="0" collapsed="false">
      <c r="B9" s="4" t="s">
        <v>504</v>
      </c>
      <c r="C9" s="4"/>
      <c r="D9" s="4"/>
      <c r="E9" s="13" t="n">
        <f aca="false">Proyección!$C$30</f>
        <v>46</v>
      </c>
    </row>
    <row r="10" customFormat="false" ht="13.8" hidden="false" customHeight="false" outlineLevel="0" collapsed="false">
      <c r="B10" s="4" t="s">
        <v>505</v>
      </c>
      <c r="C10" s="4"/>
      <c r="D10" s="4"/>
      <c r="E10" s="9" t="n">
        <f aca="false">N(Proyección!$F$12)</f>
        <v>0.039</v>
      </c>
    </row>
    <row r="11" customFormat="false" ht="43.5" hidden="false" customHeight="true" outlineLevel="0" collapsed="false">
      <c r="B11" s="2" t="s">
        <v>506</v>
      </c>
      <c r="C11" s="2" t="s">
        <v>507</v>
      </c>
      <c r="D11" s="2" t="s">
        <v>508</v>
      </c>
      <c r="E11" s="2" t="s">
        <v>509</v>
      </c>
      <c r="F11" s="2" t="s">
        <v>510</v>
      </c>
      <c r="G11" s="2" t="s">
        <v>350</v>
      </c>
      <c r="H11" s="2" t="s">
        <v>511</v>
      </c>
      <c r="I11" s="2" t="s">
        <v>512</v>
      </c>
      <c r="J11" s="2" t="s">
        <v>513</v>
      </c>
      <c r="K11" s="2" t="s">
        <v>514</v>
      </c>
      <c r="L11" s="2" t="s">
        <v>515</v>
      </c>
      <c r="M11" s="2" t="s">
        <v>516</v>
      </c>
      <c r="N11" s="2" t="s">
        <v>421</v>
      </c>
      <c r="O11" s="2" t="s">
        <v>422</v>
      </c>
      <c r="P11" s="2" t="s">
        <v>517</v>
      </c>
      <c r="Q11" s="2" t="s">
        <v>518</v>
      </c>
    </row>
    <row r="12" customFormat="false" ht="31.5" hidden="false" customHeight="true" outlineLevel="0" collapsed="false">
      <c r="B12" s="4" t="s">
        <v>519</v>
      </c>
      <c r="C12" s="8" t="n">
        <f aca="false">IF(O12="CRC",N12/Proyección!$F$7,N12)</f>
        <v>26666.6666666667</v>
      </c>
      <c r="D12" s="8" t="n">
        <f aca="false">Proyección!$N$7*N(Proyección!$F$15)</f>
        <v>255</v>
      </c>
      <c r="E12" s="5" t="s">
        <v>520</v>
      </c>
      <c r="F12" s="13" t="n">
        <f aca="false">MAX(1,N(Proyección!$F$20)-$E$9+1)</f>
        <v>20</v>
      </c>
      <c r="G12" s="13" t="n">
        <f aca="false">Proyección!$B$30+F12-1</f>
        <v>2045</v>
      </c>
      <c r="H12" s="5" t="s">
        <v>521</v>
      </c>
      <c r="I12" s="16" t="n">
        <v>100</v>
      </c>
      <c r="J12" s="8" t="n">
        <f aca="false">SUM(E19:E68)</f>
        <v>53295.8280477653</v>
      </c>
      <c r="K12" s="8" t="n">
        <f aca="false">SUM(F19:F68)</f>
        <v>356654.549538824</v>
      </c>
      <c r="L12" s="8" t="n">
        <v>0</v>
      </c>
      <c r="M12" s="8" t="n">
        <f aca="false">SUM(G19:G68)</f>
        <v>383735.459931326</v>
      </c>
      <c r="N12" s="19" t="n">
        <v>12000000</v>
      </c>
      <c r="O12" s="23" t="s">
        <v>175</v>
      </c>
      <c r="P12" s="4"/>
      <c r="Q12" s="4"/>
    </row>
    <row r="13" customFormat="false" ht="31.5" hidden="false" customHeight="true" outlineLevel="0" collapsed="false">
      <c r="B13" s="4" t="s">
        <v>522</v>
      </c>
      <c r="C13" s="8" t="n">
        <f aca="false">IF(O13="CRC",N13/Proyección!$F$7,N13)</f>
        <v>26666.6666666667</v>
      </c>
      <c r="D13" s="8" t="n">
        <f aca="false">Proyección!$N$7*N(Proyección!$F$16)</f>
        <v>90</v>
      </c>
      <c r="E13" s="5" t="s">
        <v>523</v>
      </c>
      <c r="F13" s="13" t="n">
        <f aca="false">$E$8</f>
        <v>15</v>
      </c>
      <c r="G13" s="13" t="n">
        <f aca="false">Proyección!$B$30+F13-1</f>
        <v>2040</v>
      </c>
      <c r="H13" s="5" t="s">
        <v>524</v>
      </c>
      <c r="J13" s="8" t="n">
        <f aca="false">SUM(J19:J68)</f>
        <v>18810.2922521525</v>
      </c>
      <c r="K13" s="8" t="n">
        <f aca="false">SUM(K19:K68)</f>
        <v>44000.1743672339</v>
      </c>
      <c r="L13" s="8" t="n">
        <f aca="false">SUM(L19:L68)</f>
        <v>89477.133286053</v>
      </c>
      <c r="M13" s="8" t="n">
        <v>0</v>
      </c>
      <c r="N13" s="19" t="n">
        <v>12000000</v>
      </c>
      <c r="O13" s="23" t="s">
        <v>175</v>
      </c>
      <c r="P13" s="4"/>
      <c r="Q13" s="4"/>
    </row>
    <row r="14" customFormat="false" ht="31.5" hidden="false" customHeight="true" outlineLevel="0" collapsed="false">
      <c r="B14" s="4" t="s">
        <v>322</v>
      </c>
      <c r="C14" s="8" t="n">
        <f aca="false">IF(O14="CRC",N14/Proyección!$F$7,N14)</f>
        <v>26666.6666666667</v>
      </c>
      <c r="D14" s="8" t="n">
        <f aca="false">IF(Q14="CRC",P14/Proyección!$F$7,P14)</f>
        <v>333.333333333333</v>
      </c>
      <c r="E14" s="5" t="s">
        <v>525</v>
      </c>
      <c r="F14" s="13" t="n">
        <f aca="false">MAX(1,N(Proyección!$F$20)-$E$9+1)</f>
        <v>20</v>
      </c>
      <c r="G14" s="13" t="n">
        <f aca="false">Proyección!$B$30+F14-1</f>
        <v>2045</v>
      </c>
      <c r="H14" s="5" t="s">
        <v>526</v>
      </c>
      <c r="I14" s="16" t="n">
        <v>100</v>
      </c>
      <c r="J14" s="8" t="n">
        <f aca="false">SUM(O19:O68)</f>
        <v>69667.7490820462</v>
      </c>
      <c r="K14" s="8" t="n">
        <f aca="false">SUM(P19:P68)</f>
        <v>416330.720607393</v>
      </c>
      <c r="L14" s="8" t="n">
        <v>0</v>
      </c>
      <c r="M14" s="8" t="n">
        <f aca="false">SUM(Q19:Q68)</f>
        <v>450572.863518942</v>
      </c>
      <c r="N14" s="19" t="n">
        <v>12000000</v>
      </c>
      <c r="O14" s="23" t="s">
        <v>175</v>
      </c>
      <c r="P14" s="19" t="n">
        <v>150000</v>
      </c>
      <c r="Q14" s="23" t="s">
        <v>175</v>
      </c>
    </row>
    <row r="15" customFormat="false" ht="13.8" hidden="false" customHeight="false" outlineLevel="0" collapsed="false"/>
    <row r="16" customFormat="false" ht="13.8" hidden="false" customHeight="false" outlineLevel="0" collapsed="false"/>
    <row r="17" customFormat="false" ht="19.5" hidden="false" customHeight="true" outlineLevel="0" collapsed="false">
      <c r="B17" s="17" t="s">
        <v>527</v>
      </c>
      <c r="C17" s="17"/>
      <c r="D17" s="17" t="s">
        <v>519</v>
      </c>
      <c r="E17" s="17"/>
      <c r="F17" s="17"/>
      <c r="G17" s="17"/>
      <c r="H17" s="17"/>
      <c r="I17" s="17" t="s">
        <v>522</v>
      </c>
      <c r="J17" s="17"/>
      <c r="K17" s="17"/>
      <c r="L17" s="17"/>
      <c r="M17" s="17"/>
      <c r="N17" s="17" t="s">
        <v>322</v>
      </c>
      <c r="O17" s="17"/>
      <c r="P17" s="17"/>
      <c r="Q17" s="17"/>
      <c r="R17" s="17"/>
      <c r="S17" s="17" t="s">
        <v>528</v>
      </c>
      <c r="T17" s="17"/>
      <c r="U17" s="17"/>
    </row>
    <row r="18" customFormat="false" ht="43.5" hidden="false" customHeight="true" outlineLevel="0" collapsed="false">
      <c r="B18" s="2" t="s">
        <v>344</v>
      </c>
      <c r="C18" s="2" t="s">
        <v>350</v>
      </c>
      <c r="D18" s="2" t="s">
        <v>529</v>
      </c>
      <c r="E18" s="2" t="s">
        <v>530</v>
      </c>
      <c r="F18" s="2" t="s">
        <v>371</v>
      </c>
      <c r="G18" s="2" t="s">
        <v>516</v>
      </c>
      <c r="H18" s="2" t="s">
        <v>531</v>
      </c>
      <c r="I18" s="2" t="s">
        <v>529</v>
      </c>
      <c r="J18" s="2" t="s">
        <v>530</v>
      </c>
      <c r="K18" s="2" t="s">
        <v>371</v>
      </c>
      <c r="L18" s="2" t="s">
        <v>532</v>
      </c>
      <c r="M18" s="2" t="s">
        <v>531</v>
      </c>
      <c r="N18" s="2" t="s">
        <v>529</v>
      </c>
      <c r="O18" s="2" t="s">
        <v>530</v>
      </c>
      <c r="P18" s="2" t="s">
        <v>371</v>
      </c>
      <c r="Q18" s="2" t="s">
        <v>516</v>
      </c>
      <c r="R18" s="2" t="s">
        <v>531</v>
      </c>
      <c r="S18" s="2" t="s">
        <v>533</v>
      </c>
      <c r="T18" s="2" t="s">
        <v>315</v>
      </c>
      <c r="U18" s="2" t="s">
        <v>322</v>
      </c>
    </row>
    <row r="19" customFormat="false" ht="13.8" hidden="false" customHeight="false" outlineLevel="0" collapsed="false">
      <c r="B19" s="13" t="n">
        <v>1</v>
      </c>
      <c r="C19" s="13" t="n">
        <f aca="false">Proyección!B30</f>
        <v>2026</v>
      </c>
      <c r="D19" s="8" t="n">
        <f aca="false">C12</f>
        <v>26666.6666666667</v>
      </c>
      <c r="E19" s="8" t="n">
        <f aca="false">IF(AND(B19&lt;=$E$7,B19&lt;$F$12),$D$12*12*(1+$E$6)^(B19-1),0)*Proyección!$F$24/12</f>
        <v>765</v>
      </c>
      <c r="F19" s="8" t="n">
        <f aca="false">D19*$E$5*Proyección!$F$24/12</f>
        <v>400</v>
      </c>
      <c r="G19" s="8" t="n">
        <f aca="false">IF(B19&gt;=$F$12,IF(($I$12-$E$9-B19+2)&lt;=1,D19+F19,IF($E$5=0,D19/($I$12-$E$9-B19+2),D19*$E$5/(1-(1+$E$5)^(-($I$12-$E$9-B19+2))))*MIN(IF(AND(B19=$F$12,ISNUMBER(Proyección!$F$21),N(Proyección!$F$20)&gt;=$E$9),(12-Proyección!$F$21)/12,1),Proyección!$F$24/12)),0)</f>
        <v>0</v>
      </c>
      <c r="H19" s="8" t="n">
        <f aca="false">D19+E19+F19-G19</f>
        <v>27831.6666666667</v>
      </c>
      <c r="I19" s="8" t="n">
        <f aca="false">C13</f>
        <v>26666.6666666667</v>
      </c>
      <c r="J19" s="8" t="n">
        <f aca="false">IF(AND(B19&lt;=$E$7),$D$13*12*(1+$E$6)^(B19-1),0)*Proyección!$F$24/12</f>
        <v>270</v>
      </c>
      <c r="K19" s="8" t="n">
        <f aca="false">I19*$E$5*Proyección!$F$24/12</f>
        <v>400</v>
      </c>
      <c r="L19" s="8" t="n">
        <f aca="false">IF(OR(B19=$F$13,B19=$E$8,B19=50),I19+J19+K19,0)</f>
        <v>0</v>
      </c>
      <c r="M19" s="8" t="n">
        <f aca="false">I19+J19+K19-L19</f>
        <v>27336.6666666667</v>
      </c>
      <c r="N19" s="8" t="n">
        <f aca="false">C14</f>
        <v>26666.6666666667</v>
      </c>
      <c r="O19" s="8" t="n">
        <f aca="false">IF(AND(B19&lt;=$E$7,B19&lt;$F$14),$D$14*12*(1+$E$10)^(B19-1),0)*Proyección!$F$24/12</f>
        <v>1000</v>
      </c>
      <c r="P19" s="8" t="n">
        <f aca="false">N19*$E$5*Proyección!$F$24/12</f>
        <v>400</v>
      </c>
      <c r="Q19" s="8" t="n">
        <f aca="false">IF(B19&gt;=$F$14,IF(($I$14-$E$9-B19+2)&lt;=1,N19+P19,IF($E$5=0,N19/($I$14-$E$9-B19+2),N19*$E$5/(1-(1+$E$5)^(-($I$14-$E$9-B19+2))))*MIN(IF(AND(B19=$F$14,ISNUMBER(Proyección!$F$21),N(Proyección!$F$20)&gt;=$E$9),(12-Proyección!$F$21)/12,1),Proyección!$F$24/12)),0)</f>
        <v>0</v>
      </c>
      <c r="R19" s="8" t="n">
        <f aca="false">N19+O19+P19-Q19</f>
        <v>28066.6666666667</v>
      </c>
      <c r="S19" s="15" t="n">
        <f aca="false">L19</f>
        <v>0</v>
      </c>
      <c r="T19" s="8" t="n">
        <f aca="false">G19</f>
        <v>0</v>
      </c>
      <c r="U19" s="8" t="n">
        <f aca="false">Q19</f>
        <v>0</v>
      </c>
    </row>
    <row r="20" customFormat="false" ht="13.8" hidden="false" customHeight="false" outlineLevel="0" collapsed="false">
      <c r="B20" s="13" t="n">
        <v>2</v>
      </c>
      <c r="C20" s="13" t="n">
        <f aca="false">Proyección!B31</f>
        <v>2027</v>
      </c>
      <c r="D20" s="8" t="n">
        <f aca="false">H19</f>
        <v>27831.6666666667</v>
      </c>
      <c r="E20" s="8" t="n">
        <f aca="false">IF(AND(B20&lt;=$E$7,B20&lt;$F$12),$D$12*12*(1+$E$6)^(B20-1),0)</f>
        <v>3179.34</v>
      </c>
      <c r="F20" s="8" t="n">
        <f aca="false">D20*$E$5</f>
        <v>1669.9</v>
      </c>
      <c r="G20" s="8" t="n">
        <f aca="false">IF(B20&gt;=$F$12,IF(($I$12-$E$9-B20+2)&lt;=1,D20+F20,IF($E$5=0,D20/($I$12-$E$9-B20+2),D20*$E$5/(1-(1+$E$5)^(-($I$12-$E$9-B20+2))))*IF(AND(B20=$F$12,ISNUMBER(Proyección!$F$21),N(Proyección!$F$20)&gt;=$E$9),(12-Proyección!$F$21)/12,1)),0)</f>
        <v>0</v>
      </c>
      <c r="H20" s="8" t="n">
        <f aca="false">D20+E20+F20-G20</f>
        <v>32680.9066666667</v>
      </c>
      <c r="I20" s="8" t="n">
        <f aca="false">M19</f>
        <v>27336.6666666667</v>
      </c>
      <c r="J20" s="8" t="n">
        <f aca="false">IF(AND(B20&lt;=$E$7),$D$13*12*(1+$E$6)^(B20-1),0)</f>
        <v>1122.12</v>
      </c>
      <c r="K20" s="8" t="n">
        <f aca="false">I20*$E$5</f>
        <v>1640.2</v>
      </c>
      <c r="L20" s="8" t="n">
        <f aca="false">IF(OR(B20=$F$13,B20=$E$8,B20=50),I20+J20+K20,0)</f>
        <v>0</v>
      </c>
      <c r="M20" s="8" t="n">
        <f aca="false">I20+J20+K20-L20</f>
        <v>30098.9866666667</v>
      </c>
      <c r="N20" s="8" t="n">
        <f aca="false">R19</f>
        <v>28066.6666666667</v>
      </c>
      <c r="O20" s="8" t="n">
        <f aca="false">IF(AND(B20&lt;=$E$7,B20&lt;$F$14),$D$14*12*(1+$E$10)^(B20-1),0)</f>
        <v>4156</v>
      </c>
      <c r="P20" s="8" t="n">
        <f aca="false">N20*$E$5</f>
        <v>1684</v>
      </c>
      <c r="Q20" s="8" t="n">
        <f aca="false">IF(B20&gt;=$F$14,IF(($I$14-$E$9-B20+2)&lt;=1,N20+P20,IF($E$5=0,N20/($I$14-$E$9-B20+2),N20*$E$5/(1-(1+$E$5)^(-($I$14-$E$9-B20+2))))*IF(AND(B20=$F$14,ISNUMBER(Proyección!$F$21),N(Proyección!$F$20)&gt;=$E$9),(12-Proyección!$F$21)/12,1)),0)</f>
        <v>0</v>
      </c>
      <c r="R20" s="8" t="n">
        <f aca="false">N20+O20+P20-Q20</f>
        <v>33906.6666666667</v>
      </c>
      <c r="S20" s="15" t="n">
        <f aca="false">L20</f>
        <v>0</v>
      </c>
      <c r="T20" s="8" t="n">
        <f aca="false">G20</f>
        <v>0</v>
      </c>
      <c r="U20" s="8" t="n">
        <f aca="false">Q20</f>
        <v>0</v>
      </c>
    </row>
    <row r="21" customFormat="false" ht="13.8" hidden="false" customHeight="false" outlineLevel="0" collapsed="false">
      <c r="B21" s="13" t="n">
        <v>3</v>
      </c>
      <c r="C21" s="13" t="n">
        <f aca="false">Proyección!B32</f>
        <v>2028</v>
      </c>
      <c r="D21" s="8" t="n">
        <f aca="false">H20</f>
        <v>32680.9066666667</v>
      </c>
      <c r="E21" s="8" t="n">
        <f aca="false">IF(AND(B21&lt;=$E$7,B21&lt;$F$12),$D$12*12*(1+$E$6)^(B21-1),0)</f>
        <v>3303.33426</v>
      </c>
      <c r="F21" s="8" t="n">
        <f aca="false">D21*$E$5</f>
        <v>1960.8544</v>
      </c>
      <c r="G21" s="8" t="n">
        <f aca="false">IF(B21&gt;=$F$12,IF(($I$12-$E$9-B21+2)&lt;=1,D21+F21,IF($E$5=0,D21/($I$12-$E$9-B21+2),D21*$E$5/(1-(1+$E$5)^(-($I$12-$E$9-B21+2))))*IF(AND(B21=$F$12,ISNUMBER(Proyección!$F$21),N(Proyección!$F$20)&gt;=$E$9),(12-Proyección!$F$21)/12,1)),0)</f>
        <v>0</v>
      </c>
      <c r="H21" s="8" t="n">
        <f aca="false">D21+E21+F21-G21</f>
        <v>37945.0953266667</v>
      </c>
      <c r="I21" s="8" t="n">
        <f aca="false">M20</f>
        <v>30098.9866666667</v>
      </c>
      <c r="J21" s="8" t="n">
        <f aca="false">IF(AND(B21&lt;=$E$7),$D$13*12*(1+$E$6)^(B21-1),0)</f>
        <v>1165.88268</v>
      </c>
      <c r="K21" s="8" t="n">
        <f aca="false">I21*$E$5</f>
        <v>1805.9392</v>
      </c>
      <c r="L21" s="8" t="n">
        <f aca="false">IF(OR(B21=$F$13,B21=$E$8,B21=50),I21+J21+K21,0)</f>
        <v>0</v>
      </c>
      <c r="M21" s="8" t="n">
        <f aca="false">I21+J21+K21-L21</f>
        <v>33070.8085466667</v>
      </c>
      <c r="N21" s="8" t="n">
        <f aca="false">R20</f>
        <v>33906.6666666667</v>
      </c>
      <c r="O21" s="8" t="n">
        <f aca="false">IF(AND(B21&lt;=$E$7,B21&lt;$F$14),$D$14*12*(1+$E$10)^(B21-1),0)</f>
        <v>4318.084</v>
      </c>
      <c r="P21" s="8" t="n">
        <f aca="false">N21*$E$5</f>
        <v>2034.4</v>
      </c>
      <c r="Q21" s="8" t="n">
        <f aca="false">IF(B21&gt;=$F$14,IF(($I$14-$E$9-B21+2)&lt;=1,N21+P21,IF($E$5=0,N21/($I$14-$E$9-B21+2),N21*$E$5/(1-(1+$E$5)^(-($I$14-$E$9-B21+2))))*IF(AND(B21=$F$14,ISNUMBER(Proyección!$F$21),N(Proyección!$F$20)&gt;=$E$9),(12-Proyección!$F$21)/12,1)),0)</f>
        <v>0</v>
      </c>
      <c r="R21" s="8" t="n">
        <f aca="false">N21+O21+P21-Q21</f>
        <v>40259.1506666667</v>
      </c>
      <c r="S21" s="15" t="n">
        <f aca="false">L21</f>
        <v>0</v>
      </c>
      <c r="T21" s="8" t="n">
        <f aca="false">G21</f>
        <v>0</v>
      </c>
      <c r="U21" s="8" t="n">
        <f aca="false">Q21</f>
        <v>0</v>
      </c>
    </row>
    <row r="22" customFormat="false" ht="13.8" hidden="false" customHeight="false" outlineLevel="0" collapsed="false">
      <c r="B22" s="13" t="n">
        <v>4</v>
      </c>
      <c r="C22" s="13" t="n">
        <f aca="false">Proyección!B33</f>
        <v>2029</v>
      </c>
      <c r="D22" s="8" t="n">
        <f aca="false">H21</f>
        <v>37945.0953266667</v>
      </c>
      <c r="E22" s="8" t="n">
        <f aca="false">IF(AND(B22&lt;=$E$7,B22&lt;$F$12),$D$12*12*(1+$E$6)^(B22-1),0)</f>
        <v>3432.16429614</v>
      </c>
      <c r="F22" s="8" t="n">
        <f aca="false">D22*$E$5</f>
        <v>2276.7057196</v>
      </c>
      <c r="G22" s="8" t="n">
        <f aca="false">IF(B22&gt;=$F$12,IF(($I$12-$E$9-B22+2)&lt;=1,D22+F22,IF($E$5=0,D22/($I$12-$E$9-B22+2),D22*$E$5/(1-(1+$E$5)^(-($I$12-$E$9-B22+2))))*IF(AND(B22=$F$12,ISNUMBER(Proyección!$F$21),N(Proyección!$F$20)&gt;=$E$9),(12-Proyección!$F$21)/12,1)),0)</f>
        <v>0</v>
      </c>
      <c r="H22" s="8" t="n">
        <f aca="false">D22+E22+F22-G22</f>
        <v>43653.9653424067</v>
      </c>
      <c r="I22" s="8" t="n">
        <f aca="false">M21</f>
        <v>33070.8085466667</v>
      </c>
      <c r="J22" s="8" t="n">
        <f aca="false">IF(AND(B22&lt;=$E$7),$D$13*12*(1+$E$6)^(B22-1),0)</f>
        <v>1211.35210452</v>
      </c>
      <c r="K22" s="8" t="n">
        <f aca="false">I22*$E$5</f>
        <v>1984.2485128</v>
      </c>
      <c r="L22" s="8" t="n">
        <f aca="false">IF(OR(B22=$F$13,B22=$E$8,B22=50),I22+J22+K22,0)</f>
        <v>0</v>
      </c>
      <c r="M22" s="8" t="n">
        <f aca="false">I22+J22+K22-L22</f>
        <v>36266.4091639867</v>
      </c>
      <c r="N22" s="8" t="n">
        <f aca="false">R21</f>
        <v>40259.1506666667</v>
      </c>
      <c r="O22" s="8" t="n">
        <f aca="false">IF(AND(B22&lt;=$E$7,B22&lt;$F$14),$D$14*12*(1+$E$10)^(B22-1),0)</f>
        <v>4486.489276</v>
      </c>
      <c r="P22" s="8" t="n">
        <f aca="false">N22*$E$5</f>
        <v>2415.54904</v>
      </c>
      <c r="Q22" s="8" t="n">
        <f aca="false">IF(B22&gt;=$F$14,IF(($I$14-$E$9-B22+2)&lt;=1,N22+P22,IF($E$5=0,N22/($I$14-$E$9-B22+2),N22*$E$5/(1-(1+$E$5)^(-($I$14-$E$9-B22+2))))*IF(AND(B22=$F$14,ISNUMBER(Proyección!$F$21),N(Proyección!$F$20)&gt;=$E$9),(12-Proyección!$F$21)/12,1)),0)</f>
        <v>0</v>
      </c>
      <c r="R22" s="8" t="n">
        <f aca="false">N22+O22+P22-Q22</f>
        <v>47161.1889826667</v>
      </c>
      <c r="S22" s="15" t="n">
        <f aca="false">L22</f>
        <v>0</v>
      </c>
      <c r="T22" s="8" t="n">
        <f aca="false">G22</f>
        <v>0</v>
      </c>
      <c r="U22" s="8" t="n">
        <f aca="false">Q22</f>
        <v>0</v>
      </c>
    </row>
    <row r="23" customFormat="false" ht="13.8" hidden="false" customHeight="false" outlineLevel="0" collapsed="false">
      <c r="B23" s="13" t="n">
        <v>5</v>
      </c>
      <c r="C23" s="13" t="n">
        <f aca="false">Proyección!B34</f>
        <v>2030</v>
      </c>
      <c r="D23" s="8" t="n">
        <f aca="false">H22</f>
        <v>43653.9653424067</v>
      </c>
      <c r="E23" s="8" t="n">
        <f aca="false">IF(AND(B23&lt;=$E$7,B23&lt;$F$12),$D$12*12*(1+$E$6)^(B23-1),0)</f>
        <v>3566.01870368946</v>
      </c>
      <c r="F23" s="8" t="n">
        <f aca="false">D23*$E$5</f>
        <v>2619.2379205444</v>
      </c>
      <c r="G23" s="8" t="n">
        <f aca="false">IF(B23&gt;=$F$12,IF(($I$12-$E$9-B23+2)&lt;=1,D23+F23,IF($E$5=0,D23/($I$12-$E$9-B23+2),D23*$E$5/(1-(1+$E$5)^(-($I$12-$E$9-B23+2))))*IF(AND(B23=$F$12,ISNUMBER(Proyección!$F$21),N(Proyección!$F$20)&gt;=$E$9),(12-Proyección!$F$21)/12,1)),0)</f>
        <v>0</v>
      </c>
      <c r="H23" s="8" t="n">
        <f aca="false">D23+E23+F23-G23</f>
        <v>49839.2219666405</v>
      </c>
      <c r="I23" s="8" t="n">
        <f aca="false">M22</f>
        <v>36266.4091639867</v>
      </c>
      <c r="J23" s="8" t="n">
        <f aca="false">IF(AND(B23&lt;=$E$7),$D$13*12*(1+$E$6)^(B23-1),0)</f>
        <v>1258.59483659628</v>
      </c>
      <c r="K23" s="8" t="n">
        <f aca="false">I23*$E$5</f>
        <v>2175.9845498392</v>
      </c>
      <c r="L23" s="8" t="n">
        <f aca="false">IF(OR(B23=$F$13,B23=$E$8,B23=50),I23+J23+K23,0)</f>
        <v>0</v>
      </c>
      <c r="M23" s="8" t="n">
        <f aca="false">I23+J23+K23-L23</f>
        <v>39700.9885504222</v>
      </c>
      <c r="N23" s="8" t="n">
        <f aca="false">R22</f>
        <v>47161.1889826667</v>
      </c>
      <c r="O23" s="8" t="n">
        <f aca="false">IF(AND(B23&lt;=$E$7,B23&lt;$F$14),$D$14*12*(1+$E$10)^(B23-1),0)</f>
        <v>4661.462357764</v>
      </c>
      <c r="P23" s="8" t="n">
        <f aca="false">N23*$E$5</f>
        <v>2829.67133896</v>
      </c>
      <c r="Q23" s="8" t="n">
        <f aca="false">IF(B23&gt;=$F$14,IF(($I$14-$E$9-B23+2)&lt;=1,N23+P23,IF($E$5=0,N23/($I$14-$E$9-B23+2),N23*$E$5/(1-(1+$E$5)^(-($I$14-$E$9-B23+2))))*IF(AND(B23=$F$14,ISNUMBER(Proyección!$F$21),N(Proyección!$F$20)&gt;=$E$9),(12-Proyección!$F$21)/12,1)),0)</f>
        <v>0</v>
      </c>
      <c r="R23" s="8" t="n">
        <f aca="false">N23+O23+P23-Q23</f>
        <v>54652.3226793907</v>
      </c>
      <c r="S23" s="15" t="n">
        <f aca="false">L23</f>
        <v>0</v>
      </c>
      <c r="T23" s="8" t="n">
        <f aca="false">G23</f>
        <v>0</v>
      </c>
      <c r="U23" s="8" t="n">
        <f aca="false">Q23</f>
        <v>0</v>
      </c>
    </row>
    <row r="24" customFormat="false" ht="13.8" hidden="false" customHeight="false" outlineLevel="0" collapsed="false">
      <c r="B24" s="13" t="n">
        <v>6</v>
      </c>
      <c r="C24" s="13" t="n">
        <f aca="false">Proyección!B35</f>
        <v>2031</v>
      </c>
      <c r="D24" s="8" t="n">
        <f aca="false">H23</f>
        <v>49839.2219666405</v>
      </c>
      <c r="E24" s="8" t="n">
        <f aca="false">IF(AND(B24&lt;=$E$7,B24&lt;$F$12),$D$12*12*(1+$E$6)^(B24-1),0)</f>
        <v>3705.09343313335</v>
      </c>
      <c r="F24" s="8" t="n">
        <f aca="false">D24*$E$5</f>
        <v>2990.35331799843</v>
      </c>
      <c r="G24" s="8" t="n">
        <f aca="false">IF(B24&gt;=$F$12,IF(($I$12-$E$9-B24+2)&lt;=1,D24+F24,IF($E$5=0,D24/($I$12-$E$9-B24+2),D24*$E$5/(1-(1+$E$5)^(-($I$12-$E$9-B24+2))))*IF(AND(B24=$F$12,ISNUMBER(Proyección!$F$21),N(Proyección!$F$20)&gt;=$E$9),(12-Proyección!$F$21)/12,1)),0)</f>
        <v>0</v>
      </c>
      <c r="H24" s="8" t="n">
        <f aca="false">D24+E24+F24-G24</f>
        <v>56534.6687177723</v>
      </c>
      <c r="I24" s="8" t="n">
        <f aca="false">M23</f>
        <v>39700.9885504222</v>
      </c>
      <c r="J24" s="8" t="n">
        <f aca="false">IF(AND(B24&lt;=$E$7),$D$13*12*(1+$E$6)^(B24-1),0)</f>
        <v>1307.68003522353</v>
      </c>
      <c r="K24" s="8" t="n">
        <f aca="false">I24*$E$5</f>
        <v>2382.05931302533</v>
      </c>
      <c r="L24" s="8" t="n">
        <f aca="false">IF(OR(B24=$F$13,B24=$E$8,B24=50),I24+J24+K24,0)</f>
        <v>0</v>
      </c>
      <c r="M24" s="8" t="n">
        <f aca="false">I24+J24+K24-L24</f>
        <v>43390.727898671</v>
      </c>
      <c r="N24" s="8" t="n">
        <f aca="false">R23</f>
        <v>54652.3226793907</v>
      </c>
      <c r="O24" s="8" t="n">
        <f aca="false">IF(AND(B24&lt;=$E$7,B24&lt;$F$14),$D$14*12*(1+$E$10)^(B24-1),0)</f>
        <v>4843.25938971679</v>
      </c>
      <c r="P24" s="8" t="n">
        <f aca="false">N24*$E$5</f>
        <v>3279.13936076344</v>
      </c>
      <c r="Q24" s="8" t="n">
        <f aca="false">IF(B24&gt;=$F$14,IF(($I$14-$E$9-B24+2)&lt;=1,N24+P24,IF($E$5=0,N24/($I$14-$E$9-B24+2),N24*$E$5/(1-(1+$E$5)^(-($I$14-$E$9-B24+2))))*IF(AND(B24=$F$14,ISNUMBER(Proyección!$F$21),N(Proyección!$F$20)&gt;=$E$9),(12-Proyección!$F$21)/12,1)),0)</f>
        <v>0</v>
      </c>
      <c r="R24" s="8" t="n">
        <f aca="false">N24+O24+P24-Q24</f>
        <v>62774.7214298709</v>
      </c>
      <c r="S24" s="15" t="n">
        <f aca="false">L24</f>
        <v>0</v>
      </c>
      <c r="T24" s="8" t="n">
        <f aca="false">G24</f>
        <v>0</v>
      </c>
      <c r="U24" s="8" t="n">
        <f aca="false">Q24</f>
        <v>0</v>
      </c>
    </row>
    <row r="25" customFormat="false" ht="13.8" hidden="false" customHeight="false" outlineLevel="0" collapsed="false">
      <c r="B25" s="13" t="n">
        <v>7</v>
      </c>
      <c r="C25" s="13" t="n">
        <f aca="false">Proyección!B36</f>
        <v>2032</v>
      </c>
      <c r="D25" s="8" t="n">
        <f aca="false">H24</f>
        <v>56534.6687177723</v>
      </c>
      <c r="E25" s="8" t="n">
        <f aca="false">IF(AND(B25&lt;=$E$7,B25&lt;$F$12),$D$12*12*(1+$E$6)^(B25-1),0)</f>
        <v>3849.59207702555</v>
      </c>
      <c r="F25" s="8" t="n">
        <f aca="false">D25*$E$5</f>
        <v>3392.08012306634</v>
      </c>
      <c r="G25" s="8" t="n">
        <f aca="false">IF(B25&gt;=$F$12,IF(($I$12-$E$9-B25+2)&lt;=1,D25+F25,IF($E$5=0,D25/($I$12-$E$9-B25+2),D25*$E$5/(1-(1+$E$5)^(-($I$12-$E$9-B25+2))))*IF(AND(B25=$F$12,ISNUMBER(Proyección!$F$21),N(Proyección!$F$20)&gt;=$E$9),(12-Proyección!$F$21)/12,1)),0)</f>
        <v>0</v>
      </c>
      <c r="H25" s="8" t="n">
        <f aca="false">D25+E25+F25-G25</f>
        <v>63776.3409178642</v>
      </c>
      <c r="I25" s="8" t="n">
        <f aca="false">M24</f>
        <v>43390.727898671</v>
      </c>
      <c r="J25" s="8" t="n">
        <f aca="false">IF(AND(B25&lt;=$E$7),$D$13*12*(1+$E$6)^(B25-1),0)</f>
        <v>1358.67955659725</v>
      </c>
      <c r="K25" s="8" t="n">
        <f aca="false">I25*$E$5</f>
        <v>2603.44367392026</v>
      </c>
      <c r="L25" s="8" t="n">
        <f aca="false">IF(OR(B25=$F$13,B25=$E$8,B25=50),I25+J25+K25,0)</f>
        <v>0</v>
      </c>
      <c r="M25" s="8" t="n">
        <f aca="false">I25+J25+K25-L25</f>
        <v>47352.8511291885</v>
      </c>
      <c r="N25" s="8" t="n">
        <f aca="false">R24</f>
        <v>62774.7214298709</v>
      </c>
      <c r="O25" s="8" t="n">
        <f aca="false">IF(AND(B25&lt;=$E$7,B25&lt;$F$14),$D$14*12*(1+$E$10)^(B25-1),0)</f>
        <v>5032.14650591575</v>
      </c>
      <c r="P25" s="8" t="n">
        <f aca="false">N25*$E$5</f>
        <v>3766.48328579225</v>
      </c>
      <c r="Q25" s="8" t="n">
        <f aca="false">IF(B25&gt;=$F$14,IF(($I$14-$E$9-B25+2)&lt;=1,N25+P25,IF($E$5=0,N25/($I$14-$E$9-B25+2),N25*$E$5/(1-(1+$E$5)^(-($I$14-$E$9-B25+2))))*IF(AND(B25=$F$14,ISNUMBER(Proyección!$F$21),N(Proyección!$F$20)&gt;=$E$9),(12-Proyección!$F$21)/12,1)),0)</f>
        <v>0</v>
      </c>
      <c r="R25" s="8" t="n">
        <f aca="false">N25+O25+P25-Q25</f>
        <v>71573.3512215789</v>
      </c>
      <c r="S25" s="15" t="n">
        <f aca="false">L25</f>
        <v>0</v>
      </c>
      <c r="T25" s="8" t="n">
        <f aca="false">G25</f>
        <v>0</v>
      </c>
      <c r="U25" s="8" t="n">
        <f aca="false">Q25</f>
        <v>0</v>
      </c>
    </row>
    <row r="26" customFormat="false" ht="13.8" hidden="false" customHeight="false" outlineLevel="0" collapsed="false">
      <c r="B26" s="13" t="n">
        <v>8</v>
      </c>
      <c r="C26" s="13" t="n">
        <f aca="false">Proyección!B37</f>
        <v>2033</v>
      </c>
      <c r="D26" s="8" t="n">
        <f aca="false">H25</f>
        <v>63776.3409178642</v>
      </c>
      <c r="E26" s="8" t="n">
        <f aca="false">IF(AND(B26&lt;=$E$7,B26&lt;$F$12),$D$12*12*(1+$E$6)^(B26-1),0)</f>
        <v>3999.72616802954</v>
      </c>
      <c r="F26" s="8" t="n">
        <f aca="false">D26*$E$5</f>
        <v>3826.58045507185</v>
      </c>
      <c r="G26" s="8" t="n">
        <f aca="false">IF(B26&gt;=$F$12,IF(($I$12-$E$9-B26+2)&lt;=1,D26+F26,IF($E$5=0,D26/($I$12-$E$9-B26+2),D26*$E$5/(1-(1+$E$5)^(-($I$12-$E$9-B26+2))))*IF(AND(B26=$F$12,ISNUMBER(Proyección!$F$21),N(Proyección!$F$20)&gt;=$E$9),(12-Proyección!$F$21)/12,1)),0)</f>
        <v>0</v>
      </c>
      <c r="H26" s="8" t="n">
        <f aca="false">D26+E26+F26-G26</f>
        <v>71602.6475409656</v>
      </c>
      <c r="I26" s="8" t="n">
        <f aca="false">M25</f>
        <v>47352.8511291885</v>
      </c>
      <c r="J26" s="8" t="n">
        <f aca="false">IF(AND(B26&lt;=$E$7),$D$13*12*(1+$E$6)^(B26-1),0)</f>
        <v>1411.66805930454</v>
      </c>
      <c r="K26" s="8" t="n">
        <f aca="false">I26*$E$5</f>
        <v>2841.17106775131</v>
      </c>
      <c r="L26" s="8" t="n">
        <f aca="false">IF(OR(B26=$F$13,B26=$E$8,B26=50),I26+J26+K26,0)</f>
        <v>0</v>
      </c>
      <c r="M26" s="8" t="n">
        <f aca="false">I26+J26+K26-L26</f>
        <v>51605.6902562444</v>
      </c>
      <c r="N26" s="8" t="n">
        <f aca="false">R25</f>
        <v>71573.3512215789</v>
      </c>
      <c r="O26" s="8" t="n">
        <f aca="false">IF(AND(B26&lt;=$E$7,B26&lt;$F$14),$D$14*12*(1+$E$10)^(B26-1),0)</f>
        <v>5228.40021964646</v>
      </c>
      <c r="P26" s="8" t="n">
        <f aca="false">N26*$E$5</f>
        <v>4294.40107329473</v>
      </c>
      <c r="Q26" s="8" t="n">
        <f aca="false">IF(B26&gt;=$F$14,IF(($I$14-$E$9-B26+2)&lt;=1,N26+P26,IF($E$5=0,N26/($I$14-$E$9-B26+2),N26*$E$5/(1-(1+$E$5)^(-($I$14-$E$9-B26+2))))*IF(AND(B26=$F$14,ISNUMBER(Proyección!$F$21),N(Proyección!$F$20)&gt;=$E$9),(12-Proyección!$F$21)/12,1)),0)</f>
        <v>0</v>
      </c>
      <c r="R26" s="8" t="n">
        <f aca="false">N26+O26+P26-Q26</f>
        <v>81096.1525145201</v>
      </c>
      <c r="S26" s="15" t="n">
        <f aca="false">L26</f>
        <v>0</v>
      </c>
      <c r="T26" s="8" t="n">
        <f aca="false">G26</f>
        <v>0</v>
      </c>
      <c r="U26" s="8" t="n">
        <f aca="false">Q26</f>
        <v>0</v>
      </c>
    </row>
    <row r="27" customFormat="false" ht="13.8" hidden="false" customHeight="false" outlineLevel="0" collapsed="false">
      <c r="B27" s="13" t="n">
        <v>9</v>
      </c>
      <c r="C27" s="13" t="n">
        <f aca="false">Proyección!B38</f>
        <v>2034</v>
      </c>
      <c r="D27" s="8" t="n">
        <f aca="false">H26</f>
        <v>71602.6475409656</v>
      </c>
      <c r="E27" s="8" t="n">
        <f aca="false">IF(AND(B27&lt;=$E$7,B27&lt;$F$12),$D$12*12*(1+$E$6)^(B27-1),0)</f>
        <v>4155.7154885827</v>
      </c>
      <c r="F27" s="8" t="n">
        <f aca="false">D27*$E$5</f>
        <v>4296.15885245793</v>
      </c>
      <c r="G27" s="8" t="n">
        <f aca="false">IF(B27&gt;=$F$12,IF(($I$12-$E$9-B27+2)&lt;=1,D27+F27,IF($E$5=0,D27/($I$12-$E$9-B27+2),D27*$E$5/(1-(1+$E$5)^(-($I$12-$E$9-B27+2))))*IF(AND(B27=$F$12,ISNUMBER(Proyección!$F$21),N(Proyección!$F$20)&gt;=$E$9),(12-Proyección!$F$21)/12,1)),0)</f>
        <v>0</v>
      </c>
      <c r="H27" s="8" t="n">
        <f aca="false">D27+E27+F27-G27</f>
        <v>80054.5218820062</v>
      </c>
      <c r="I27" s="8" t="n">
        <f aca="false">M26</f>
        <v>51605.6902562444</v>
      </c>
      <c r="J27" s="8" t="n">
        <f aca="false">IF(AND(B27&lt;=$E$7),$D$13*12*(1+$E$6)^(B27-1),0)</f>
        <v>1466.72311361742</v>
      </c>
      <c r="K27" s="8" t="n">
        <f aca="false">I27*$E$5</f>
        <v>3096.34141537466</v>
      </c>
      <c r="L27" s="8" t="n">
        <f aca="false">IF(OR(B27=$F$13,B27=$E$8,B27=50),I27+J27+K27,0)</f>
        <v>0</v>
      </c>
      <c r="M27" s="8" t="n">
        <f aca="false">I27+J27+K27-L27</f>
        <v>56168.7547852365</v>
      </c>
      <c r="N27" s="8" t="n">
        <f aca="false">R26</f>
        <v>81096.1525145201</v>
      </c>
      <c r="O27" s="8" t="n">
        <f aca="false">IF(AND(B27&lt;=$E$7,B27&lt;$F$14),$D$14*12*(1+$E$10)^(B27-1),0)</f>
        <v>5432.30782821267</v>
      </c>
      <c r="P27" s="8" t="n">
        <f aca="false">N27*$E$5</f>
        <v>4865.76915087121</v>
      </c>
      <c r="Q27" s="8" t="n">
        <f aca="false">IF(B27&gt;=$F$14,IF(($I$14-$E$9-B27+2)&lt;=1,N27+P27,IF($E$5=0,N27/($I$14-$E$9-B27+2),N27*$E$5/(1-(1+$E$5)^(-($I$14-$E$9-B27+2))))*IF(AND(B27=$F$14,ISNUMBER(Proyección!$F$21),N(Proyección!$F$20)&gt;=$E$9),(12-Proyección!$F$21)/12,1)),0)</f>
        <v>0</v>
      </c>
      <c r="R27" s="8" t="n">
        <f aca="false">N27+O27+P27-Q27</f>
        <v>91394.229493604</v>
      </c>
      <c r="S27" s="15" t="n">
        <f aca="false">L27</f>
        <v>0</v>
      </c>
      <c r="T27" s="8" t="n">
        <f aca="false">G27</f>
        <v>0</v>
      </c>
      <c r="U27" s="8" t="n">
        <f aca="false">Q27</f>
        <v>0</v>
      </c>
    </row>
    <row r="28" customFormat="false" ht="13.8" hidden="false" customHeight="false" outlineLevel="0" collapsed="false">
      <c r="B28" s="13" t="n">
        <v>10</v>
      </c>
      <c r="C28" s="13" t="n">
        <f aca="false">Proyección!B39</f>
        <v>2035</v>
      </c>
      <c r="D28" s="8" t="n">
        <f aca="false">H27</f>
        <v>80054.5218820062</v>
      </c>
      <c r="E28" s="8" t="n">
        <f aca="false">IF(AND(B28&lt;=$E$7,B28&lt;$F$12),$D$12*12*(1+$E$6)^(B28-1),0)</f>
        <v>4317.78839263742</v>
      </c>
      <c r="F28" s="8" t="n">
        <f aca="false">D28*$E$5</f>
        <v>4803.27131292037</v>
      </c>
      <c r="G28" s="8" t="n">
        <f aca="false">IF(B28&gt;=$F$12,IF(($I$12-$E$9-B28+2)&lt;=1,D28+F28,IF($E$5=0,D28/($I$12-$E$9-B28+2),D28*$E$5/(1-(1+$E$5)^(-($I$12-$E$9-B28+2))))*IF(AND(B28=$F$12,ISNUMBER(Proyección!$F$21),N(Proyección!$F$20)&gt;=$E$9),(12-Proyección!$F$21)/12,1)),0)</f>
        <v>0</v>
      </c>
      <c r="H28" s="8" t="n">
        <f aca="false">D28+E28+F28-G28</f>
        <v>89175.581587564</v>
      </c>
      <c r="I28" s="8" t="n">
        <f aca="false">M27</f>
        <v>56168.7547852365</v>
      </c>
      <c r="J28" s="8" t="n">
        <f aca="false">IF(AND(B28&lt;=$E$7),$D$13*12*(1+$E$6)^(B28-1),0)</f>
        <v>1523.9253150485</v>
      </c>
      <c r="K28" s="8" t="n">
        <f aca="false">I28*$E$5</f>
        <v>3370.12528711419</v>
      </c>
      <c r="L28" s="8" t="n">
        <f aca="false">IF(OR(B28=$F$13,B28=$E$8,B28=50),I28+J28+K28,0)</f>
        <v>0</v>
      </c>
      <c r="M28" s="8" t="n">
        <f aca="false">I28+J28+K28-L28</f>
        <v>61062.8053873992</v>
      </c>
      <c r="N28" s="8" t="n">
        <f aca="false">R27</f>
        <v>91394.229493604</v>
      </c>
      <c r="O28" s="8" t="n">
        <f aca="false">IF(AND(B28&lt;=$E$7,B28&lt;$F$14),$D$14*12*(1+$E$10)^(B28-1),0)</f>
        <v>5644.16783351297</v>
      </c>
      <c r="P28" s="8" t="n">
        <f aca="false">N28*$E$5</f>
        <v>5483.65376961624</v>
      </c>
      <c r="Q28" s="8" t="n">
        <f aca="false">IF(B28&gt;=$F$14,IF(($I$14-$E$9-B28+2)&lt;=1,N28+P28,IF($E$5=0,N28/($I$14-$E$9-B28+2),N28*$E$5/(1-(1+$E$5)^(-($I$14-$E$9-B28+2))))*IF(AND(B28=$F$14,ISNUMBER(Proyección!$F$21),N(Proyección!$F$20)&gt;=$E$9),(12-Proyección!$F$21)/12,1)),0)</f>
        <v>0</v>
      </c>
      <c r="R28" s="8" t="n">
        <f aca="false">N28+O28+P28-Q28</f>
        <v>102522.051096733</v>
      </c>
      <c r="S28" s="15" t="n">
        <f aca="false">L28</f>
        <v>0</v>
      </c>
      <c r="T28" s="8" t="n">
        <f aca="false">G28</f>
        <v>0</v>
      </c>
      <c r="U28" s="8" t="n">
        <f aca="false">Q28</f>
        <v>0</v>
      </c>
    </row>
    <row r="29" customFormat="false" ht="13.8" hidden="false" customHeight="false" outlineLevel="0" collapsed="false">
      <c r="B29" s="13" t="n">
        <v>11</v>
      </c>
      <c r="C29" s="13" t="n">
        <f aca="false">Proyección!B40</f>
        <v>2036</v>
      </c>
      <c r="D29" s="8" t="n">
        <f aca="false">H28</f>
        <v>89175.581587564</v>
      </c>
      <c r="E29" s="8" t="n">
        <f aca="false">IF(AND(B29&lt;=$E$7,B29&lt;$F$12),$D$12*12*(1+$E$6)^(B29-1),0)</f>
        <v>4486.18213995028</v>
      </c>
      <c r="F29" s="8" t="n">
        <f aca="false">D29*$E$5</f>
        <v>5350.53489525384</v>
      </c>
      <c r="G29" s="8" t="n">
        <f aca="false">IF(B29&gt;=$F$12,IF(($I$12-$E$9-B29+2)&lt;=1,D29+F29,IF($E$5=0,D29/($I$12-$E$9-B29+2),D29*$E$5/(1-(1+$E$5)^(-($I$12-$E$9-B29+2))))*IF(AND(B29=$F$12,ISNUMBER(Proyección!$F$21),N(Proyección!$F$20)&gt;=$E$9),(12-Proyección!$F$21)/12,1)),0)</f>
        <v>0</v>
      </c>
      <c r="H29" s="8" t="n">
        <f aca="false">D29+E29+F29-G29</f>
        <v>99012.2986227681</v>
      </c>
      <c r="I29" s="8" t="n">
        <f aca="false">M28</f>
        <v>61062.8053873992</v>
      </c>
      <c r="J29" s="8" t="n">
        <f aca="false">IF(AND(B29&lt;=$E$7),$D$13*12*(1+$E$6)^(B29-1),0)</f>
        <v>1583.35840233539</v>
      </c>
      <c r="K29" s="8" t="n">
        <f aca="false">I29*$E$5</f>
        <v>3663.76832324395</v>
      </c>
      <c r="L29" s="8" t="n">
        <f aca="false">IF(OR(B29=$F$13,B29=$E$8,B29=50),I29+J29+K29,0)</f>
        <v>0</v>
      </c>
      <c r="M29" s="8" t="n">
        <f aca="false">I29+J29+K29-L29</f>
        <v>66309.9321129785</v>
      </c>
      <c r="N29" s="8" t="n">
        <f aca="false">R28</f>
        <v>102522.051096733</v>
      </c>
      <c r="O29" s="8" t="n">
        <f aca="false">IF(AND(B29&lt;=$E$7,B29&lt;$F$14),$D$14*12*(1+$E$10)^(B29-1),0)</f>
        <v>5864.29037901997</v>
      </c>
      <c r="P29" s="8" t="n">
        <f aca="false">N29*$E$5</f>
        <v>6151.32306580399</v>
      </c>
      <c r="Q29" s="8" t="n">
        <f aca="false">IF(B29&gt;=$F$14,IF(($I$14-$E$9-B29+2)&lt;=1,N29+P29,IF($E$5=0,N29/($I$14-$E$9-B29+2),N29*$E$5/(1-(1+$E$5)^(-($I$14-$E$9-B29+2))))*IF(AND(B29=$F$14,ISNUMBER(Proyección!$F$21),N(Proyección!$F$20)&gt;=$E$9),(12-Proyección!$F$21)/12,1)),0)</f>
        <v>0</v>
      </c>
      <c r="R29" s="8" t="n">
        <f aca="false">N29+O29+P29-Q29</f>
        <v>114537.664541557</v>
      </c>
      <c r="S29" s="15" t="n">
        <f aca="false">L29</f>
        <v>0</v>
      </c>
      <c r="T29" s="8" t="n">
        <f aca="false">G29</f>
        <v>0</v>
      </c>
      <c r="U29" s="8" t="n">
        <f aca="false">Q29</f>
        <v>0</v>
      </c>
    </row>
    <row r="30" customFormat="false" ht="13.8" hidden="false" customHeight="false" outlineLevel="0" collapsed="false">
      <c r="B30" s="13" t="n">
        <v>12</v>
      </c>
      <c r="C30" s="13" t="n">
        <f aca="false">Proyección!B41</f>
        <v>2037</v>
      </c>
      <c r="D30" s="8" t="n">
        <f aca="false">H29</f>
        <v>99012.2986227681</v>
      </c>
      <c r="E30" s="8" t="n">
        <f aca="false">IF(AND(B30&lt;=$E$7,B30&lt;$F$12),$D$12*12*(1+$E$6)^(B30-1),0)</f>
        <v>4661.14324340834</v>
      </c>
      <c r="F30" s="8" t="n">
        <f aca="false">D30*$E$5</f>
        <v>5940.73791736609</v>
      </c>
      <c r="G30" s="8" t="n">
        <f aca="false">IF(B30&gt;=$F$12,IF(($I$12-$E$9-B30+2)&lt;=1,D30+F30,IF($E$5=0,D30/($I$12-$E$9-B30+2),D30*$E$5/(1-(1+$E$5)^(-($I$12-$E$9-B30+2))))*IF(AND(B30=$F$12,ISNUMBER(Proyección!$F$21),N(Proyección!$F$20)&gt;=$E$9),(12-Proyección!$F$21)/12,1)),0)</f>
        <v>0</v>
      </c>
      <c r="H30" s="8" t="n">
        <f aca="false">D30+E30+F30-G30</f>
        <v>109614.179783543</v>
      </c>
      <c r="I30" s="8" t="n">
        <f aca="false">M29</f>
        <v>66309.9321129785</v>
      </c>
      <c r="J30" s="8" t="n">
        <f aca="false">IF(AND(B30&lt;=$E$7),$D$13*12*(1+$E$6)^(B30-1),0)</f>
        <v>1645.10938002647</v>
      </c>
      <c r="K30" s="8" t="n">
        <f aca="false">I30*$E$5</f>
        <v>3978.59592677871</v>
      </c>
      <c r="L30" s="8" t="n">
        <f aca="false">IF(OR(B30=$F$13,B30=$E$8,B30=50),I30+J30+K30,0)</f>
        <v>0</v>
      </c>
      <c r="M30" s="8" t="n">
        <f aca="false">I30+J30+K30-L30</f>
        <v>71933.6374197837</v>
      </c>
      <c r="N30" s="8" t="n">
        <f aca="false">R29</f>
        <v>114537.664541557</v>
      </c>
      <c r="O30" s="8" t="n">
        <f aca="false">IF(AND(B30&lt;=$E$7,B30&lt;$F$14),$D$14*12*(1+$E$10)^(B30-1),0)</f>
        <v>6092.99770380175</v>
      </c>
      <c r="P30" s="8" t="n">
        <f aca="false">N30*$E$5</f>
        <v>6872.25987249343</v>
      </c>
      <c r="Q30" s="8" t="n">
        <f aca="false">IF(B30&gt;=$F$14,IF(($I$14-$E$9-B30+2)&lt;=1,N30+P30,IF($E$5=0,N30/($I$14-$E$9-B30+2),N30*$E$5/(1-(1+$E$5)^(-($I$14-$E$9-B30+2))))*IF(AND(B30=$F$14,ISNUMBER(Proyección!$F$21),N(Proyección!$F$20)&gt;=$E$9),(12-Proyección!$F$21)/12,1)),0)</f>
        <v>0</v>
      </c>
      <c r="R30" s="8" t="n">
        <f aca="false">N30+O30+P30-Q30</f>
        <v>127502.922117852</v>
      </c>
      <c r="S30" s="15" t="n">
        <f aca="false">L30</f>
        <v>0</v>
      </c>
      <c r="T30" s="8" t="n">
        <f aca="false">G30</f>
        <v>0</v>
      </c>
      <c r="U30" s="8" t="n">
        <f aca="false">Q30</f>
        <v>0</v>
      </c>
    </row>
    <row r="31" customFormat="false" ht="13.8" hidden="false" customHeight="false" outlineLevel="0" collapsed="false">
      <c r="B31" s="13" t="n">
        <v>13</v>
      </c>
      <c r="C31" s="13" t="n">
        <f aca="false">Proyección!B42</f>
        <v>2038</v>
      </c>
      <c r="D31" s="8" t="n">
        <f aca="false">H30</f>
        <v>109614.179783543</v>
      </c>
      <c r="E31" s="8" t="n">
        <f aca="false">IF(AND(B31&lt;=$E$7,B31&lt;$F$12),$D$12*12*(1+$E$6)^(B31-1),0)</f>
        <v>4842.92782990127</v>
      </c>
      <c r="F31" s="8" t="n">
        <f aca="false">D31*$E$5</f>
        <v>6576.85078701255</v>
      </c>
      <c r="G31" s="8" t="n">
        <f aca="false">IF(B31&gt;=$F$12,IF(($I$12-$E$9-B31+2)&lt;=1,D31+F31,IF($E$5=0,D31/($I$12-$E$9-B31+2),D31*$E$5/(1-(1+$E$5)^(-($I$12-$E$9-B31+2))))*IF(AND(B31=$F$12,ISNUMBER(Proyección!$F$21),N(Proyección!$F$20)&gt;=$E$9),(12-Proyección!$F$21)/12,1)),0)</f>
        <v>0</v>
      </c>
      <c r="H31" s="8" t="n">
        <f aca="false">D31+E31+F31-G31</f>
        <v>121033.958400456</v>
      </c>
      <c r="I31" s="8" t="n">
        <f aca="false">M30</f>
        <v>71933.6374197837</v>
      </c>
      <c r="J31" s="8" t="n">
        <f aca="false">IF(AND(B31&lt;=$E$7),$D$13*12*(1+$E$6)^(B31-1),0)</f>
        <v>1709.26864584751</v>
      </c>
      <c r="K31" s="8" t="n">
        <f aca="false">I31*$E$5</f>
        <v>4316.01824518702</v>
      </c>
      <c r="L31" s="8" t="n">
        <f aca="false">IF(OR(B31=$F$13,B31=$E$8,B31=50),I31+J31+K31,0)</f>
        <v>0</v>
      </c>
      <c r="M31" s="8" t="n">
        <f aca="false">I31+J31+K31-L31</f>
        <v>77958.9243108182</v>
      </c>
      <c r="N31" s="8" t="n">
        <f aca="false">R30</f>
        <v>127502.922117852</v>
      </c>
      <c r="O31" s="8" t="n">
        <f aca="false">IF(AND(B31&lt;=$E$7,B31&lt;$F$14),$D$14*12*(1+$E$10)^(B31-1),0)</f>
        <v>6330.62461425002</v>
      </c>
      <c r="P31" s="8" t="n">
        <f aca="false">N31*$E$5</f>
        <v>7650.17532707114</v>
      </c>
      <c r="Q31" s="8" t="n">
        <f aca="false">IF(B31&gt;=$F$14,IF(($I$14-$E$9-B31+2)&lt;=1,N31+P31,IF($E$5=0,N31/($I$14-$E$9-B31+2),N31*$E$5/(1-(1+$E$5)^(-($I$14-$E$9-B31+2))))*IF(AND(B31=$F$14,ISNUMBER(Proyección!$F$21),N(Proyección!$F$20)&gt;=$E$9),(12-Proyección!$F$21)/12,1)),0)</f>
        <v>0</v>
      </c>
      <c r="R31" s="8" t="n">
        <f aca="false">N31+O31+P31-Q31</f>
        <v>141483.722059174</v>
      </c>
      <c r="S31" s="15" t="n">
        <f aca="false">L31</f>
        <v>0</v>
      </c>
      <c r="T31" s="8" t="n">
        <f aca="false">G31</f>
        <v>0</v>
      </c>
      <c r="U31" s="8" t="n">
        <f aca="false">Q31</f>
        <v>0</v>
      </c>
    </row>
    <row r="32" customFormat="false" ht="13.8" hidden="false" customHeight="false" outlineLevel="0" collapsed="false">
      <c r="B32" s="13" t="n">
        <v>14</v>
      </c>
      <c r="C32" s="13" t="n">
        <f aca="false">Proyección!B43</f>
        <v>2039</v>
      </c>
      <c r="D32" s="8" t="n">
        <f aca="false">H31</f>
        <v>121033.958400456</v>
      </c>
      <c r="E32" s="8" t="n">
        <f aca="false">IF(AND(B32&lt;=$E$7,B32&lt;$F$12),$D$12*12*(1+$E$6)^(B32-1),0)</f>
        <v>5031.80201526741</v>
      </c>
      <c r="F32" s="8" t="n">
        <f aca="false">D32*$E$5</f>
        <v>7262.03750402738</v>
      </c>
      <c r="G32" s="8" t="n">
        <f aca="false">IF(B32&gt;=$F$12,IF(($I$12-$E$9-B32+2)&lt;=1,D32+F32,IF($E$5=0,D32/($I$12-$E$9-B32+2),D32*$E$5/(1-(1+$E$5)^(-($I$12-$E$9-B32+2))))*IF(AND(B32=$F$12,ISNUMBER(Proyección!$F$21),N(Proyección!$F$20)&gt;=$E$9),(12-Proyección!$F$21)/12,1)),0)</f>
        <v>0</v>
      </c>
      <c r="H32" s="8" t="n">
        <f aca="false">D32+E32+F32-G32</f>
        <v>133327.797919751</v>
      </c>
      <c r="I32" s="8" t="n">
        <f aca="false">M31</f>
        <v>77958.9243108182</v>
      </c>
      <c r="J32" s="8" t="n">
        <f aca="false">IF(AND(B32&lt;=$E$7),$D$13*12*(1+$E$6)^(B32-1),0)</f>
        <v>1775.93012303556</v>
      </c>
      <c r="K32" s="8" t="n">
        <f aca="false">I32*$E$5</f>
        <v>4677.53545864909</v>
      </c>
      <c r="L32" s="8" t="n">
        <f aca="false">IF(OR(B32=$F$13,B32=$E$8,B32=50),I32+J32+K32,0)</f>
        <v>0</v>
      </c>
      <c r="M32" s="8" t="n">
        <f aca="false">I32+J32+K32-L32</f>
        <v>84412.3898925029</v>
      </c>
      <c r="N32" s="8" t="n">
        <f aca="false">R31</f>
        <v>141483.722059174</v>
      </c>
      <c r="O32" s="8" t="n">
        <f aca="false">IF(AND(B32&lt;=$E$7,B32&lt;$F$14),$D$14*12*(1+$E$10)^(B32-1),0)</f>
        <v>6577.51897420577</v>
      </c>
      <c r="P32" s="8" t="n">
        <f aca="false">N32*$E$5</f>
        <v>8489.02332355041</v>
      </c>
      <c r="Q32" s="8" t="n">
        <f aca="false">IF(B32&gt;=$F$14,IF(($I$14-$E$9-B32+2)&lt;=1,N32+P32,IF($E$5=0,N32/($I$14-$E$9-B32+2),N32*$E$5/(1-(1+$E$5)^(-($I$14-$E$9-B32+2))))*IF(AND(B32=$F$14,ISNUMBER(Proyección!$F$21),N(Proyección!$F$20)&gt;=$E$9),(12-Proyección!$F$21)/12,1)),0)</f>
        <v>0</v>
      </c>
      <c r="R32" s="8" t="n">
        <f aca="false">N32+O32+P32-Q32</f>
        <v>156550.26435693</v>
      </c>
      <c r="S32" s="15" t="n">
        <f aca="false">L32</f>
        <v>0</v>
      </c>
      <c r="T32" s="8" t="n">
        <f aca="false">G32</f>
        <v>0</v>
      </c>
      <c r="U32" s="8" t="n">
        <f aca="false">Q32</f>
        <v>0</v>
      </c>
    </row>
    <row r="33" customFormat="false" ht="13.8" hidden="false" customHeight="false" outlineLevel="0" collapsed="false">
      <c r="B33" s="13" t="n">
        <v>15</v>
      </c>
      <c r="C33" s="13" t="n">
        <f aca="false">Proyección!B44</f>
        <v>2040</v>
      </c>
      <c r="D33" s="8" t="n">
        <f aca="false">H32</f>
        <v>133327.797919751</v>
      </c>
      <c r="E33" s="8" t="n">
        <f aca="false">IF(AND(B33&lt;=$E$7,B33&lt;$F$12),$D$12*12*(1+$E$6)^(B33-1),0)</f>
        <v>0</v>
      </c>
      <c r="F33" s="8" t="n">
        <f aca="false">D33*$E$5</f>
        <v>7999.66787518507</v>
      </c>
      <c r="G33" s="8" t="n">
        <f aca="false">IF(B33&gt;=$F$12,IF(($I$12-$E$9-B33+2)&lt;=1,D33+F33,IF($E$5=0,D33/($I$12-$E$9-B33+2),D33*$E$5/(1-(1+$E$5)^(-($I$12-$E$9-B33+2))))*IF(AND(B33=$F$12,ISNUMBER(Proyección!$F$21),N(Proyección!$F$20)&gt;=$E$9),(12-Proyección!$F$21)/12,1)),0)</f>
        <v>0</v>
      </c>
      <c r="H33" s="8" t="n">
        <f aca="false">D33+E33+F33-G33</f>
        <v>141327.465794936</v>
      </c>
      <c r="I33" s="8" t="n">
        <f aca="false">M32</f>
        <v>84412.3898925029</v>
      </c>
      <c r="J33" s="8" t="n">
        <f aca="false">IF(AND(B33&lt;=$E$7),$D$13*12*(1+$E$6)^(B33-1),0)</f>
        <v>0</v>
      </c>
      <c r="K33" s="8" t="n">
        <f aca="false">I33*$E$5</f>
        <v>5064.74339355017</v>
      </c>
      <c r="L33" s="8" t="n">
        <f aca="false">IF(OR(B33=$F$13,B33=$E$8,B33=50),I33+J33+K33,0)</f>
        <v>89477.133286053</v>
      </c>
      <c r="M33" s="8" t="n">
        <f aca="false">I33+J33+K33-L33</f>
        <v>0</v>
      </c>
      <c r="N33" s="8" t="n">
        <f aca="false">R32</f>
        <v>156550.26435693</v>
      </c>
      <c r="O33" s="8" t="n">
        <f aca="false">IF(AND(B33&lt;=$E$7,B33&lt;$F$14),$D$14*12*(1+$E$10)^(B33-1),0)</f>
        <v>0</v>
      </c>
      <c r="P33" s="8" t="n">
        <f aca="false">N33*$E$5</f>
        <v>9393.01586141578</v>
      </c>
      <c r="Q33" s="8" t="n">
        <f aca="false">IF(B33&gt;=$F$14,IF(($I$14-$E$9-B33+2)&lt;=1,N33+P33,IF($E$5=0,N33/($I$14-$E$9-B33+2),N33*$E$5/(1-(1+$E$5)^(-($I$14-$E$9-B33+2))))*IF(AND(B33=$F$14,ISNUMBER(Proyección!$F$21),N(Proyección!$F$20)&gt;=$E$9),(12-Proyección!$F$21)/12,1)),0)</f>
        <v>0</v>
      </c>
      <c r="R33" s="8" t="n">
        <f aca="false">N33+O33+P33-Q33</f>
        <v>165943.280218345</v>
      </c>
      <c r="S33" s="15" t="n">
        <f aca="false">L33</f>
        <v>89477.133286053</v>
      </c>
      <c r="T33" s="8" t="n">
        <f aca="false">G33</f>
        <v>0</v>
      </c>
      <c r="U33" s="8" t="n">
        <f aca="false">Q33</f>
        <v>0</v>
      </c>
    </row>
    <row r="34" customFormat="false" ht="13.8" hidden="false" customHeight="false" outlineLevel="0" collapsed="false">
      <c r="B34" s="13" t="n">
        <v>16</v>
      </c>
      <c r="C34" s="13" t="n">
        <f aca="false">Proyección!B45</f>
        <v>2041</v>
      </c>
      <c r="D34" s="8" t="n">
        <f aca="false">H33</f>
        <v>141327.465794936</v>
      </c>
      <c r="E34" s="8" t="n">
        <f aca="false">IF(AND(B34&lt;=$E$7,B34&lt;$F$12),$D$12*12*(1+$E$6)^(B34-1),0)</f>
        <v>0</v>
      </c>
      <c r="F34" s="8" t="n">
        <f aca="false">D34*$E$5</f>
        <v>8479.64794769617</v>
      </c>
      <c r="G34" s="8" t="n">
        <f aca="false">IF(B34&gt;=$F$12,IF(($I$12-$E$9-B34+2)&lt;=1,D34+F34,IF($E$5=0,D34/($I$12-$E$9-B34+2),D34*$E$5/(1-(1+$E$5)^(-($I$12-$E$9-B34+2))))*IF(AND(B34=$F$12,ISNUMBER(Proyección!$F$21),N(Proyección!$F$20)&gt;=$E$9),(12-Proyección!$F$21)/12,1)),0)</f>
        <v>0</v>
      </c>
      <c r="H34" s="8" t="n">
        <f aca="false">D34+E34+F34-G34</f>
        <v>149807.113742632</v>
      </c>
      <c r="I34" s="8" t="n">
        <f aca="false">M33</f>
        <v>0</v>
      </c>
      <c r="J34" s="8" t="n">
        <f aca="false">IF(AND(B34&lt;=$E$7),$D$13*12*(1+$E$6)^(B34-1),0)</f>
        <v>0</v>
      </c>
      <c r="K34" s="8" t="n">
        <f aca="false">I34*$E$5</f>
        <v>0</v>
      </c>
      <c r="L34" s="8" t="n">
        <f aca="false">IF(OR(B34=$F$13,B34=$E$8,B34=50),I34+J34+K34,0)</f>
        <v>0</v>
      </c>
      <c r="M34" s="8" t="n">
        <f aca="false">I34+J34+K34-L34</f>
        <v>0</v>
      </c>
      <c r="N34" s="8" t="n">
        <f aca="false">R33</f>
        <v>165943.280218345</v>
      </c>
      <c r="O34" s="8" t="n">
        <f aca="false">IF(AND(B34&lt;=$E$7,B34&lt;$F$14),$D$14*12*(1+$E$10)^(B34-1),0)</f>
        <v>0</v>
      </c>
      <c r="P34" s="8" t="n">
        <f aca="false">N34*$E$5</f>
        <v>9956.59681310073</v>
      </c>
      <c r="Q34" s="8" t="n">
        <f aca="false">IF(B34&gt;=$F$14,IF(($I$14-$E$9-B34+2)&lt;=1,N34+P34,IF($E$5=0,N34/($I$14-$E$9-B34+2),N34*$E$5/(1-(1+$E$5)^(-($I$14-$E$9-B34+2))))*IF(AND(B34=$F$14,ISNUMBER(Proyección!$F$21),N(Proyección!$F$20)&gt;=$E$9),(12-Proyección!$F$21)/12,1)),0)</f>
        <v>0</v>
      </c>
      <c r="R34" s="8" t="n">
        <f aca="false">N34+O34+P34-Q34</f>
        <v>175899.877031446</v>
      </c>
      <c r="S34" s="15" t="n">
        <f aca="false">L34</f>
        <v>0</v>
      </c>
      <c r="T34" s="8" t="n">
        <f aca="false">G34</f>
        <v>0</v>
      </c>
      <c r="U34" s="8" t="n">
        <f aca="false">Q34</f>
        <v>0</v>
      </c>
    </row>
    <row r="35" customFormat="false" ht="13.8" hidden="false" customHeight="false" outlineLevel="0" collapsed="false">
      <c r="B35" s="13" t="n">
        <v>17</v>
      </c>
      <c r="C35" s="13" t="n">
        <f aca="false">Proyección!B46</f>
        <v>2042</v>
      </c>
      <c r="D35" s="8" t="n">
        <f aca="false">H34</f>
        <v>149807.113742632</v>
      </c>
      <c r="E35" s="8" t="n">
        <f aca="false">IF(AND(B35&lt;=$E$7,B35&lt;$F$12),$D$12*12*(1+$E$6)^(B35-1),0)</f>
        <v>0</v>
      </c>
      <c r="F35" s="8" t="n">
        <f aca="false">D35*$E$5</f>
        <v>8988.42682455794</v>
      </c>
      <c r="G35" s="8" t="n">
        <f aca="false">IF(B35&gt;=$F$12,IF(($I$12-$E$9-B35+2)&lt;=1,D35+F35,IF($E$5=0,D35/($I$12-$E$9-B35+2),D35*$E$5/(1-(1+$E$5)^(-($I$12-$E$9-B35+2))))*IF(AND(B35=$F$12,ISNUMBER(Proyección!$F$21),N(Proyección!$F$20)&gt;=$E$9),(12-Proyección!$F$21)/12,1)),0)</f>
        <v>0</v>
      </c>
      <c r="H35" s="8" t="n">
        <f aca="false">D35+E35+F35-G35</f>
        <v>158795.54056719</v>
      </c>
      <c r="I35" s="8" t="n">
        <f aca="false">M34</f>
        <v>0</v>
      </c>
      <c r="J35" s="8" t="n">
        <f aca="false">IF(AND(B35&lt;=$E$7),$D$13*12*(1+$E$6)^(B35-1),0)</f>
        <v>0</v>
      </c>
      <c r="K35" s="8" t="n">
        <f aca="false">I35*$E$5</f>
        <v>0</v>
      </c>
      <c r="L35" s="8" t="n">
        <f aca="false">IF(OR(B35=$F$13,B35=$E$8,B35=50),I35+J35+K35,0)</f>
        <v>0</v>
      </c>
      <c r="M35" s="8" t="n">
        <f aca="false">I35+J35+K35-L35</f>
        <v>0</v>
      </c>
      <c r="N35" s="8" t="n">
        <f aca="false">R34</f>
        <v>175899.877031446</v>
      </c>
      <c r="O35" s="8" t="n">
        <f aca="false">IF(AND(B35&lt;=$E$7,B35&lt;$F$14),$D$14*12*(1+$E$10)^(B35-1),0)</f>
        <v>0</v>
      </c>
      <c r="P35" s="8" t="n">
        <f aca="false">N35*$E$5</f>
        <v>10553.9926218868</v>
      </c>
      <c r="Q35" s="8" t="n">
        <f aca="false">IF(B35&gt;=$F$14,IF(($I$14-$E$9-B35+2)&lt;=1,N35+P35,IF($E$5=0,N35/($I$14-$E$9-B35+2),N35*$E$5/(1-(1+$E$5)^(-($I$14-$E$9-B35+2))))*IF(AND(B35=$F$14,ISNUMBER(Proyección!$F$21),N(Proyección!$F$20)&gt;=$E$9),(12-Proyección!$F$21)/12,1)),0)</f>
        <v>0</v>
      </c>
      <c r="R35" s="8" t="n">
        <f aca="false">N35+O35+P35-Q35</f>
        <v>186453.869653333</v>
      </c>
      <c r="S35" s="15" t="n">
        <f aca="false">L35</f>
        <v>0</v>
      </c>
      <c r="T35" s="8" t="n">
        <f aca="false">G35</f>
        <v>0</v>
      </c>
      <c r="U35" s="8" t="n">
        <f aca="false">Q35</f>
        <v>0</v>
      </c>
    </row>
    <row r="36" customFormat="false" ht="13.8" hidden="false" customHeight="false" outlineLevel="0" collapsed="false">
      <c r="B36" s="13" t="n">
        <v>18</v>
      </c>
      <c r="C36" s="13" t="n">
        <f aca="false">Proyección!B47</f>
        <v>2043</v>
      </c>
      <c r="D36" s="8" t="n">
        <f aca="false">H35</f>
        <v>158795.54056719</v>
      </c>
      <c r="E36" s="8" t="n">
        <f aca="false">IF(AND(B36&lt;=$E$7,B36&lt;$F$12),$D$12*12*(1+$E$6)^(B36-1),0)</f>
        <v>0</v>
      </c>
      <c r="F36" s="8" t="n">
        <f aca="false">D36*$E$5</f>
        <v>9527.73243403142</v>
      </c>
      <c r="G36" s="8" t="n">
        <f aca="false">IF(B36&gt;=$F$12,IF(($I$12-$E$9-B36+2)&lt;=1,D36+F36,IF($E$5=0,D36/($I$12-$E$9-B36+2),D36*$E$5/(1-(1+$E$5)^(-($I$12-$E$9-B36+2))))*IF(AND(B36=$F$12,ISNUMBER(Proyección!$F$21),N(Proyección!$F$20)&gt;=$E$9),(12-Proyección!$F$21)/12,1)),0)</f>
        <v>0</v>
      </c>
      <c r="H36" s="8" t="n">
        <f aca="false">D36+E36+F36-G36</f>
        <v>168323.273001222</v>
      </c>
      <c r="I36" s="8" t="n">
        <f aca="false">M35</f>
        <v>0</v>
      </c>
      <c r="J36" s="8" t="n">
        <f aca="false">IF(AND(B36&lt;=$E$7),$D$13*12*(1+$E$6)^(B36-1),0)</f>
        <v>0</v>
      </c>
      <c r="K36" s="8" t="n">
        <f aca="false">I36*$E$5</f>
        <v>0</v>
      </c>
      <c r="L36" s="8" t="n">
        <f aca="false">IF(OR(B36=$F$13,B36=$E$8,B36=50),I36+J36+K36,0)</f>
        <v>0</v>
      </c>
      <c r="M36" s="8" t="n">
        <f aca="false">I36+J36+K36-L36</f>
        <v>0</v>
      </c>
      <c r="N36" s="8" t="n">
        <f aca="false">R35</f>
        <v>186453.869653333</v>
      </c>
      <c r="O36" s="8" t="n">
        <f aca="false">IF(AND(B36&lt;=$E$7,B36&lt;$F$14),$D$14*12*(1+$E$10)^(B36-1),0)</f>
        <v>0</v>
      </c>
      <c r="P36" s="8" t="n">
        <f aca="false">N36*$E$5</f>
        <v>11187.2321792</v>
      </c>
      <c r="Q36" s="8" t="n">
        <f aca="false">IF(B36&gt;=$F$14,IF(($I$14-$E$9-B36+2)&lt;=1,N36+P36,IF($E$5=0,N36/($I$14-$E$9-B36+2),N36*$E$5/(1-(1+$E$5)^(-($I$14-$E$9-B36+2))))*IF(AND(B36=$F$14,ISNUMBER(Proyección!$F$21),N(Proyección!$F$20)&gt;=$E$9),(12-Proyección!$F$21)/12,1)),0)</f>
        <v>0</v>
      </c>
      <c r="R36" s="8" t="n">
        <f aca="false">N36+O36+P36-Q36</f>
        <v>197641.101832533</v>
      </c>
      <c r="S36" s="15" t="n">
        <f aca="false">L36</f>
        <v>0</v>
      </c>
      <c r="T36" s="8" t="n">
        <f aca="false">G36</f>
        <v>0</v>
      </c>
      <c r="U36" s="8" t="n">
        <f aca="false">Q36</f>
        <v>0</v>
      </c>
    </row>
    <row r="37" customFormat="false" ht="13.8" hidden="false" customHeight="false" outlineLevel="0" collapsed="false">
      <c r="B37" s="13" t="n">
        <v>19</v>
      </c>
      <c r="C37" s="13" t="n">
        <f aca="false">Proyección!B48</f>
        <v>2044</v>
      </c>
      <c r="D37" s="8" t="n">
        <f aca="false">H36</f>
        <v>168323.273001222</v>
      </c>
      <c r="E37" s="8" t="n">
        <f aca="false">IF(AND(B37&lt;=$E$7,B37&lt;$F$12),$D$12*12*(1+$E$6)^(B37-1),0)</f>
        <v>0</v>
      </c>
      <c r="F37" s="8" t="n">
        <f aca="false">D37*$E$5</f>
        <v>10099.3963800733</v>
      </c>
      <c r="G37" s="8" t="n">
        <f aca="false">IF(B37&gt;=$F$12,IF(($I$12-$E$9-B37+2)&lt;=1,D37+F37,IF($E$5=0,D37/($I$12-$E$9-B37+2),D37*$E$5/(1-(1+$E$5)^(-($I$12-$E$9-B37+2))))*IF(AND(B37=$F$12,ISNUMBER(Proyección!$F$21),N(Proyección!$F$20)&gt;=$E$9),(12-Proyección!$F$21)/12,1)),0)</f>
        <v>0</v>
      </c>
      <c r="H37" s="8" t="n">
        <f aca="false">D37+E37+F37-G37</f>
        <v>178422.669381295</v>
      </c>
      <c r="I37" s="8" t="n">
        <f aca="false">M36</f>
        <v>0</v>
      </c>
      <c r="J37" s="8" t="n">
        <f aca="false">IF(AND(B37&lt;=$E$7),$D$13*12*(1+$E$6)^(B37-1),0)</f>
        <v>0</v>
      </c>
      <c r="K37" s="8" t="n">
        <f aca="false">I37*$E$5</f>
        <v>0</v>
      </c>
      <c r="L37" s="8" t="n">
        <f aca="false">IF(OR(B37=$F$13,B37=$E$8,B37=50),I37+J37+K37,0)</f>
        <v>0</v>
      </c>
      <c r="M37" s="8" t="n">
        <f aca="false">I37+J37+K37-L37</f>
        <v>0</v>
      </c>
      <c r="N37" s="8" t="n">
        <f aca="false">R36</f>
        <v>197641.101832533</v>
      </c>
      <c r="O37" s="8" t="n">
        <f aca="false">IF(AND(B37&lt;=$E$7,B37&lt;$F$14),$D$14*12*(1+$E$10)^(B37-1),0)</f>
        <v>0</v>
      </c>
      <c r="P37" s="8" t="n">
        <f aca="false">N37*$E$5</f>
        <v>11858.466109952</v>
      </c>
      <c r="Q37" s="8" t="n">
        <f aca="false">IF(B37&gt;=$F$14,IF(($I$14-$E$9-B37+2)&lt;=1,N37+P37,IF($E$5=0,N37/($I$14-$E$9-B37+2),N37*$E$5/(1-(1+$E$5)^(-($I$14-$E$9-B37+2))))*IF(AND(B37=$F$14,ISNUMBER(Proyección!$F$21),N(Proyección!$F$20)&gt;=$E$9),(12-Proyección!$F$21)/12,1)),0)</f>
        <v>0</v>
      </c>
      <c r="R37" s="8" t="n">
        <f aca="false">N37+O37+P37-Q37</f>
        <v>209499.567942485</v>
      </c>
      <c r="S37" s="15" t="n">
        <f aca="false">L37</f>
        <v>0</v>
      </c>
      <c r="T37" s="8" t="n">
        <f aca="false">G37</f>
        <v>0</v>
      </c>
      <c r="U37" s="8" t="n">
        <f aca="false">Q37</f>
        <v>0</v>
      </c>
    </row>
    <row r="38" customFormat="false" ht="13.8" hidden="false" customHeight="false" outlineLevel="0" collapsed="false">
      <c r="B38" s="13" t="n">
        <v>20</v>
      </c>
      <c r="C38" s="13" t="n">
        <f aca="false">Proyección!B49</f>
        <v>2045</v>
      </c>
      <c r="D38" s="8" t="n">
        <f aca="false">H37</f>
        <v>178422.669381295</v>
      </c>
      <c r="E38" s="8" t="n">
        <f aca="false">IF(AND(B38&lt;=$E$7,B38&lt;$F$12),$D$12*12*(1+$E$6)^(B38-1),0)</f>
        <v>0</v>
      </c>
      <c r="F38" s="8" t="n">
        <f aca="false">D38*$E$5</f>
        <v>10705.3601628777</v>
      </c>
      <c r="G38" s="8" t="n">
        <f aca="false">IF(B38&gt;=$F$12,IF(($I$12-$E$9-B38+2)&lt;=1,D38+F38,IF($E$5=0,D38/($I$12-$E$9-B38+2),D38*$E$5/(1-(1+$E$5)^(-($I$12-$E$9-B38+2))))*IF(AND(B38=$F$12,ISNUMBER(Proyección!$F$21),N(Proyección!$F$20)&gt;=$E$9),(12-Proyección!$F$21)/12,1)),0)</f>
        <v>7118.52691759062</v>
      </c>
      <c r="H38" s="8" t="n">
        <f aca="false">D38+E38+F38-G38</f>
        <v>182009.502626582</v>
      </c>
      <c r="I38" s="8" t="n">
        <f aca="false">M37</f>
        <v>0</v>
      </c>
      <c r="J38" s="8" t="n">
        <f aca="false">IF(AND(B38&lt;=$E$7),$D$13*12*(1+$E$6)^(B38-1),0)</f>
        <v>0</v>
      </c>
      <c r="K38" s="8" t="n">
        <f aca="false">I38*$E$5</f>
        <v>0</v>
      </c>
      <c r="L38" s="8" t="n">
        <f aca="false">IF(OR(B38=$F$13,B38=$E$8,B38=50),I38+J38+K38,0)</f>
        <v>0</v>
      </c>
      <c r="M38" s="8" t="n">
        <f aca="false">I38+J38+K38-L38</f>
        <v>0</v>
      </c>
      <c r="N38" s="8" t="n">
        <f aca="false">R37</f>
        <v>209499.567942485</v>
      </c>
      <c r="O38" s="8" t="n">
        <f aca="false">IF(AND(B38&lt;=$E$7,B38&lt;$F$14),$D$14*12*(1+$E$10)^(B38-1),0)</f>
        <v>0</v>
      </c>
      <c r="P38" s="8" t="n">
        <f aca="false">N38*$E$5</f>
        <v>12569.9740765491</v>
      </c>
      <c r="Q38" s="8" t="n">
        <f aca="false">IF(B38&gt;=$F$14,IF(($I$14-$E$9-B38+2)&lt;=1,N38+P38,IF($E$5=0,N38/($I$14-$E$9-B38+2),N38*$E$5/(1-(1+$E$5)^(-($I$14-$E$9-B38+2))))*IF(AND(B38=$F$14,ISNUMBER(Proyección!$F$21),N(Proyección!$F$20)&gt;=$E$9),(12-Proyección!$F$21)/12,1)),0)</f>
        <v>8358.40153492586</v>
      </c>
      <c r="R38" s="8" t="n">
        <f aca="false">N38+O38+P38-Q38</f>
        <v>213711.140484108</v>
      </c>
      <c r="S38" s="15" t="n">
        <f aca="false">L38</f>
        <v>0</v>
      </c>
      <c r="T38" s="8" t="n">
        <f aca="false">G38</f>
        <v>7118.52691759062</v>
      </c>
      <c r="U38" s="8" t="n">
        <f aca="false">Q38</f>
        <v>8358.40153492586</v>
      </c>
    </row>
    <row r="39" customFormat="false" ht="13.8" hidden="false" customHeight="false" outlineLevel="0" collapsed="false">
      <c r="B39" s="13" t="n">
        <v>21</v>
      </c>
      <c r="C39" s="13" t="n">
        <f aca="false">Proyección!B50</f>
        <v>2046</v>
      </c>
      <c r="D39" s="8" t="n">
        <f aca="false">H38</f>
        <v>182009.502626582</v>
      </c>
      <c r="E39" s="8" t="n">
        <f aca="false">IF(AND(B39&lt;=$E$7,B39&lt;$F$12),$D$12*12*(1+$E$6)^(B39-1),0)</f>
        <v>0</v>
      </c>
      <c r="F39" s="8" t="n">
        <f aca="false">D39*$E$5</f>
        <v>10920.5701575949</v>
      </c>
      <c r="G39" s="8" t="n">
        <f aca="false">IF(B39&gt;=$F$12,IF(($I$12-$E$9-B39+2)&lt;=1,D39+F39,IF($E$5=0,D39/($I$12-$E$9-B39+2),D39*$E$5/(1-(1+$E$5)^(-($I$12-$E$9-B39+2))))*IF(AND(B39=$F$12,ISNUMBER(Proyección!$F$21),N(Proyección!$F$20)&gt;=$E$9),(12-Proyección!$F$21)/12,1)),0)</f>
        <v>12553.8977671245</v>
      </c>
      <c r="H39" s="8" t="n">
        <f aca="false">D39+E39+F39-G39</f>
        <v>180376.175017053</v>
      </c>
      <c r="I39" s="8" t="n">
        <f aca="false">M38</f>
        <v>0</v>
      </c>
      <c r="J39" s="8" t="n">
        <f aca="false">IF(AND(B39&lt;=$E$7),$D$13*12*(1+$E$6)^(B39-1),0)</f>
        <v>0</v>
      </c>
      <c r="K39" s="8" t="n">
        <f aca="false">I39*$E$5</f>
        <v>0</v>
      </c>
      <c r="L39" s="8" t="n">
        <f aca="false">IF(OR(B39=$F$13,B39=$E$8,B39=50),I39+J39+K39,0)</f>
        <v>0</v>
      </c>
      <c r="M39" s="8" t="n">
        <f aca="false">I39+J39+K39-L39</f>
        <v>0</v>
      </c>
      <c r="N39" s="8" t="n">
        <f aca="false">R38</f>
        <v>213711.140484108</v>
      </c>
      <c r="O39" s="8" t="n">
        <f aca="false">IF(AND(B39&lt;=$E$7,B39&lt;$F$14),$D$14*12*(1+$E$10)^(B39-1),0)</f>
        <v>0</v>
      </c>
      <c r="P39" s="8" t="n">
        <f aca="false">N39*$E$5</f>
        <v>12822.6684290465</v>
      </c>
      <c r="Q39" s="8" t="n">
        <f aca="false">IF(B39&gt;=$F$14,IF(($I$14-$E$9-B39+2)&lt;=1,N39+P39,IF($E$5=0,N39/($I$14-$E$9-B39+2),N39*$E$5/(1-(1+$E$5)^(-($I$14-$E$9-B39+2))))*IF(AND(B39=$F$14,ISNUMBER(Proyección!$F$21),N(Proyección!$F$20)&gt;=$E$9),(12-Proyección!$F$21)/12,1)),0)</f>
        <v>14740.4820661339</v>
      </c>
      <c r="R39" s="8" t="n">
        <f aca="false">N39+O39+P39-Q39</f>
        <v>211793.326847021</v>
      </c>
      <c r="S39" s="15" t="n">
        <f aca="false">L39</f>
        <v>0</v>
      </c>
      <c r="T39" s="8" t="n">
        <f aca="false">G39</f>
        <v>12553.8977671245</v>
      </c>
      <c r="U39" s="8" t="n">
        <f aca="false">Q39</f>
        <v>14740.4820661339</v>
      </c>
    </row>
    <row r="40" customFormat="false" ht="13.8" hidden="false" customHeight="false" outlineLevel="0" collapsed="false">
      <c r="B40" s="13" t="n">
        <v>22</v>
      </c>
      <c r="C40" s="13" t="n">
        <f aca="false">Proyección!B51</f>
        <v>2047</v>
      </c>
      <c r="D40" s="8" t="n">
        <f aca="false">H39</f>
        <v>180376.175017053</v>
      </c>
      <c r="E40" s="8" t="n">
        <f aca="false">IF(AND(B40&lt;=$E$7,B40&lt;$F$12),$D$12*12*(1+$E$6)^(B40-1),0)</f>
        <v>0</v>
      </c>
      <c r="F40" s="8" t="n">
        <f aca="false">D40*$E$5</f>
        <v>10822.5705010232</v>
      </c>
      <c r="G40" s="8" t="n">
        <f aca="false">IF(B40&gt;=$F$12,IF(($I$12-$E$9-B40+2)&lt;=1,D40+F40,IF($E$5=0,D40/($I$12-$E$9-B40+2),D40*$E$5/(1-(1+$E$5)^(-($I$12-$E$9-B40+2))))*IF(AND(B40=$F$12,ISNUMBER(Proyección!$F$21),N(Proyección!$F$20)&gt;=$E$9),(12-Proyección!$F$21)/12,1)),0)</f>
        <v>12553.8977671245</v>
      </c>
      <c r="H40" s="8" t="n">
        <f aca="false">D40+E40+F40-G40</f>
        <v>178644.847750951</v>
      </c>
      <c r="I40" s="8" t="n">
        <f aca="false">M39</f>
        <v>0</v>
      </c>
      <c r="J40" s="8" t="n">
        <f aca="false">IF(AND(B40&lt;=$E$7),$D$13*12*(1+$E$6)^(B40-1),0)</f>
        <v>0</v>
      </c>
      <c r="K40" s="8" t="n">
        <f aca="false">I40*$E$5</f>
        <v>0</v>
      </c>
      <c r="L40" s="8" t="n">
        <f aca="false">IF(OR(B40=$F$13,B40=$E$8,B40=50),I40+J40+K40,0)</f>
        <v>0</v>
      </c>
      <c r="M40" s="8" t="n">
        <f aca="false">I40+J40+K40-L40</f>
        <v>0</v>
      </c>
      <c r="N40" s="8" t="n">
        <f aca="false">R39</f>
        <v>211793.326847021</v>
      </c>
      <c r="O40" s="8" t="n">
        <f aca="false">IF(AND(B40&lt;=$E$7,B40&lt;$F$14),$D$14*12*(1+$E$10)^(B40-1),0)</f>
        <v>0</v>
      </c>
      <c r="P40" s="8" t="n">
        <f aca="false">N40*$E$5</f>
        <v>12707.5996108212</v>
      </c>
      <c r="Q40" s="8" t="n">
        <f aca="false">IF(B40&gt;=$F$14,IF(($I$14-$E$9-B40+2)&lt;=1,N40+P40,IF($E$5=0,N40/($I$14-$E$9-B40+2),N40*$E$5/(1-(1+$E$5)^(-($I$14-$E$9-B40+2))))*IF(AND(B40=$F$14,ISNUMBER(Proyección!$F$21),N(Proyección!$F$20)&gt;=$E$9),(12-Proyección!$F$21)/12,1)),0)</f>
        <v>14740.4820661339</v>
      </c>
      <c r="R40" s="8" t="n">
        <f aca="false">N40+O40+P40-Q40</f>
        <v>209760.444391708</v>
      </c>
      <c r="S40" s="15" t="n">
        <f aca="false">L40</f>
        <v>0</v>
      </c>
      <c r="T40" s="8" t="n">
        <f aca="false">G40</f>
        <v>12553.8977671245</v>
      </c>
      <c r="U40" s="8" t="n">
        <f aca="false">Q40</f>
        <v>14740.4820661339</v>
      </c>
    </row>
    <row r="41" customFormat="false" ht="13.8" hidden="false" customHeight="false" outlineLevel="0" collapsed="false">
      <c r="B41" s="13" t="n">
        <v>23</v>
      </c>
      <c r="C41" s="13" t="n">
        <f aca="false">Proyección!B52</f>
        <v>2048</v>
      </c>
      <c r="D41" s="8" t="n">
        <f aca="false">H40</f>
        <v>178644.847750951</v>
      </c>
      <c r="E41" s="8" t="n">
        <f aca="false">IF(AND(B41&lt;=$E$7,B41&lt;$F$12),$D$12*12*(1+$E$6)^(B41-1),0)</f>
        <v>0</v>
      </c>
      <c r="F41" s="8" t="n">
        <f aca="false">D41*$E$5</f>
        <v>10718.6908650571</v>
      </c>
      <c r="G41" s="8" t="n">
        <f aca="false">IF(B41&gt;=$F$12,IF(($I$12-$E$9-B41+2)&lt;=1,D41+F41,IF($E$5=0,D41/($I$12-$E$9-B41+2),D41*$E$5/(1-(1+$E$5)^(-($I$12-$E$9-B41+2))))*IF(AND(B41=$F$12,ISNUMBER(Proyección!$F$21),N(Proyección!$F$20)&gt;=$E$9),(12-Proyección!$F$21)/12,1)),0)</f>
        <v>12553.8977671245</v>
      </c>
      <c r="H41" s="8" t="n">
        <f aca="false">D41+E41+F41-G41</f>
        <v>176809.640848884</v>
      </c>
      <c r="I41" s="8" t="n">
        <f aca="false">M40</f>
        <v>0</v>
      </c>
      <c r="J41" s="8" t="n">
        <f aca="false">IF(AND(B41&lt;=$E$7),$D$13*12*(1+$E$6)^(B41-1),0)</f>
        <v>0</v>
      </c>
      <c r="K41" s="8" t="n">
        <f aca="false">I41*$E$5</f>
        <v>0</v>
      </c>
      <c r="L41" s="8" t="n">
        <f aca="false">IF(OR(B41=$F$13,B41=$E$8,B41=50),I41+J41+K41,0)</f>
        <v>0</v>
      </c>
      <c r="M41" s="8" t="n">
        <f aca="false">I41+J41+K41-L41</f>
        <v>0</v>
      </c>
      <c r="N41" s="8" t="n">
        <f aca="false">R40</f>
        <v>209760.444391708</v>
      </c>
      <c r="O41" s="8" t="n">
        <f aca="false">IF(AND(B41&lt;=$E$7,B41&lt;$F$14),$D$14*12*(1+$E$10)^(B41-1),0)</f>
        <v>0</v>
      </c>
      <c r="P41" s="8" t="n">
        <f aca="false">N41*$E$5</f>
        <v>12585.6266635025</v>
      </c>
      <c r="Q41" s="8" t="n">
        <f aca="false">IF(B41&gt;=$F$14,IF(($I$14-$E$9-B41+2)&lt;=1,N41+P41,IF($E$5=0,N41/($I$14-$E$9-B41+2),N41*$E$5/(1-(1+$E$5)^(-($I$14-$E$9-B41+2))))*IF(AND(B41=$F$14,ISNUMBER(Proyección!$F$21),N(Proyección!$F$20)&gt;=$E$9),(12-Proyección!$F$21)/12,1)),0)</f>
        <v>14740.4820661339</v>
      </c>
      <c r="R41" s="8" t="n">
        <f aca="false">N41+O41+P41-Q41</f>
        <v>207605.588989077</v>
      </c>
      <c r="S41" s="15" t="n">
        <f aca="false">L41</f>
        <v>0</v>
      </c>
      <c r="T41" s="8" t="n">
        <f aca="false">G41</f>
        <v>12553.8977671245</v>
      </c>
      <c r="U41" s="8" t="n">
        <f aca="false">Q41</f>
        <v>14740.4820661339</v>
      </c>
    </row>
    <row r="42" customFormat="false" ht="13.8" hidden="false" customHeight="false" outlineLevel="0" collapsed="false">
      <c r="B42" s="13" t="n">
        <v>24</v>
      </c>
      <c r="C42" s="13" t="n">
        <f aca="false">Proyección!B53</f>
        <v>2049</v>
      </c>
      <c r="D42" s="8" t="n">
        <f aca="false">H41</f>
        <v>176809.640848884</v>
      </c>
      <c r="E42" s="8" t="n">
        <f aca="false">IF(AND(B42&lt;=$E$7,B42&lt;$F$12),$D$12*12*(1+$E$6)^(B42-1),0)</f>
        <v>0</v>
      </c>
      <c r="F42" s="8" t="n">
        <f aca="false">D42*$E$5</f>
        <v>10608.578450933</v>
      </c>
      <c r="G42" s="8" t="n">
        <f aca="false">IF(B42&gt;=$F$12,IF(($I$12-$E$9-B42+2)&lt;=1,D42+F42,IF($E$5=0,D42/($I$12-$E$9-B42+2),D42*$E$5/(1-(1+$E$5)^(-($I$12-$E$9-B42+2))))*IF(AND(B42=$F$12,ISNUMBER(Proyección!$F$21),N(Proyección!$F$20)&gt;=$E$9),(12-Proyección!$F$21)/12,1)),0)</f>
        <v>12553.8977671245</v>
      </c>
      <c r="H42" s="8" t="n">
        <f aca="false">D42+E42+F42-G42</f>
        <v>174864.321532692</v>
      </c>
      <c r="I42" s="8" t="n">
        <f aca="false">M41</f>
        <v>0</v>
      </c>
      <c r="J42" s="8" t="n">
        <f aca="false">IF(AND(B42&lt;=$E$7),$D$13*12*(1+$E$6)^(B42-1),0)</f>
        <v>0</v>
      </c>
      <c r="K42" s="8" t="n">
        <f aca="false">I42*$E$5</f>
        <v>0</v>
      </c>
      <c r="L42" s="8" t="n">
        <f aca="false">IF(OR(B42=$F$13,B42=$E$8,B42=50),I42+J42+K42,0)</f>
        <v>0</v>
      </c>
      <c r="M42" s="8" t="n">
        <f aca="false">I42+J42+K42-L42</f>
        <v>0</v>
      </c>
      <c r="N42" s="8" t="n">
        <f aca="false">R41</f>
        <v>207605.588989077</v>
      </c>
      <c r="O42" s="8" t="n">
        <f aca="false">IF(AND(B42&lt;=$E$7,B42&lt;$F$14),$D$14*12*(1+$E$10)^(B42-1),0)</f>
        <v>0</v>
      </c>
      <c r="P42" s="8" t="n">
        <f aca="false">N42*$E$5</f>
        <v>12456.3353393446</v>
      </c>
      <c r="Q42" s="8" t="n">
        <f aca="false">IF(B42&gt;=$F$14,IF(($I$14-$E$9-B42+2)&lt;=1,N42+P42,IF($E$5=0,N42/($I$14-$E$9-B42+2),N42*$E$5/(1-(1+$E$5)^(-($I$14-$E$9-B42+2))))*IF(AND(B42=$F$14,ISNUMBER(Proyección!$F$21),N(Proyección!$F$20)&gt;=$E$9),(12-Proyección!$F$21)/12,1)),0)</f>
        <v>14740.4820661339</v>
      </c>
      <c r="R42" s="8" t="n">
        <f aca="false">N42+O42+P42-Q42</f>
        <v>205321.442262288</v>
      </c>
      <c r="S42" s="15" t="n">
        <f aca="false">L42</f>
        <v>0</v>
      </c>
      <c r="T42" s="8" t="n">
        <f aca="false">G42</f>
        <v>12553.8977671245</v>
      </c>
      <c r="U42" s="8" t="n">
        <f aca="false">Q42</f>
        <v>14740.4820661339</v>
      </c>
    </row>
    <row r="43" customFormat="false" ht="13.8" hidden="false" customHeight="false" outlineLevel="0" collapsed="false">
      <c r="B43" s="13" t="n">
        <v>25</v>
      </c>
      <c r="C43" s="13" t="n">
        <f aca="false">Proyección!B54</f>
        <v>2050</v>
      </c>
      <c r="D43" s="8" t="n">
        <f aca="false">H42</f>
        <v>174864.321532692</v>
      </c>
      <c r="E43" s="8" t="n">
        <f aca="false">IF(AND(B43&lt;=$E$7,B43&lt;$F$12),$D$12*12*(1+$E$6)^(B43-1),0)</f>
        <v>0</v>
      </c>
      <c r="F43" s="8" t="n">
        <f aca="false">D43*$E$5</f>
        <v>10491.8592919615</v>
      </c>
      <c r="G43" s="8" t="n">
        <f aca="false">IF(B43&gt;=$F$12,IF(($I$12-$E$9-B43+2)&lt;=1,D43+F43,IF($E$5=0,D43/($I$12-$E$9-B43+2),D43*$E$5/(1-(1+$E$5)^(-($I$12-$E$9-B43+2))))*IF(AND(B43=$F$12,ISNUMBER(Proyección!$F$21),N(Proyección!$F$20)&gt;=$E$9),(12-Proyección!$F$21)/12,1)),0)</f>
        <v>12553.8977671245</v>
      </c>
      <c r="H43" s="8" t="n">
        <f aca="false">D43+E43+F43-G43</f>
        <v>172802.283057529</v>
      </c>
      <c r="I43" s="8" t="n">
        <f aca="false">M42</f>
        <v>0</v>
      </c>
      <c r="J43" s="8" t="n">
        <f aca="false">IF(AND(B43&lt;=$E$7),$D$13*12*(1+$E$6)^(B43-1),0)</f>
        <v>0</v>
      </c>
      <c r="K43" s="8" t="n">
        <f aca="false">I43*$E$5</f>
        <v>0</v>
      </c>
      <c r="L43" s="8" t="n">
        <f aca="false">IF(OR(B43=$F$13,B43=$E$8,B43=50),I43+J43+K43,0)</f>
        <v>0</v>
      </c>
      <c r="M43" s="8" t="n">
        <f aca="false">I43+J43+K43-L43</f>
        <v>0</v>
      </c>
      <c r="N43" s="8" t="n">
        <f aca="false">R42</f>
        <v>205321.442262288</v>
      </c>
      <c r="O43" s="8" t="n">
        <f aca="false">IF(AND(B43&lt;=$E$7,B43&lt;$F$14),$D$14*12*(1+$E$10)^(B43-1),0)</f>
        <v>0</v>
      </c>
      <c r="P43" s="8" t="n">
        <f aca="false">N43*$E$5</f>
        <v>12319.2865357373</v>
      </c>
      <c r="Q43" s="8" t="n">
        <f aca="false">IF(B43&gt;=$F$14,IF(($I$14-$E$9-B43+2)&lt;=1,N43+P43,IF($E$5=0,N43/($I$14-$E$9-B43+2),N43*$E$5/(1-(1+$E$5)^(-($I$14-$E$9-B43+2))))*IF(AND(B43=$F$14,ISNUMBER(Proyección!$F$21),N(Proyección!$F$20)&gt;=$E$9),(12-Proyección!$F$21)/12,1)),0)</f>
        <v>14740.4820661339</v>
      </c>
      <c r="R43" s="8" t="n">
        <f aca="false">N43+O43+P43-Q43</f>
        <v>202900.246731891</v>
      </c>
      <c r="S43" s="15" t="n">
        <f aca="false">L43</f>
        <v>0</v>
      </c>
      <c r="T43" s="8" t="n">
        <f aca="false">G43</f>
        <v>12553.8977671245</v>
      </c>
      <c r="U43" s="8" t="n">
        <f aca="false">Q43</f>
        <v>14740.4820661339</v>
      </c>
    </row>
    <row r="44" customFormat="false" ht="13.8" hidden="false" customHeight="false" outlineLevel="0" collapsed="false">
      <c r="B44" s="13" t="n">
        <v>26</v>
      </c>
      <c r="C44" s="13" t="n">
        <f aca="false">Proyección!B55</f>
        <v>2051</v>
      </c>
      <c r="D44" s="8" t="n">
        <f aca="false">H43</f>
        <v>172802.283057529</v>
      </c>
      <c r="E44" s="8" t="n">
        <f aca="false">IF(AND(B44&lt;=$E$7,B44&lt;$F$12),$D$12*12*(1+$E$6)^(B44-1),0)</f>
        <v>0</v>
      </c>
      <c r="F44" s="8" t="n">
        <f aca="false">D44*$E$5</f>
        <v>10368.1369834518</v>
      </c>
      <c r="G44" s="8" t="n">
        <f aca="false">IF(B44&gt;=$F$12,IF(($I$12-$E$9-B44+2)&lt;=1,D44+F44,IF($E$5=0,D44/($I$12-$E$9-B44+2),D44*$E$5/(1-(1+$E$5)^(-($I$12-$E$9-B44+2))))*IF(AND(B44=$F$12,ISNUMBER(Proyección!$F$21),N(Proyección!$F$20)&gt;=$E$9),(12-Proyección!$F$21)/12,1)),0)</f>
        <v>12553.8977671245</v>
      </c>
      <c r="H44" s="8" t="n">
        <f aca="false">D44+E44+F44-G44</f>
        <v>170616.522273856</v>
      </c>
      <c r="I44" s="8" t="n">
        <f aca="false">M43</f>
        <v>0</v>
      </c>
      <c r="J44" s="8" t="n">
        <f aca="false">IF(AND(B44&lt;=$E$7),$D$13*12*(1+$E$6)^(B44-1),0)</f>
        <v>0</v>
      </c>
      <c r="K44" s="8" t="n">
        <f aca="false">I44*$E$5</f>
        <v>0</v>
      </c>
      <c r="L44" s="8" t="n">
        <f aca="false">IF(OR(B44=$F$13,B44=$E$8,B44=50),I44+J44+K44,0)</f>
        <v>0</v>
      </c>
      <c r="M44" s="8" t="n">
        <f aca="false">I44+J44+K44-L44</f>
        <v>0</v>
      </c>
      <c r="N44" s="8" t="n">
        <f aca="false">R43</f>
        <v>202900.246731891</v>
      </c>
      <c r="O44" s="8" t="n">
        <f aca="false">IF(AND(B44&lt;=$E$7,B44&lt;$F$14),$D$14*12*(1+$E$10)^(B44-1),0)</f>
        <v>0</v>
      </c>
      <c r="P44" s="8" t="n">
        <f aca="false">N44*$E$5</f>
        <v>12174.0148039135</v>
      </c>
      <c r="Q44" s="8" t="n">
        <f aca="false">IF(B44&gt;=$F$14,IF(($I$14-$E$9-B44+2)&lt;=1,N44+P44,IF($E$5=0,N44/($I$14-$E$9-B44+2),N44*$E$5/(1-(1+$E$5)^(-($I$14-$E$9-B44+2))))*IF(AND(B44=$F$14,ISNUMBER(Proyección!$F$21),N(Proyección!$F$20)&gt;=$E$9),(12-Proyección!$F$21)/12,1)),0)</f>
        <v>14740.4820661339</v>
      </c>
      <c r="R44" s="8" t="n">
        <f aca="false">N44+O44+P44-Q44</f>
        <v>200333.77946967</v>
      </c>
      <c r="S44" s="15" t="n">
        <f aca="false">L44</f>
        <v>0</v>
      </c>
      <c r="T44" s="8" t="n">
        <f aca="false">G44</f>
        <v>12553.8977671245</v>
      </c>
      <c r="U44" s="8" t="n">
        <f aca="false">Q44</f>
        <v>14740.4820661339</v>
      </c>
    </row>
    <row r="45" customFormat="false" ht="13.8" hidden="false" customHeight="false" outlineLevel="0" collapsed="false">
      <c r="B45" s="13" t="n">
        <v>27</v>
      </c>
      <c r="C45" s="13" t="n">
        <f aca="false">Proyección!B56</f>
        <v>2052</v>
      </c>
      <c r="D45" s="8" t="n">
        <f aca="false">H44</f>
        <v>170616.522273856</v>
      </c>
      <c r="E45" s="8" t="n">
        <f aca="false">IF(AND(B45&lt;=$E$7,B45&lt;$F$12),$D$12*12*(1+$E$6)^(B45-1),0)</f>
        <v>0</v>
      </c>
      <c r="F45" s="8" t="n">
        <f aca="false">D45*$E$5</f>
        <v>10236.9913364314</v>
      </c>
      <c r="G45" s="8" t="n">
        <f aca="false">IF(B45&gt;=$F$12,IF(($I$12-$E$9-B45+2)&lt;=1,D45+F45,IF($E$5=0,D45/($I$12-$E$9-B45+2),D45*$E$5/(1-(1+$E$5)^(-($I$12-$E$9-B45+2))))*IF(AND(B45=$F$12,ISNUMBER(Proyección!$F$21),N(Proyección!$F$20)&gt;=$E$9),(12-Proyección!$F$21)/12,1)),0)</f>
        <v>12553.8977671245</v>
      </c>
      <c r="H45" s="8" t="n">
        <f aca="false">D45+E45+F45-G45</f>
        <v>168299.615843163</v>
      </c>
      <c r="I45" s="8" t="n">
        <f aca="false">M44</f>
        <v>0</v>
      </c>
      <c r="J45" s="8" t="n">
        <f aca="false">IF(AND(B45&lt;=$E$7),$D$13*12*(1+$E$6)^(B45-1),0)</f>
        <v>0</v>
      </c>
      <c r="K45" s="8" t="n">
        <f aca="false">I45*$E$5</f>
        <v>0</v>
      </c>
      <c r="L45" s="8" t="n">
        <f aca="false">IF(OR(B45=$F$13,B45=$E$8,B45=50),I45+J45+K45,0)</f>
        <v>0</v>
      </c>
      <c r="M45" s="8" t="n">
        <f aca="false">I45+J45+K45-L45</f>
        <v>0</v>
      </c>
      <c r="N45" s="8" t="n">
        <f aca="false">R44</f>
        <v>200333.77946967</v>
      </c>
      <c r="O45" s="8" t="n">
        <f aca="false">IF(AND(B45&lt;=$E$7,B45&lt;$F$14),$D$14*12*(1+$E$10)^(B45-1),0)</f>
        <v>0</v>
      </c>
      <c r="P45" s="8" t="n">
        <f aca="false">N45*$E$5</f>
        <v>12020.0267681802</v>
      </c>
      <c r="Q45" s="8" t="n">
        <f aca="false">IF(B45&gt;=$F$14,IF(($I$14-$E$9-B45+2)&lt;=1,N45+P45,IF($E$5=0,N45/($I$14-$E$9-B45+2),N45*$E$5/(1-(1+$E$5)^(-($I$14-$E$9-B45+2))))*IF(AND(B45=$F$14,ISNUMBER(Proyección!$F$21),N(Proyección!$F$20)&gt;=$E$9),(12-Proyección!$F$21)/12,1)),0)</f>
        <v>14740.4820661339</v>
      </c>
      <c r="R45" s="8" t="n">
        <f aca="false">N45+O45+P45-Q45</f>
        <v>197613.324171717</v>
      </c>
      <c r="S45" s="15" t="n">
        <f aca="false">L45</f>
        <v>0</v>
      </c>
      <c r="T45" s="8" t="n">
        <f aca="false">G45</f>
        <v>12553.8977671245</v>
      </c>
      <c r="U45" s="8" t="n">
        <f aca="false">Q45</f>
        <v>14740.4820661339</v>
      </c>
    </row>
    <row r="46" customFormat="false" ht="13.8" hidden="false" customHeight="false" outlineLevel="0" collapsed="false">
      <c r="B46" s="13" t="n">
        <v>28</v>
      </c>
      <c r="C46" s="13" t="n">
        <f aca="false">Proyección!B57</f>
        <v>2053</v>
      </c>
      <c r="D46" s="8" t="n">
        <f aca="false">H45</f>
        <v>168299.615843163</v>
      </c>
      <c r="E46" s="8" t="n">
        <f aca="false">IF(AND(B46&lt;=$E$7,B46&lt;$F$12),$D$12*12*(1+$E$6)^(B46-1),0)</f>
        <v>0</v>
      </c>
      <c r="F46" s="8" t="n">
        <f aca="false">D46*$E$5</f>
        <v>10097.9769505898</v>
      </c>
      <c r="G46" s="8" t="n">
        <f aca="false">IF(B46&gt;=$F$12,IF(($I$12-$E$9-B46+2)&lt;=1,D46+F46,IF($E$5=0,D46/($I$12-$E$9-B46+2),D46*$E$5/(1-(1+$E$5)^(-($I$12-$E$9-B46+2))))*IF(AND(B46=$F$12,ISNUMBER(Proyección!$F$21),N(Proyección!$F$20)&gt;=$E$9),(12-Proyección!$F$21)/12,1)),0)</f>
        <v>12553.8977671245</v>
      </c>
      <c r="H46" s="8" t="n">
        <f aca="false">D46+E46+F46-G46</f>
        <v>165843.695026629</v>
      </c>
      <c r="I46" s="8" t="n">
        <f aca="false">M45</f>
        <v>0</v>
      </c>
      <c r="J46" s="8" t="n">
        <f aca="false">IF(AND(B46&lt;=$E$7),$D$13*12*(1+$E$6)^(B46-1),0)</f>
        <v>0</v>
      </c>
      <c r="K46" s="8" t="n">
        <f aca="false">I46*$E$5</f>
        <v>0</v>
      </c>
      <c r="L46" s="8" t="n">
        <f aca="false">IF(OR(B46=$F$13,B46=$E$8,B46=50),I46+J46+K46,0)</f>
        <v>0</v>
      </c>
      <c r="M46" s="8" t="n">
        <f aca="false">I46+J46+K46-L46</f>
        <v>0</v>
      </c>
      <c r="N46" s="8" t="n">
        <f aca="false">R45</f>
        <v>197613.324171717</v>
      </c>
      <c r="O46" s="8" t="n">
        <f aca="false">IF(AND(B46&lt;=$E$7,B46&lt;$F$14),$D$14*12*(1+$E$10)^(B46-1),0)</f>
        <v>0</v>
      </c>
      <c r="P46" s="8" t="n">
        <f aca="false">N46*$E$5</f>
        <v>11856.799450303</v>
      </c>
      <c r="Q46" s="8" t="n">
        <f aca="false">IF(B46&gt;=$F$14,IF(($I$14-$E$9-B46+2)&lt;=1,N46+P46,IF($E$5=0,N46/($I$14-$E$9-B46+2),N46*$E$5/(1-(1+$E$5)^(-($I$14-$E$9-B46+2))))*IF(AND(B46=$F$14,ISNUMBER(Proyección!$F$21),N(Proyección!$F$20)&gt;=$E$9),(12-Proyección!$F$21)/12,1)),0)</f>
        <v>14740.4820661339</v>
      </c>
      <c r="R46" s="8" t="n">
        <f aca="false">N46+O46+P46-Q46</f>
        <v>194729.641555886</v>
      </c>
      <c r="S46" s="15" t="n">
        <f aca="false">L46</f>
        <v>0</v>
      </c>
      <c r="T46" s="8" t="n">
        <f aca="false">G46</f>
        <v>12553.8977671245</v>
      </c>
      <c r="U46" s="8" t="n">
        <f aca="false">Q46</f>
        <v>14740.4820661339</v>
      </c>
    </row>
    <row r="47" customFormat="false" ht="13.8" hidden="false" customHeight="false" outlineLevel="0" collapsed="false">
      <c r="B47" s="13" t="n">
        <v>29</v>
      </c>
      <c r="C47" s="13" t="n">
        <f aca="false">Proyección!B58</f>
        <v>2054</v>
      </c>
      <c r="D47" s="8" t="n">
        <f aca="false">H46</f>
        <v>165843.695026629</v>
      </c>
      <c r="E47" s="8" t="n">
        <f aca="false">IF(AND(B47&lt;=$E$7,B47&lt;$F$12),$D$12*12*(1+$E$6)^(B47-1),0)</f>
        <v>0</v>
      </c>
      <c r="F47" s="8" t="n">
        <f aca="false">D47*$E$5</f>
        <v>9950.62170159771</v>
      </c>
      <c r="G47" s="8" t="n">
        <f aca="false">IF(B47&gt;=$F$12,IF(($I$12-$E$9-B47+2)&lt;=1,D47+F47,IF($E$5=0,D47/($I$12-$E$9-B47+2),D47*$E$5/(1-(1+$E$5)^(-($I$12-$E$9-B47+2))))*IF(AND(B47=$F$12,ISNUMBER(Proyección!$F$21),N(Proyección!$F$20)&gt;=$E$9),(12-Proyección!$F$21)/12,1)),0)</f>
        <v>12553.8977671245</v>
      </c>
      <c r="H47" s="8" t="n">
        <f aca="false">D47+E47+F47-G47</f>
        <v>163240.418961102</v>
      </c>
      <c r="I47" s="8" t="n">
        <f aca="false">M46</f>
        <v>0</v>
      </c>
      <c r="J47" s="8" t="n">
        <f aca="false">IF(AND(B47&lt;=$E$7),$D$13*12*(1+$E$6)^(B47-1),0)</f>
        <v>0</v>
      </c>
      <c r="K47" s="8" t="n">
        <f aca="false">I47*$E$5</f>
        <v>0</v>
      </c>
      <c r="L47" s="8" t="n">
        <f aca="false">IF(OR(B47=$F$13,B47=$E$8,B47=50),I47+J47+K47,0)</f>
        <v>0</v>
      </c>
      <c r="M47" s="8" t="n">
        <f aca="false">I47+J47+K47-L47</f>
        <v>0</v>
      </c>
      <c r="N47" s="8" t="n">
        <f aca="false">R46</f>
        <v>194729.641555886</v>
      </c>
      <c r="O47" s="8" t="n">
        <f aca="false">IF(AND(B47&lt;=$E$7,B47&lt;$F$14),$D$14*12*(1+$E$10)^(B47-1),0)</f>
        <v>0</v>
      </c>
      <c r="P47" s="8" t="n">
        <f aca="false">N47*$E$5</f>
        <v>11683.7784933532</v>
      </c>
      <c r="Q47" s="8" t="n">
        <f aca="false">IF(B47&gt;=$F$14,IF(($I$14-$E$9-B47+2)&lt;=1,N47+P47,IF($E$5=0,N47/($I$14-$E$9-B47+2),N47*$E$5/(1-(1+$E$5)^(-($I$14-$E$9-B47+2))))*IF(AND(B47=$F$14,ISNUMBER(Proyección!$F$21),N(Proyección!$F$20)&gt;=$E$9),(12-Proyección!$F$21)/12,1)),0)</f>
        <v>14740.4820661339</v>
      </c>
      <c r="R47" s="8" t="n">
        <f aca="false">N47+O47+P47-Q47</f>
        <v>191672.937983105</v>
      </c>
      <c r="S47" s="15" t="n">
        <f aca="false">L47</f>
        <v>0</v>
      </c>
      <c r="T47" s="8" t="n">
        <f aca="false">G47</f>
        <v>12553.8977671245</v>
      </c>
      <c r="U47" s="8" t="n">
        <f aca="false">Q47</f>
        <v>14740.4820661339</v>
      </c>
    </row>
    <row r="48" customFormat="false" ht="13.8" hidden="false" customHeight="false" outlineLevel="0" collapsed="false">
      <c r="B48" s="13" t="n">
        <v>30</v>
      </c>
      <c r="C48" s="13" t="n">
        <f aca="false">Proyección!B59</f>
        <v>2055</v>
      </c>
      <c r="D48" s="8" t="n">
        <f aca="false">H47</f>
        <v>163240.418961102</v>
      </c>
      <c r="E48" s="8" t="n">
        <f aca="false">IF(AND(B48&lt;=$E$7,B48&lt;$F$12),$D$12*12*(1+$E$6)^(B48-1),0)</f>
        <v>0</v>
      </c>
      <c r="F48" s="8" t="n">
        <f aca="false">D48*$E$5</f>
        <v>9794.42513766611</v>
      </c>
      <c r="G48" s="8" t="n">
        <f aca="false">IF(B48&gt;=$F$12,IF(($I$12-$E$9-B48+2)&lt;=1,D48+F48,IF($E$5=0,D48/($I$12-$E$9-B48+2),D48*$E$5/(1-(1+$E$5)^(-($I$12-$E$9-B48+2))))*IF(AND(B48=$F$12,ISNUMBER(Proyección!$F$21),N(Proyección!$F$20)&gt;=$E$9),(12-Proyección!$F$21)/12,1)),0)</f>
        <v>12553.8977671245</v>
      </c>
      <c r="H48" s="8" t="n">
        <f aca="false">D48+E48+F48-G48</f>
        <v>160480.946331643</v>
      </c>
      <c r="I48" s="8" t="n">
        <f aca="false">M47</f>
        <v>0</v>
      </c>
      <c r="J48" s="8" t="n">
        <f aca="false">IF(AND(B48&lt;=$E$7),$D$13*12*(1+$E$6)^(B48-1),0)</f>
        <v>0</v>
      </c>
      <c r="K48" s="8" t="n">
        <f aca="false">I48*$E$5</f>
        <v>0</v>
      </c>
      <c r="L48" s="8" t="n">
        <f aca="false">IF(OR(B48=$F$13,B48=$E$8,B48=50),I48+J48+K48,0)</f>
        <v>0</v>
      </c>
      <c r="M48" s="8" t="n">
        <f aca="false">I48+J48+K48-L48</f>
        <v>0</v>
      </c>
      <c r="N48" s="8" t="n">
        <f aca="false">R47</f>
        <v>191672.937983105</v>
      </c>
      <c r="O48" s="8" t="n">
        <f aca="false">IF(AND(B48&lt;=$E$7,B48&lt;$F$14),$D$14*12*(1+$E$10)^(B48-1),0)</f>
        <v>0</v>
      </c>
      <c r="P48" s="8" t="n">
        <f aca="false">N48*$E$5</f>
        <v>11500.3762789863</v>
      </c>
      <c r="Q48" s="8" t="n">
        <f aca="false">IF(B48&gt;=$F$14,IF(($I$14-$E$9-B48+2)&lt;=1,N48+P48,IF($E$5=0,N48/($I$14-$E$9-B48+2),N48*$E$5/(1-(1+$E$5)^(-($I$14-$E$9-B48+2))))*IF(AND(B48=$F$14,ISNUMBER(Proyección!$F$21),N(Proyección!$F$20)&gt;=$E$9),(12-Proyección!$F$21)/12,1)),0)</f>
        <v>14740.4820661339</v>
      </c>
      <c r="R48" s="8" t="n">
        <f aca="false">N48+O48+P48-Q48</f>
        <v>188432.832195958</v>
      </c>
      <c r="S48" s="15" t="n">
        <f aca="false">L48</f>
        <v>0</v>
      </c>
      <c r="T48" s="8" t="n">
        <f aca="false">G48</f>
        <v>12553.8977671245</v>
      </c>
      <c r="U48" s="8" t="n">
        <f aca="false">Q48</f>
        <v>14740.4820661339</v>
      </c>
    </row>
    <row r="49" customFormat="false" ht="13.8" hidden="false" customHeight="false" outlineLevel="0" collapsed="false">
      <c r="B49" s="13" t="n">
        <v>31</v>
      </c>
      <c r="C49" s="13" t="n">
        <f aca="false">Proyección!B60</f>
        <v>2056</v>
      </c>
      <c r="D49" s="8" t="n">
        <f aca="false">H48</f>
        <v>160480.946331643</v>
      </c>
      <c r="E49" s="8" t="n">
        <f aca="false">IF(AND(B49&lt;=$E$7,B49&lt;$F$12),$D$12*12*(1+$E$6)^(B49-1),0)</f>
        <v>0</v>
      </c>
      <c r="F49" s="8" t="n">
        <f aca="false">D49*$E$5</f>
        <v>9628.8567798986</v>
      </c>
      <c r="G49" s="8" t="n">
        <f aca="false">IF(B49&gt;=$F$12,IF(($I$12-$E$9-B49+2)&lt;=1,D49+F49,IF($E$5=0,D49/($I$12-$E$9-B49+2),D49*$E$5/(1-(1+$E$5)^(-($I$12-$E$9-B49+2))))*IF(AND(B49=$F$12,ISNUMBER(Proyección!$F$21),N(Proyección!$F$20)&gt;=$E$9),(12-Proyección!$F$21)/12,1)),0)</f>
        <v>12553.8977671245</v>
      </c>
      <c r="H49" s="8" t="n">
        <f aca="false">D49+E49+F49-G49</f>
        <v>157555.905344417</v>
      </c>
      <c r="I49" s="8" t="n">
        <f aca="false">M48</f>
        <v>0</v>
      </c>
      <c r="J49" s="8" t="n">
        <f aca="false">IF(AND(B49&lt;=$E$7),$D$13*12*(1+$E$6)^(B49-1),0)</f>
        <v>0</v>
      </c>
      <c r="K49" s="8" t="n">
        <f aca="false">I49*$E$5</f>
        <v>0</v>
      </c>
      <c r="L49" s="8" t="n">
        <f aca="false">IF(OR(B49=$F$13,B49=$E$8,B49=50),I49+J49+K49,0)</f>
        <v>0</v>
      </c>
      <c r="M49" s="8" t="n">
        <f aca="false">I49+J49+K49-L49</f>
        <v>0</v>
      </c>
      <c r="N49" s="8" t="n">
        <f aca="false">R48</f>
        <v>188432.832195958</v>
      </c>
      <c r="O49" s="8" t="n">
        <f aca="false">IF(AND(B49&lt;=$E$7,B49&lt;$F$14),$D$14*12*(1+$E$10)^(B49-1),0)</f>
        <v>0</v>
      </c>
      <c r="P49" s="8" t="n">
        <f aca="false">N49*$E$5</f>
        <v>11305.9699317575</v>
      </c>
      <c r="Q49" s="8" t="n">
        <f aca="false">IF(B49&gt;=$F$14,IF(($I$14-$E$9-B49+2)&lt;=1,N49+P49,IF($E$5=0,N49/($I$14-$E$9-B49+2),N49*$E$5/(1-(1+$E$5)^(-($I$14-$E$9-B49+2))))*IF(AND(B49=$F$14,ISNUMBER(Proyección!$F$21),N(Proyección!$F$20)&gt;=$E$9),(12-Proyección!$F$21)/12,1)),0)</f>
        <v>14740.4820661339</v>
      </c>
      <c r="R49" s="8" t="n">
        <f aca="false">N49+O49+P49-Q49</f>
        <v>184998.320061581</v>
      </c>
      <c r="S49" s="15" t="n">
        <f aca="false">L49</f>
        <v>0</v>
      </c>
      <c r="T49" s="8" t="n">
        <f aca="false">G49</f>
        <v>12553.8977671245</v>
      </c>
      <c r="U49" s="8" t="n">
        <f aca="false">Q49</f>
        <v>14740.4820661339</v>
      </c>
    </row>
    <row r="50" customFormat="false" ht="13.8" hidden="false" customHeight="false" outlineLevel="0" collapsed="false">
      <c r="B50" s="13" t="n">
        <v>32</v>
      </c>
      <c r="C50" s="13" t="n">
        <f aca="false">Proyección!B61</f>
        <v>2057</v>
      </c>
      <c r="D50" s="8" t="n">
        <f aca="false">H49</f>
        <v>157555.905344417</v>
      </c>
      <c r="E50" s="8" t="n">
        <f aca="false">IF(AND(B50&lt;=$E$7,B50&lt;$F$12),$D$12*12*(1+$E$6)^(B50-1),0)</f>
        <v>0</v>
      </c>
      <c r="F50" s="8" t="n">
        <f aca="false">D50*$E$5</f>
        <v>9453.35432066505</v>
      </c>
      <c r="G50" s="8" t="n">
        <f aca="false">IF(B50&gt;=$F$12,IF(($I$12-$E$9-B50+2)&lt;=1,D50+F50,IF($E$5=0,D50/($I$12-$E$9-B50+2),D50*$E$5/(1-(1+$E$5)^(-($I$12-$E$9-B50+2))))*IF(AND(B50=$F$12,ISNUMBER(Proyección!$F$21),N(Proyección!$F$20)&gt;=$E$9),(12-Proyección!$F$21)/12,1)),0)</f>
        <v>12553.8977671245</v>
      </c>
      <c r="H50" s="8" t="n">
        <f aca="false">D50+E50+F50-G50</f>
        <v>154455.361897958</v>
      </c>
      <c r="I50" s="8" t="n">
        <f aca="false">M49</f>
        <v>0</v>
      </c>
      <c r="J50" s="8" t="n">
        <f aca="false">IF(AND(B50&lt;=$E$7),$D$13*12*(1+$E$6)^(B50-1),0)</f>
        <v>0</v>
      </c>
      <c r="K50" s="8" t="n">
        <f aca="false">I50*$E$5</f>
        <v>0</v>
      </c>
      <c r="L50" s="8" t="n">
        <f aca="false">IF(OR(B50=$F$13,B50=$E$8,B50=50),I50+J50+K50,0)</f>
        <v>0</v>
      </c>
      <c r="M50" s="8" t="n">
        <f aca="false">I50+J50+K50-L50</f>
        <v>0</v>
      </c>
      <c r="N50" s="8" t="n">
        <f aca="false">R49</f>
        <v>184998.320061581</v>
      </c>
      <c r="O50" s="8" t="n">
        <f aca="false">IF(AND(B50&lt;=$E$7,B50&lt;$F$14),$D$14*12*(1+$E$10)^(B50-1),0)</f>
        <v>0</v>
      </c>
      <c r="P50" s="8" t="n">
        <f aca="false">N50*$E$5</f>
        <v>11099.8992036949</v>
      </c>
      <c r="Q50" s="8" t="n">
        <f aca="false">IF(B50&gt;=$F$14,IF(($I$14-$E$9-B50+2)&lt;=1,N50+P50,IF($E$5=0,N50/($I$14-$E$9-B50+2),N50*$E$5/(1-(1+$E$5)^(-($I$14-$E$9-B50+2))))*IF(AND(B50=$F$14,ISNUMBER(Proyección!$F$21),N(Proyección!$F$20)&gt;=$E$9),(12-Proyección!$F$21)/12,1)),0)</f>
        <v>14740.4820661339</v>
      </c>
      <c r="R50" s="8" t="n">
        <f aca="false">N50+O50+P50-Q50</f>
        <v>181357.737199142</v>
      </c>
      <c r="S50" s="15" t="n">
        <f aca="false">L50</f>
        <v>0</v>
      </c>
      <c r="T50" s="8" t="n">
        <f aca="false">G50</f>
        <v>12553.8977671245</v>
      </c>
      <c r="U50" s="8" t="n">
        <f aca="false">Q50</f>
        <v>14740.4820661339</v>
      </c>
    </row>
    <row r="51" customFormat="false" ht="13.8" hidden="false" customHeight="false" outlineLevel="0" collapsed="false">
      <c r="B51" s="13" t="n">
        <v>33</v>
      </c>
      <c r="C51" s="13" t="n">
        <f aca="false">Proyección!B62</f>
        <v>2058</v>
      </c>
      <c r="D51" s="8" t="n">
        <f aca="false">H50</f>
        <v>154455.361897958</v>
      </c>
      <c r="E51" s="8" t="n">
        <f aca="false">IF(AND(B51&lt;=$E$7,B51&lt;$F$12),$D$12*12*(1+$E$6)^(B51-1),0)</f>
        <v>0</v>
      </c>
      <c r="F51" s="8" t="n">
        <f aca="false">D51*$E$5</f>
        <v>9267.32171387748</v>
      </c>
      <c r="G51" s="8" t="n">
        <f aca="false">IF(B51&gt;=$F$12,IF(($I$12-$E$9-B51+2)&lt;=1,D51+F51,IF($E$5=0,D51/($I$12-$E$9-B51+2),D51*$E$5/(1-(1+$E$5)^(-($I$12-$E$9-B51+2))))*IF(AND(B51=$F$12,ISNUMBER(Proyección!$F$21),N(Proyección!$F$20)&gt;=$E$9),(12-Proyección!$F$21)/12,1)),0)</f>
        <v>12553.8977671245</v>
      </c>
      <c r="H51" s="8" t="n">
        <f aca="false">D51+E51+F51-G51</f>
        <v>151168.785844711</v>
      </c>
      <c r="I51" s="8" t="n">
        <f aca="false">M50</f>
        <v>0</v>
      </c>
      <c r="J51" s="8" t="n">
        <f aca="false">IF(AND(B51&lt;=$E$7),$D$13*12*(1+$E$6)^(B51-1),0)</f>
        <v>0</v>
      </c>
      <c r="K51" s="8" t="n">
        <f aca="false">I51*$E$5</f>
        <v>0</v>
      </c>
      <c r="L51" s="8" t="n">
        <f aca="false">IF(OR(B51=$F$13,B51=$E$8,B51=50),I51+J51+K51,0)</f>
        <v>0</v>
      </c>
      <c r="M51" s="8" t="n">
        <f aca="false">I51+J51+K51-L51</f>
        <v>0</v>
      </c>
      <c r="N51" s="8" t="n">
        <f aca="false">R50</f>
        <v>181357.737199142</v>
      </c>
      <c r="O51" s="8" t="n">
        <f aca="false">IF(AND(B51&lt;=$E$7,B51&lt;$F$14),$D$14*12*(1+$E$10)^(B51-1),0)</f>
        <v>0</v>
      </c>
      <c r="P51" s="8" t="n">
        <f aca="false">N51*$E$5</f>
        <v>10881.4642319485</v>
      </c>
      <c r="Q51" s="8" t="n">
        <f aca="false">IF(B51&gt;=$F$14,IF(($I$14-$E$9-B51+2)&lt;=1,N51+P51,IF($E$5=0,N51/($I$14-$E$9-B51+2),N51*$E$5/(1-(1+$E$5)^(-($I$14-$E$9-B51+2))))*IF(AND(B51=$F$14,ISNUMBER(Proyección!$F$21),N(Proyección!$F$20)&gt;=$E$9),(12-Proyección!$F$21)/12,1)),0)</f>
        <v>14740.4820661339</v>
      </c>
      <c r="R51" s="8" t="n">
        <f aca="false">N51+O51+P51-Q51</f>
        <v>177498.719364957</v>
      </c>
      <c r="S51" s="15" t="n">
        <f aca="false">L51</f>
        <v>0</v>
      </c>
      <c r="T51" s="8" t="n">
        <f aca="false">G51</f>
        <v>12553.8977671245</v>
      </c>
      <c r="U51" s="8" t="n">
        <f aca="false">Q51</f>
        <v>14740.4820661339</v>
      </c>
    </row>
    <row r="52" customFormat="false" ht="13.8" hidden="false" customHeight="false" outlineLevel="0" collapsed="false">
      <c r="B52" s="13" t="n">
        <v>34</v>
      </c>
      <c r="C52" s="13" t="n">
        <f aca="false">Proyección!B63</f>
        <v>2059</v>
      </c>
      <c r="D52" s="8" t="n">
        <f aca="false">H51</f>
        <v>151168.785844711</v>
      </c>
      <c r="E52" s="8" t="n">
        <f aca="false">IF(AND(B52&lt;=$E$7,B52&lt;$F$12),$D$12*12*(1+$E$6)^(B52-1),0)</f>
        <v>0</v>
      </c>
      <c r="F52" s="8" t="n">
        <f aca="false">D52*$E$5</f>
        <v>9070.12715068265</v>
      </c>
      <c r="G52" s="8" t="n">
        <f aca="false">IF(B52&gt;=$F$12,IF(($I$12-$E$9-B52+2)&lt;=1,D52+F52,IF($E$5=0,D52/($I$12-$E$9-B52+2),D52*$E$5/(1-(1+$E$5)^(-($I$12-$E$9-B52+2))))*IF(AND(B52=$F$12,ISNUMBER(Proyección!$F$21),N(Proyección!$F$20)&gt;=$E$9),(12-Proyección!$F$21)/12,1)),0)</f>
        <v>12553.8977671245</v>
      </c>
      <c r="H52" s="8" t="n">
        <f aca="false">D52+E52+F52-G52</f>
        <v>147685.015228269</v>
      </c>
      <c r="I52" s="8" t="n">
        <f aca="false">M51</f>
        <v>0</v>
      </c>
      <c r="J52" s="8" t="n">
        <f aca="false">IF(AND(B52&lt;=$E$7),$D$13*12*(1+$E$6)^(B52-1),0)</f>
        <v>0</v>
      </c>
      <c r="K52" s="8" t="n">
        <f aca="false">I52*$E$5</f>
        <v>0</v>
      </c>
      <c r="L52" s="8" t="n">
        <f aca="false">IF(OR(B52=$F$13,B52=$E$8,B52=50),I52+J52+K52,0)</f>
        <v>0</v>
      </c>
      <c r="M52" s="8" t="n">
        <f aca="false">I52+J52+K52-L52</f>
        <v>0</v>
      </c>
      <c r="N52" s="8" t="n">
        <f aca="false">R51</f>
        <v>177498.719364957</v>
      </c>
      <c r="O52" s="8" t="n">
        <f aca="false">IF(AND(B52&lt;=$E$7,B52&lt;$F$14),$D$14*12*(1+$E$10)^(B52-1),0)</f>
        <v>0</v>
      </c>
      <c r="P52" s="8" t="n">
        <f aca="false">N52*$E$5</f>
        <v>10649.9231618974</v>
      </c>
      <c r="Q52" s="8" t="n">
        <f aca="false">IF(B52&gt;=$F$14,IF(($I$14-$E$9-B52+2)&lt;=1,N52+P52,IF($E$5=0,N52/($I$14-$E$9-B52+2),N52*$E$5/(1-(1+$E$5)^(-($I$14-$E$9-B52+2))))*IF(AND(B52=$F$14,ISNUMBER(Proyección!$F$21),N(Proyección!$F$20)&gt;=$E$9),(12-Proyección!$F$21)/12,1)),0)</f>
        <v>14740.4820661339</v>
      </c>
      <c r="R52" s="8" t="n">
        <f aca="false">N52+O52+P52-Q52</f>
        <v>173408.16046072</v>
      </c>
      <c r="S52" s="15" t="n">
        <f aca="false">L52</f>
        <v>0</v>
      </c>
      <c r="T52" s="8" t="n">
        <f aca="false">G52</f>
        <v>12553.8977671245</v>
      </c>
      <c r="U52" s="8" t="n">
        <f aca="false">Q52</f>
        <v>14740.4820661339</v>
      </c>
    </row>
    <row r="53" customFormat="false" ht="13.8" hidden="false" customHeight="false" outlineLevel="0" collapsed="false">
      <c r="B53" s="13" t="n">
        <v>35</v>
      </c>
      <c r="C53" s="13" t="n">
        <f aca="false">Proyección!B64</f>
        <v>2060</v>
      </c>
      <c r="D53" s="8" t="n">
        <f aca="false">H52</f>
        <v>147685.015228269</v>
      </c>
      <c r="E53" s="8" t="n">
        <f aca="false">IF(AND(B53&lt;=$E$7,B53&lt;$F$12),$D$12*12*(1+$E$6)^(B53-1),0)</f>
        <v>0</v>
      </c>
      <c r="F53" s="8" t="n">
        <f aca="false">D53*$E$5</f>
        <v>8861.10091369614</v>
      </c>
      <c r="G53" s="8" t="n">
        <f aca="false">IF(B53&gt;=$F$12,IF(($I$12-$E$9-B53+2)&lt;=1,D53+F53,IF($E$5=0,D53/($I$12-$E$9-B53+2),D53*$E$5/(1-(1+$E$5)^(-($I$12-$E$9-B53+2))))*IF(AND(B53=$F$12,ISNUMBER(Proyección!$F$21),N(Proyección!$F$20)&gt;=$E$9),(12-Proyección!$F$21)/12,1)),0)</f>
        <v>12553.8977671245</v>
      </c>
      <c r="H53" s="8" t="n">
        <f aca="false">D53+E53+F53-G53</f>
        <v>143992.218374841</v>
      </c>
      <c r="I53" s="8" t="n">
        <f aca="false">M52</f>
        <v>0</v>
      </c>
      <c r="J53" s="8" t="n">
        <f aca="false">IF(AND(B53&lt;=$E$7),$D$13*12*(1+$E$6)^(B53-1),0)</f>
        <v>0</v>
      </c>
      <c r="K53" s="8" t="n">
        <f aca="false">I53*$E$5</f>
        <v>0</v>
      </c>
      <c r="L53" s="8" t="n">
        <f aca="false">IF(OR(B53=$F$13,B53=$E$8,B53=50),I53+J53+K53,0)</f>
        <v>0</v>
      </c>
      <c r="M53" s="8" t="n">
        <f aca="false">I53+J53+K53-L53</f>
        <v>0</v>
      </c>
      <c r="N53" s="8" t="n">
        <f aca="false">R52</f>
        <v>173408.16046072</v>
      </c>
      <c r="O53" s="8" t="n">
        <f aca="false">IF(AND(B53&lt;=$E$7,B53&lt;$F$14),$D$14*12*(1+$E$10)^(B53-1),0)</f>
        <v>0</v>
      </c>
      <c r="P53" s="8" t="n">
        <f aca="false">N53*$E$5</f>
        <v>10404.4896276432</v>
      </c>
      <c r="Q53" s="8" t="n">
        <f aca="false">IF(B53&gt;=$F$14,IF(($I$14-$E$9-B53+2)&lt;=1,N53+P53,IF($E$5=0,N53/($I$14-$E$9-B53+2),N53*$E$5/(1-(1+$E$5)^(-($I$14-$E$9-B53+2))))*IF(AND(B53=$F$14,ISNUMBER(Proyección!$F$21),N(Proyección!$F$20)&gt;=$E$9),(12-Proyección!$F$21)/12,1)),0)</f>
        <v>14740.4820661339</v>
      </c>
      <c r="R53" s="8" t="n">
        <f aca="false">N53+O53+P53-Q53</f>
        <v>169072.16802223</v>
      </c>
      <c r="S53" s="15" t="n">
        <f aca="false">L53</f>
        <v>0</v>
      </c>
      <c r="T53" s="8" t="n">
        <f aca="false">G53</f>
        <v>12553.8977671245</v>
      </c>
      <c r="U53" s="8" t="n">
        <f aca="false">Q53</f>
        <v>14740.4820661339</v>
      </c>
    </row>
    <row r="54" customFormat="false" ht="13.8" hidden="false" customHeight="false" outlineLevel="0" collapsed="false">
      <c r="B54" s="13" t="n">
        <v>36</v>
      </c>
      <c r="C54" s="13" t="n">
        <f aca="false">Proyección!B65</f>
        <v>2061</v>
      </c>
      <c r="D54" s="8" t="n">
        <f aca="false">H53</f>
        <v>143992.218374841</v>
      </c>
      <c r="E54" s="8" t="n">
        <f aca="false">IF(AND(B54&lt;=$E$7,B54&lt;$F$12),$D$12*12*(1+$E$6)^(B54-1),0)</f>
        <v>0</v>
      </c>
      <c r="F54" s="8" t="n">
        <f aca="false">D54*$E$5</f>
        <v>8639.53310249044</v>
      </c>
      <c r="G54" s="8" t="n">
        <f aca="false">IF(B54&gt;=$F$12,IF(($I$12-$E$9-B54+2)&lt;=1,D54+F54,IF($E$5=0,D54/($I$12-$E$9-B54+2),D54*$E$5/(1-(1+$E$5)^(-($I$12-$E$9-B54+2))))*IF(AND(B54=$F$12,ISNUMBER(Proyección!$F$21),N(Proyección!$F$20)&gt;=$E$9),(12-Proyección!$F$21)/12,1)),0)</f>
        <v>12553.8977671245</v>
      </c>
      <c r="H54" s="8" t="n">
        <f aca="false">D54+E54+F54-G54</f>
        <v>140077.853710207</v>
      </c>
      <c r="I54" s="8" t="n">
        <f aca="false">M53</f>
        <v>0</v>
      </c>
      <c r="J54" s="8" t="n">
        <f aca="false">IF(AND(B54&lt;=$E$7),$D$13*12*(1+$E$6)^(B54-1),0)</f>
        <v>0</v>
      </c>
      <c r="K54" s="8" t="n">
        <f aca="false">I54*$E$5</f>
        <v>0</v>
      </c>
      <c r="L54" s="8" t="n">
        <f aca="false">IF(OR(B54=$F$13,B54=$E$8,B54=50),I54+J54+K54,0)</f>
        <v>0</v>
      </c>
      <c r="M54" s="8" t="n">
        <f aca="false">I54+J54+K54-L54</f>
        <v>0</v>
      </c>
      <c r="N54" s="8" t="n">
        <f aca="false">R53</f>
        <v>169072.16802223</v>
      </c>
      <c r="O54" s="8" t="n">
        <f aca="false">IF(AND(B54&lt;=$E$7,B54&lt;$F$14),$D$14*12*(1+$E$10)^(B54-1),0)</f>
        <v>0</v>
      </c>
      <c r="P54" s="8" t="n">
        <f aca="false">N54*$E$5</f>
        <v>10144.3300813338</v>
      </c>
      <c r="Q54" s="8" t="n">
        <f aca="false">IF(B54&gt;=$F$14,IF(($I$14-$E$9-B54+2)&lt;=1,N54+P54,IF($E$5=0,N54/($I$14-$E$9-B54+2),N54*$E$5/(1-(1+$E$5)^(-($I$14-$E$9-B54+2))))*IF(AND(B54=$F$14,ISNUMBER(Proyección!$F$21),N(Proyección!$F$20)&gt;=$E$9),(12-Proyección!$F$21)/12,1)),0)</f>
        <v>14740.4820661339</v>
      </c>
      <c r="R54" s="8" t="n">
        <f aca="false">N54+O54+P54-Q54</f>
        <v>164476.01603743</v>
      </c>
      <c r="S54" s="15" t="n">
        <f aca="false">L54</f>
        <v>0</v>
      </c>
      <c r="T54" s="8" t="n">
        <f aca="false">G54</f>
        <v>12553.8977671245</v>
      </c>
      <c r="U54" s="8" t="n">
        <f aca="false">Q54</f>
        <v>14740.4820661339</v>
      </c>
    </row>
    <row r="55" customFormat="false" ht="13.8" hidden="false" customHeight="false" outlineLevel="0" collapsed="false">
      <c r="B55" s="13" t="n">
        <v>37</v>
      </c>
      <c r="C55" s="13" t="n">
        <f aca="false">Proyección!B66</f>
        <v>2062</v>
      </c>
      <c r="D55" s="8" t="n">
        <f aca="false">H54</f>
        <v>140077.853710207</v>
      </c>
      <c r="E55" s="8" t="n">
        <f aca="false">IF(AND(B55&lt;=$E$7,B55&lt;$F$12),$D$12*12*(1+$E$6)^(B55-1),0)</f>
        <v>0</v>
      </c>
      <c r="F55" s="8" t="n">
        <f aca="false">D55*$E$5</f>
        <v>8404.67122261239</v>
      </c>
      <c r="G55" s="8" t="n">
        <f aca="false">IF(B55&gt;=$F$12,IF(($I$12-$E$9-B55+2)&lt;=1,D55+F55,IF($E$5=0,D55/($I$12-$E$9-B55+2),D55*$E$5/(1-(1+$E$5)^(-($I$12-$E$9-B55+2))))*IF(AND(B55=$F$12,ISNUMBER(Proyección!$F$21),N(Proyección!$F$20)&gt;=$E$9),(12-Proyección!$F$21)/12,1)),0)</f>
        <v>12553.8977671245</v>
      </c>
      <c r="H55" s="8" t="n">
        <f aca="false">D55+E55+F55-G55</f>
        <v>135928.627165694</v>
      </c>
      <c r="I55" s="8" t="n">
        <f aca="false">M54</f>
        <v>0</v>
      </c>
      <c r="J55" s="8" t="n">
        <f aca="false">IF(AND(B55&lt;=$E$7),$D$13*12*(1+$E$6)^(B55-1),0)</f>
        <v>0</v>
      </c>
      <c r="K55" s="8" t="n">
        <f aca="false">I55*$E$5</f>
        <v>0</v>
      </c>
      <c r="L55" s="8" t="n">
        <f aca="false">IF(OR(B55=$F$13,B55=$E$8,B55=50),I55+J55+K55,0)</f>
        <v>0</v>
      </c>
      <c r="M55" s="8" t="n">
        <f aca="false">I55+J55+K55-L55</f>
        <v>0</v>
      </c>
      <c r="N55" s="8" t="n">
        <f aca="false">R54</f>
        <v>164476.01603743</v>
      </c>
      <c r="O55" s="8" t="n">
        <f aca="false">IF(AND(B55&lt;=$E$7,B55&lt;$F$14),$D$14*12*(1+$E$10)^(B55-1),0)</f>
        <v>0</v>
      </c>
      <c r="P55" s="8" t="n">
        <f aca="false">N55*$E$5</f>
        <v>9868.56096224578</v>
      </c>
      <c r="Q55" s="8" t="n">
        <f aca="false">IF(B55&gt;=$F$14,IF(($I$14-$E$9-B55+2)&lt;=1,N55+P55,IF($E$5=0,N55/($I$14-$E$9-B55+2),N55*$E$5/(1-(1+$E$5)^(-($I$14-$E$9-B55+2))))*IF(AND(B55=$F$14,ISNUMBER(Proyección!$F$21),N(Proyección!$F$20)&gt;=$E$9),(12-Proyección!$F$21)/12,1)),0)</f>
        <v>14740.4820661339</v>
      </c>
      <c r="R55" s="8" t="n">
        <f aca="false">N55+O55+P55-Q55</f>
        <v>159604.094933542</v>
      </c>
      <c r="S55" s="15" t="n">
        <f aca="false">L55</f>
        <v>0</v>
      </c>
      <c r="T55" s="8" t="n">
        <f aca="false">G55</f>
        <v>12553.8977671245</v>
      </c>
      <c r="U55" s="8" t="n">
        <f aca="false">Q55</f>
        <v>14740.4820661339</v>
      </c>
    </row>
    <row r="56" customFormat="false" ht="13.8" hidden="false" customHeight="false" outlineLevel="0" collapsed="false">
      <c r="B56" s="13" t="n">
        <v>38</v>
      </c>
      <c r="C56" s="13" t="n">
        <f aca="false">Proyección!B67</f>
        <v>2063</v>
      </c>
      <c r="D56" s="8" t="n">
        <f aca="false">H55</f>
        <v>135928.627165694</v>
      </c>
      <c r="E56" s="8" t="n">
        <f aca="false">IF(AND(B56&lt;=$E$7,B56&lt;$F$12),$D$12*12*(1+$E$6)^(B56-1),0)</f>
        <v>0</v>
      </c>
      <c r="F56" s="8" t="n">
        <f aca="false">D56*$E$5</f>
        <v>8155.71762994167</v>
      </c>
      <c r="G56" s="8" t="n">
        <f aca="false">IF(B56&gt;=$F$12,IF(($I$12-$E$9-B56+2)&lt;=1,D56+F56,IF($E$5=0,D56/($I$12-$E$9-B56+2),D56*$E$5/(1-(1+$E$5)^(-($I$12-$E$9-B56+2))))*IF(AND(B56=$F$12,ISNUMBER(Proyección!$F$21),N(Proyección!$F$20)&gt;=$E$9),(12-Proyección!$F$21)/12,1)),0)</f>
        <v>12553.8977671245</v>
      </c>
      <c r="H56" s="8" t="n">
        <f aca="false">D56+E56+F56-G56</f>
        <v>131530.447028512</v>
      </c>
      <c r="I56" s="8" t="n">
        <f aca="false">M55</f>
        <v>0</v>
      </c>
      <c r="J56" s="8" t="n">
        <f aca="false">IF(AND(B56&lt;=$E$7),$D$13*12*(1+$E$6)^(B56-1),0)</f>
        <v>0</v>
      </c>
      <c r="K56" s="8" t="n">
        <f aca="false">I56*$E$5</f>
        <v>0</v>
      </c>
      <c r="L56" s="8" t="n">
        <f aca="false">IF(OR(B56=$F$13,B56=$E$8,B56=50),I56+J56+K56,0)</f>
        <v>0</v>
      </c>
      <c r="M56" s="8" t="n">
        <f aca="false">I56+J56+K56-L56</f>
        <v>0</v>
      </c>
      <c r="N56" s="8" t="n">
        <f aca="false">R55</f>
        <v>159604.094933542</v>
      </c>
      <c r="O56" s="8" t="n">
        <f aca="false">IF(AND(B56&lt;=$E$7,B56&lt;$F$14),$D$14*12*(1+$E$10)^(B56-1),0)</f>
        <v>0</v>
      </c>
      <c r="P56" s="8" t="n">
        <f aca="false">N56*$E$5</f>
        <v>9576.2456960125</v>
      </c>
      <c r="Q56" s="8" t="n">
        <f aca="false">IF(B56&gt;=$F$14,IF(($I$14-$E$9-B56+2)&lt;=1,N56+P56,IF($E$5=0,N56/($I$14-$E$9-B56+2),N56*$E$5/(1-(1+$E$5)^(-($I$14-$E$9-B56+2))))*IF(AND(B56=$F$14,ISNUMBER(Proyección!$F$21),N(Proyección!$F$20)&gt;=$E$9),(12-Proyección!$F$21)/12,1)),0)</f>
        <v>14740.4820661339</v>
      </c>
      <c r="R56" s="8" t="n">
        <f aca="false">N56+O56+P56-Q56</f>
        <v>154439.85856342</v>
      </c>
      <c r="S56" s="15" t="n">
        <f aca="false">L56</f>
        <v>0</v>
      </c>
      <c r="T56" s="8" t="n">
        <f aca="false">G56</f>
        <v>12553.8977671245</v>
      </c>
      <c r="U56" s="8" t="n">
        <f aca="false">Q56</f>
        <v>14740.4820661339</v>
      </c>
    </row>
    <row r="57" customFormat="false" ht="13.8" hidden="false" customHeight="false" outlineLevel="0" collapsed="false">
      <c r="B57" s="13" t="n">
        <v>39</v>
      </c>
      <c r="C57" s="13" t="n">
        <f aca="false">Proyección!B68</f>
        <v>2064</v>
      </c>
      <c r="D57" s="8" t="n">
        <f aca="false">H56</f>
        <v>131530.447028512</v>
      </c>
      <c r="E57" s="8" t="n">
        <f aca="false">IF(AND(B57&lt;=$E$7,B57&lt;$F$12),$D$12*12*(1+$E$6)^(B57-1),0)</f>
        <v>0</v>
      </c>
      <c r="F57" s="8" t="n">
        <f aca="false">D57*$E$5</f>
        <v>7891.82682171069</v>
      </c>
      <c r="G57" s="8" t="n">
        <f aca="false">IF(B57&gt;=$F$12,IF(($I$12-$E$9-B57+2)&lt;=1,D57+F57,IF($E$5=0,D57/($I$12-$E$9-B57+2),D57*$E$5/(1-(1+$E$5)^(-($I$12-$E$9-B57+2))))*IF(AND(B57=$F$12,ISNUMBER(Proyección!$F$21),N(Proyección!$F$20)&gt;=$E$9),(12-Proyección!$F$21)/12,1)),0)</f>
        <v>12553.8977671245</v>
      </c>
      <c r="H57" s="8" t="n">
        <f aca="false">D57+E57+F57-G57</f>
        <v>126868.376083098</v>
      </c>
      <c r="I57" s="8" t="n">
        <f aca="false">M56</f>
        <v>0</v>
      </c>
      <c r="J57" s="8" t="n">
        <f aca="false">IF(AND(B57&lt;=$E$7),$D$13*12*(1+$E$6)^(B57-1),0)</f>
        <v>0</v>
      </c>
      <c r="K57" s="8" t="n">
        <f aca="false">I57*$E$5</f>
        <v>0</v>
      </c>
      <c r="L57" s="8" t="n">
        <f aca="false">IF(OR(B57=$F$13,B57=$E$8,B57=50),I57+J57+K57,0)</f>
        <v>0</v>
      </c>
      <c r="M57" s="8" t="n">
        <f aca="false">I57+J57+K57-L57</f>
        <v>0</v>
      </c>
      <c r="N57" s="8" t="n">
        <f aca="false">R56</f>
        <v>154439.85856342</v>
      </c>
      <c r="O57" s="8" t="n">
        <f aca="false">IF(AND(B57&lt;=$E$7,B57&lt;$F$14),$D$14*12*(1+$E$10)^(B57-1),0)</f>
        <v>0</v>
      </c>
      <c r="P57" s="8" t="n">
        <f aca="false">N57*$E$5</f>
        <v>9266.39151380521</v>
      </c>
      <c r="Q57" s="8" t="n">
        <f aca="false">IF(B57&gt;=$F$14,IF(($I$14-$E$9-B57+2)&lt;=1,N57+P57,IF($E$5=0,N57/($I$14-$E$9-B57+2),N57*$E$5/(1-(1+$E$5)^(-($I$14-$E$9-B57+2))))*IF(AND(B57=$F$14,ISNUMBER(Proyección!$F$21),N(Proyección!$F$20)&gt;=$E$9),(12-Proyección!$F$21)/12,1)),0)</f>
        <v>14740.4820661339</v>
      </c>
      <c r="R57" s="8" t="n">
        <f aca="false">N57+O57+P57-Q57</f>
        <v>148965.768011092</v>
      </c>
      <c r="S57" s="15" t="n">
        <f aca="false">L57</f>
        <v>0</v>
      </c>
      <c r="T57" s="8" t="n">
        <f aca="false">G57</f>
        <v>12553.8977671245</v>
      </c>
      <c r="U57" s="8" t="n">
        <f aca="false">Q57</f>
        <v>14740.4820661339</v>
      </c>
    </row>
    <row r="58" customFormat="false" ht="13.8" hidden="false" customHeight="false" outlineLevel="0" collapsed="false">
      <c r="B58" s="13" t="n">
        <v>40</v>
      </c>
      <c r="C58" s="13" t="n">
        <f aca="false">Proyección!B69</f>
        <v>2065</v>
      </c>
      <c r="D58" s="8" t="n">
        <f aca="false">H57</f>
        <v>126868.376083098</v>
      </c>
      <c r="E58" s="8" t="n">
        <f aca="false">IF(AND(B58&lt;=$E$7,B58&lt;$F$12),$D$12*12*(1+$E$6)^(B58-1),0)</f>
        <v>0</v>
      </c>
      <c r="F58" s="8" t="n">
        <f aca="false">D58*$E$5</f>
        <v>7612.10256498586</v>
      </c>
      <c r="G58" s="8" t="n">
        <f aca="false">IF(B58&gt;=$F$12,IF(($I$12-$E$9-B58+2)&lt;=1,D58+F58,IF($E$5=0,D58/($I$12-$E$9-B58+2),D58*$E$5/(1-(1+$E$5)^(-($I$12-$E$9-B58+2))))*IF(AND(B58=$F$12,ISNUMBER(Proyección!$F$21),N(Proyección!$F$20)&gt;=$E$9),(12-Proyección!$F$21)/12,1)),0)</f>
        <v>12553.8977671245</v>
      </c>
      <c r="H58" s="8" t="n">
        <f aca="false">D58+E58+F58-G58</f>
        <v>121926.580880959</v>
      </c>
      <c r="I58" s="8" t="n">
        <f aca="false">M57</f>
        <v>0</v>
      </c>
      <c r="J58" s="8" t="n">
        <f aca="false">IF(AND(B58&lt;=$E$7),$D$13*12*(1+$E$6)^(B58-1),0)</f>
        <v>0</v>
      </c>
      <c r="K58" s="8" t="n">
        <f aca="false">I58*$E$5</f>
        <v>0</v>
      </c>
      <c r="L58" s="8" t="n">
        <f aca="false">IF(OR(B58=$F$13,B58=$E$8,B58=50),I58+J58+K58,0)</f>
        <v>0</v>
      </c>
      <c r="M58" s="8" t="n">
        <f aca="false">I58+J58+K58-L58</f>
        <v>0</v>
      </c>
      <c r="N58" s="8" t="n">
        <f aca="false">R57</f>
        <v>148965.768011092</v>
      </c>
      <c r="O58" s="8" t="n">
        <f aca="false">IF(AND(B58&lt;=$E$7,B58&lt;$F$14),$D$14*12*(1+$E$10)^(B58-1),0)</f>
        <v>0</v>
      </c>
      <c r="P58" s="8" t="n">
        <f aca="false">N58*$E$5</f>
        <v>8937.94608066549</v>
      </c>
      <c r="Q58" s="8" t="n">
        <f aca="false">IF(B58&gt;=$F$14,IF(($I$14-$E$9-B58+2)&lt;=1,N58+P58,IF($E$5=0,N58/($I$14-$E$9-B58+2),N58*$E$5/(1-(1+$E$5)^(-($I$14-$E$9-B58+2))))*IF(AND(B58=$F$14,ISNUMBER(Proyección!$F$21),N(Proyección!$F$20)&gt;=$E$9),(12-Proyección!$F$21)/12,1)),0)</f>
        <v>14740.4820661339</v>
      </c>
      <c r="R58" s="8" t="n">
        <f aca="false">N58+O58+P58-Q58</f>
        <v>143163.232025623</v>
      </c>
      <c r="S58" s="15" t="n">
        <f aca="false">L58</f>
        <v>0</v>
      </c>
      <c r="T58" s="8" t="n">
        <f aca="false">G58</f>
        <v>12553.8977671245</v>
      </c>
      <c r="U58" s="8" t="n">
        <f aca="false">Q58</f>
        <v>14740.4820661339</v>
      </c>
    </row>
    <row r="59" customFormat="false" ht="13.8" hidden="false" customHeight="false" outlineLevel="0" collapsed="false">
      <c r="B59" s="13" t="n">
        <v>41</v>
      </c>
      <c r="C59" s="13" t="n">
        <f aca="false">Proyección!B70</f>
        <v>2066</v>
      </c>
      <c r="D59" s="8" t="n">
        <f aca="false">H58</f>
        <v>121926.580880959</v>
      </c>
      <c r="E59" s="8" t="n">
        <f aca="false">IF(AND(B59&lt;=$E$7,B59&lt;$F$12),$D$12*12*(1+$E$6)^(B59-1),0)</f>
        <v>0</v>
      </c>
      <c r="F59" s="8" t="n">
        <f aca="false">D59*$E$5</f>
        <v>7315.59485285754</v>
      </c>
      <c r="G59" s="8" t="n">
        <f aca="false">IF(B59&gt;=$F$12,IF(($I$12-$E$9-B59+2)&lt;=1,D59+F59,IF($E$5=0,D59/($I$12-$E$9-B59+2),D59*$E$5/(1-(1+$E$5)^(-($I$12-$E$9-B59+2))))*IF(AND(B59=$F$12,ISNUMBER(Proyección!$F$21),N(Proyección!$F$20)&gt;=$E$9),(12-Proyección!$F$21)/12,1)),0)</f>
        <v>12553.8977671245</v>
      </c>
      <c r="H59" s="8" t="n">
        <f aca="false">D59+E59+F59-G59</f>
        <v>116688.277966692</v>
      </c>
      <c r="I59" s="8" t="n">
        <f aca="false">M58</f>
        <v>0</v>
      </c>
      <c r="J59" s="8" t="n">
        <f aca="false">IF(AND(B59&lt;=$E$7),$D$13*12*(1+$E$6)^(B59-1),0)</f>
        <v>0</v>
      </c>
      <c r="K59" s="8" t="n">
        <f aca="false">I59*$E$5</f>
        <v>0</v>
      </c>
      <c r="L59" s="8" t="n">
        <f aca="false">IF(OR(B59=$F$13,B59=$E$8,B59=50),I59+J59+K59,0)</f>
        <v>0</v>
      </c>
      <c r="M59" s="8" t="n">
        <f aca="false">I59+J59+K59-L59</f>
        <v>0</v>
      </c>
      <c r="N59" s="8" t="n">
        <f aca="false">R58</f>
        <v>143163.232025623</v>
      </c>
      <c r="O59" s="8" t="n">
        <f aca="false">IF(AND(B59&lt;=$E$7,B59&lt;$F$14),$D$14*12*(1+$E$10)^(B59-1),0)</f>
        <v>0</v>
      </c>
      <c r="P59" s="8" t="n">
        <f aca="false">N59*$E$5</f>
        <v>8589.79392153738</v>
      </c>
      <c r="Q59" s="8" t="n">
        <f aca="false">IF(B59&gt;=$F$14,IF(($I$14-$E$9-B59+2)&lt;=1,N59+P59,IF($E$5=0,N59/($I$14-$E$9-B59+2),N59*$E$5/(1-(1+$E$5)^(-($I$14-$E$9-B59+2))))*IF(AND(B59=$F$14,ISNUMBER(Proyección!$F$21),N(Proyección!$F$20)&gt;=$E$9),(12-Proyección!$F$21)/12,1)),0)</f>
        <v>14740.4820661339</v>
      </c>
      <c r="R59" s="8" t="n">
        <f aca="false">N59+O59+P59-Q59</f>
        <v>137012.543881027</v>
      </c>
      <c r="S59" s="15" t="n">
        <f aca="false">L59</f>
        <v>0</v>
      </c>
      <c r="T59" s="8" t="n">
        <f aca="false">G59</f>
        <v>12553.8977671245</v>
      </c>
      <c r="U59" s="8" t="n">
        <f aca="false">Q59</f>
        <v>14740.4820661339</v>
      </c>
    </row>
    <row r="60" customFormat="false" ht="13.8" hidden="false" customHeight="false" outlineLevel="0" collapsed="false">
      <c r="B60" s="13" t="n">
        <v>42</v>
      </c>
      <c r="C60" s="13" t="n">
        <f aca="false">Proyección!B71</f>
        <v>2067</v>
      </c>
      <c r="D60" s="8" t="n">
        <f aca="false">H59</f>
        <v>116688.277966692</v>
      </c>
      <c r="E60" s="8" t="n">
        <f aca="false">IF(AND(B60&lt;=$E$7,B60&lt;$F$12),$D$12*12*(1+$E$6)^(B60-1),0)</f>
        <v>0</v>
      </c>
      <c r="F60" s="8" t="n">
        <f aca="false">D60*$E$5</f>
        <v>7001.29667800153</v>
      </c>
      <c r="G60" s="8" t="n">
        <f aca="false">IF(B60&gt;=$F$12,IF(($I$12-$E$9-B60+2)&lt;=1,D60+F60,IF($E$5=0,D60/($I$12-$E$9-B60+2),D60*$E$5/(1-(1+$E$5)^(-($I$12-$E$9-B60+2))))*IF(AND(B60=$F$12,ISNUMBER(Proyección!$F$21),N(Proyección!$F$20)&gt;=$E$9),(12-Proyección!$F$21)/12,1)),0)</f>
        <v>12553.8977671245</v>
      </c>
      <c r="H60" s="8" t="n">
        <f aca="false">D60+E60+F60-G60</f>
        <v>111135.676877569</v>
      </c>
      <c r="I60" s="8" t="n">
        <f aca="false">M59</f>
        <v>0</v>
      </c>
      <c r="J60" s="8" t="n">
        <f aca="false">IF(AND(B60&lt;=$E$7),$D$13*12*(1+$E$6)^(B60-1),0)</f>
        <v>0</v>
      </c>
      <c r="K60" s="8" t="n">
        <f aca="false">I60*$E$5</f>
        <v>0</v>
      </c>
      <c r="L60" s="8" t="n">
        <f aca="false">IF(OR(B60=$F$13,B60=$E$8,B60=50),I60+J60+K60,0)</f>
        <v>0</v>
      </c>
      <c r="M60" s="8" t="n">
        <f aca="false">I60+J60+K60-L60</f>
        <v>0</v>
      </c>
      <c r="N60" s="8" t="n">
        <f aca="false">R59</f>
        <v>137012.543881027</v>
      </c>
      <c r="O60" s="8" t="n">
        <f aca="false">IF(AND(B60&lt;=$E$7,B60&lt;$F$14),$D$14*12*(1+$E$10)^(B60-1),0)</f>
        <v>0</v>
      </c>
      <c r="P60" s="8" t="n">
        <f aca="false">N60*$E$5</f>
        <v>8220.7526328616</v>
      </c>
      <c r="Q60" s="8" t="n">
        <f aca="false">IF(B60&gt;=$F$14,IF(($I$14-$E$9-B60+2)&lt;=1,N60+P60,IF($E$5=0,N60/($I$14-$E$9-B60+2),N60*$E$5/(1-(1+$E$5)^(-($I$14-$E$9-B60+2))))*IF(AND(B60=$F$14,ISNUMBER(Proyección!$F$21),N(Proyección!$F$20)&gt;=$E$9),(12-Proyección!$F$21)/12,1)),0)</f>
        <v>14740.4820661339</v>
      </c>
      <c r="R60" s="8" t="n">
        <f aca="false">N60+O60+P60-Q60</f>
        <v>130492.814447754</v>
      </c>
      <c r="S60" s="15" t="n">
        <f aca="false">L60</f>
        <v>0</v>
      </c>
      <c r="T60" s="8" t="n">
        <f aca="false">G60</f>
        <v>12553.8977671245</v>
      </c>
      <c r="U60" s="8" t="n">
        <f aca="false">Q60</f>
        <v>14740.4820661339</v>
      </c>
    </row>
    <row r="61" customFormat="false" ht="13.8" hidden="false" customHeight="false" outlineLevel="0" collapsed="false">
      <c r="B61" s="13" t="n">
        <v>43</v>
      </c>
      <c r="C61" s="13" t="n">
        <f aca="false">Proyección!B72</f>
        <v>2068</v>
      </c>
      <c r="D61" s="8" t="n">
        <f aca="false">H60</f>
        <v>111135.676877569</v>
      </c>
      <c r="E61" s="8" t="n">
        <f aca="false">IF(AND(B61&lt;=$E$7,B61&lt;$F$12),$D$12*12*(1+$E$6)^(B61-1),0)</f>
        <v>0</v>
      </c>
      <c r="F61" s="8" t="n">
        <f aca="false">D61*$E$5</f>
        <v>6668.14061265415</v>
      </c>
      <c r="G61" s="8" t="n">
        <f aca="false">IF(B61&gt;=$F$12,IF(($I$12-$E$9-B61+2)&lt;=1,D61+F61,IF($E$5=0,D61/($I$12-$E$9-B61+2),D61*$E$5/(1-(1+$E$5)^(-($I$12-$E$9-B61+2))))*IF(AND(B61=$F$12,ISNUMBER(Proyección!$F$21),N(Proyección!$F$20)&gt;=$E$9),(12-Proyección!$F$21)/12,1)),0)</f>
        <v>12553.8977671245</v>
      </c>
      <c r="H61" s="8" t="n">
        <f aca="false">D61+E61+F61-G61</f>
        <v>105249.919723099</v>
      </c>
      <c r="I61" s="8" t="n">
        <f aca="false">M60</f>
        <v>0</v>
      </c>
      <c r="J61" s="8" t="n">
        <f aca="false">IF(AND(B61&lt;=$E$7),$D$13*12*(1+$E$6)^(B61-1),0)</f>
        <v>0</v>
      </c>
      <c r="K61" s="8" t="n">
        <f aca="false">I61*$E$5</f>
        <v>0</v>
      </c>
      <c r="L61" s="8" t="n">
        <f aca="false">IF(OR(B61=$F$13,B61=$E$8,B61=50),I61+J61+K61,0)</f>
        <v>0</v>
      </c>
      <c r="M61" s="8" t="n">
        <f aca="false">I61+J61+K61-L61</f>
        <v>0</v>
      </c>
      <c r="N61" s="8" t="n">
        <f aca="false">R60</f>
        <v>130492.814447754</v>
      </c>
      <c r="O61" s="8" t="n">
        <f aca="false">IF(AND(B61&lt;=$E$7,B61&lt;$F$14),$D$14*12*(1+$E$10)^(B61-1),0)</f>
        <v>0</v>
      </c>
      <c r="P61" s="8" t="n">
        <f aca="false">N61*$E$5</f>
        <v>7829.56886686526</v>
      </c>
      <c r="Q61" s="8" t="n">
        <f aca="false">IF(B61&gt;=$F$14,IF(($I$14-$E$9-B61+2)&lt;=1,N61+P61,IF($E$5=0,N61/($I$14-$E$9-B61+2),N61*$E$5/(1-(1+$E$5)^(-($I$14-$E$9-B61+2))))*IF(AND(B61=$F$14,ISNUMBER(Proyección!$F$21),N(Proyección!$F$20)&gt;=$E$9),(12-Proyección!$F$21)/12,1)),0)</f>
        <v>14740.4820661339</v>
      </c>
      <c r="R61" s="8" t="n">
        <f aca="false">N61+O61+P61-Q61</f>
        <v>123581.901248486</v>
      </c>
      <c r="S61" s="15" t="n">
        <f aca="false">L61</f>
        <v>0</v>
      </c>
      <c r="T61" s="8" t="n">
        <f aca="false">G61</f>
        <v>12553.8977671245</v>
      </c>
      <c r="U61" s="8" t="n">
        <f aca="false">Q61</f>
        <v>14740.4820661339</v>
      </c>
    </row>
    <row r="62" customFormat="false" ht="13.8" hidden="false" customHeight="false" outlineLevel="0" collapsed="false">
      <c r="B62" s="13" t="n">
        <v>44</v>
      </c>
      <c r="C62" s="13" t="n">
        <f aca="false">Proyección!B73</f>
        <v>2069</v>
      </c>
      <c r="D62" s="8" t="n">
        <f aca="false">H61</f>
        <v>105249.919723099</v>
      </c>
      <c r="E62" s="8" t="n">
        <f aca="false">IF(AND(B62&lt;=$E$7,B62&lt;$F$12),$D$12*12*(1+$E$6)^(B62-1),0)</f>
        <v>0</v>
      </c>
      <c r="F62" s="8" t="n">
        <f aca="false">D62*$E$5</f>
        <v>6314.99518338592</v>
      </c>
      <c r="G62" s="8" t="n">
        <f aca="false">IF(B62&gt;=$F$12,IF(($I$12-$E$9-B62+2)&lt;=1,D62+F62,IF($E$5=0,D62/($I$12-$E$9-B62+2),D62*$E$5/(1-(1+$E$5)^(-($I$12-$E$9-B62+2))))*IF(AND(B62=$F$12,ISNUMBER(Proyección!$F$21),N(Proyección!$F$20)&gt;=$E$9),(12-Proyección!$F$21)/12,1)),0)</f>
        <v>12553.8977671245</v>
      </c>
      <c r="H62" s="8" t="n">
        <f aca="false">D62+E62+F62-G62</f>
        <v>99011.0171393601</v>
      </c>
      <c r="I62" s="8" t="n">
        <f aca="false">M61</f>
        <v>0</v>
      </c>
      <c r="J62" s="8" t="n">
        <f aca="false">IF(AND(B62&lt;=$E$7),$D$13*12*(1+$E$6)^(B62-1),0)</f>
        <v>0</v>
      </c>
      <c r="K62" s="8" t="n">
        <f aca="false">I62*$E$5</f>
        <v>0</v>
      </c>
      <c r="L62" s="8" t="n">
        <f aca="false">IF(OR(B62=$F$13,B62=$E$8,B62=50),I62+J62+K62,0)</f>
        <v>0</v>
      </c>
      <c r="M62" s="8" t="n">
        <f aca="false">I62+J62+K62-L62</f>
        <v>0</v>
      </c>
      <c r="N62" s="8" t="n">
        <f aca="false">R61</f>
        <v>123581.901248486</v>
      </c>
      <c r="O62" s="8" t="n">
        <f aca="false">IF(AND(B62&lt;=$E$7,B62&lt;$F$14),$D$14*12*(1+$E$10)^(B62-1),0)</f>
        <v>0</v>
      </c>
      <c r="P62" s="8" t="n">
        <f aca="false">N62*$E$5</f>
        <v>7414.91407490914</v>
      </c>
      <c r="Q62" s="8" t="n">
        <f aca="false">IF(B62&gt;=$F$14,IF(($I$14-$E$9-B62+2)&lt;=1,N62+P62,IF($E$5=0,N62/($I$14-$E$9-B62+2),N62*$E$5/(1-(1+$E$5)^(-($I$14-$E$9-B62+2))))*IF(AND(B62=$F$14,ISNUMBER(Proyección!$F$21),N(Proyección!$F$20)&gt;=$E$9),(12-Proyección!$F$21)/12,1)),0)</f>
        <v>14740.4820661339</v>
      </c>
      <c r="R62" s="8" t="n">
        <f aca="false">N62+O62+P62-Q62</f>
        <v>116256.333257261</v>
      </c>
      <c r="S62" s="15" t="n">
        <f aca="false">L62</f>
        <v>0</v>
      </c>
      <c r="T62" s="8" t="n">
        <f aca="false">G62</f>
        <v>12553.8977671245</v>
      </c>
      <c r="U62" s="8" t="n">
        <f aca="false">Q62</f>
        <v>14740.4820661339</v>
      </c>
    </row>
    <row r="63" customFormat="false" ht="13.8" hidden="false" customHeight="false" outlineLevel="0" collapsed="false">
      <c r="B63" s="13" t="n">
        <v>45</v>
      </c>
      <c r="C63" s="13" t="n">
        <f aca="false">Proyección!B74</f>
        <v>2070</v>
      </c>
      <c r="D63" s="8" t="n">
        <f aca="false">H62</f>
        <v>99011.0171393601</v>
      </c>
      <c r="E63" s="8" t="n">
        <f aca="false">IF(AND(B63&lt;=$E$7,B63&lt;$F$12),$D$12*12*(1+$E$6)^(B63-1),0)</f>
        <v>0</v>
      </c>
      <c r="F63" s="8" t="n">
        <f aca="false">D63*$E$5</f>
        <v>5940.66102836161</v>
      </c>
      <c r="G63" s="8" t="n">
        <f aca="false">IF(B63&gt;=$F$12,IF(($I$12-$E$9-B63+2)&lt;=1,D63+F63,IF($E$5=0,D63/($I$12-$E$9-B63+2),D63*$E$5/(1-(1+$E$5)^(-($I$12-$E$9-B63+2))))*IF(AND(B63=$F$12,ISNUMBER(Proyección!$F$21),N(Proyección!$F$20)&gt;=$E$9),(12-Proyección!$F$21)/12,1)),0)</f>
        <v>12553.8977671245</v>
      </c>
      <c r="H63" s="8" t="n">
        <f aca="false">D63+E63+F63-G63</f>
        <v>92397.7804005972</v>
      </c>
      <c r="I63" s="8" t="n">
        <f aca="false">M62</f>
        <v>0</v>
      </c>
      <c r="J63" s="8" t="n">
        <f aca="false">IF(AND(B63&lt;=$E$7),$D$13*12*(1+$E$6)^(B63-1),0)</f>
        <v>0</v>
      </c>
      <c r="K63" s="8" t="n">
        <f aca="false">I63*$E$5</f>
        <v>0</v>
      </c>
      <c r="L63" s="8" t="n">
        <f aca="false">IF(OR(B63=$F$13,B63=$E$8,B63=50),I63+J63+K63,0)</f>
        <v>0</v>
      </c>
      <c r="M63" s="8" t="n">
        <f aca="false">I63+J63+K63-L63</f>
        <v>0</v>
      </c>
      <c r="N63" s="8" t="n">
        <f aca="false">R62</f>
        <v>116256.333257261</v>
      </c>
      <c r="O63" s="8" t="n">
        <f aca="false">IF(AND(B63&lt;=$E$7,B63&lt;$F$14),$D$14*12*(1+$E$10)^(B63-1),0)</f>
        <v>0</v>
      </c>
      <c r="P63" s="8" t="n">
        <f aca="false">N63*$E$5</f>
        <v>6975.37999543566</v>
      </c>
      <c r="Q63" s="8" t="n">
        <f aca="false">IF(B63&gt;=$F$14,IF(($I$14-$E$9-B63+2)&lt;=1,N63+P63,IF($E$5=0,N63/($I$14-$E$9-B63+2),N63*$E$5/(1-(1+$E$5)^(-($I$14-$E$9-B63+2))))*IF(AND(B63=$F$14,ISNUMBER(Proyección!$F$21),N(Proyección!$F$20)&gt;=$E$9),(12-Proyección!$F$21)/12,1)),0)</f>
        <v>14740.4820661339</v>
      </c>
      <c r="R63" s="8" t="n">
        <f aca="false">N63+O63+P63-Q63</f>
        <v>108491.231186563</v>
      </c>
      <c r="S63" s="15" t="n">
        <f aca="false">L63</f>
        <v>0</v>
      </c>
      <c r="T63" s="8" t="n">
        <f aca="false">G63</f>
        <v>12553.8977671245</v>
      </c>
      <c r="U63" s="8" t="n">
        <f aca="false">Q63</f>
        <v>14740.4820661339</v>
      </c>
    </row>
    <row r="64" customFormat="false" ht="13.8" hidden="false" customHeight="false" outlineLevel="0" collapsed="false">
      <c r="B64" s="13" t="n">
        <v>46</v>
      </c>
      <c r="C64" s="13" t="n">
        <f aca="false">Proyección!B75</f>
        <v>2071</v>
      </c>
      <c r="D64" s="8" t="n">
        <f aca="false">H63</f>
        <v>92397.7804005972</v>
      </c>
      <c r="E64" s="8" t="n">
        <f aca="false">IF(AND(B64&lt;=$E$7,B64&lt;$F$12),$D$12*12*(1+$E$6)^(B64-1),0)</f>
        <v>0</v>
      </c>
      <c r="F64" s="8" t="n">
        <f aca="false">D64*$E$5</f>
        <v>5543.86682403583</v>
      </c>
      <c r="G64" s="8" t="n">
        <f aca="false">IF(B64&gt;=$F$12,IF(($I$12-$E$9-B64+2)&lt;=1,D64+F64,IF($E$5=0,D64/($I$12-$E$9-B64+2),D64*$E$5/(1-(1+$E$5)^(-($I$12-$E$9-B64+2))))*IF(AND(B64=$F$12,ISNUMBER(Proyección!$F$21),N(Proyección!$F$20)&gt;=$E$9),(12-Proyección!$F$21)/12,1)),0)</f>
        <v>12553.8977671245</v>
      </c>
      <c r="H64" s="8" t="n">
        <f aca="false">D64+E64+F64-G64</f>
        <v>85387.7494575085</v>
      </c>
      <c r="I64" s="8" t="n">
        <f aca="false">M63</f>
        <v>0</v>
      </c>
      <c r="J64" s="8" t="n">
        <f aca="false">IF(AND(B64&lt;=$E$7),$D$13*12*(1+$E$6)^(B64-1),0)</f>
        <v>0</v>
      </c>
      <c r="K64" s="8" t="n">
        <f aca="false">I64*$E$5</f>
        <v>0</v>
      </c>
      <c r="L64" s="8" t="n">
        <f aca="false">IF(OR(B64=$F$13,B64=$E$8,B64=50),I64+J64+K64,0)</f>
        <v>0</v>
      </c>
      <c r="M64" s="8" t="n">
        <f aca="false">I64+J64+K64-L64</f>
        <v>0</v>
      </c>
      <c r="N64" s="8" t="n">
        <f aca="false">R63</f>
        <v>108491.231186563</v>
      </c>
      <c r="O64" s="8" t="n">
        <f aca="false">IF(AND(B64&lt;=$E$7,B64&lt;$F$14),$D$14*12*(1+$E$10)^(B64-1),0)</f>
        <v>0</v>
      </c>
      <c r="P64" s="8" t="n">
        <f aca="false">N64*$E$5</f>
        <v>6509.47387119376</v>
      </c>
      <c r="Q64" s="8" t="n">
        <f aca="false">IF(B64&gt;=$F$14,IF(($I$14-$E$9-B64+2)&lt;=1,N64+P64,IF($E$5=0,N64/($I$14-$E$9-B64+2),N64*$E$5/(1-(1+$E$5)^(-($I$14-$E$9-B64+2))))*IF(AND(B64=$F$14,ISNUMBER(Proyección!$F$21),N(Proyección!$F$20)&gt;=$E$9),(12-Proyección!$F$21)/12,1)),0)</f>
        <v>14740.4820661339</v>
      </c>
      <c r="R64" s="8" t="n">
        <f aca="false">N64+O64+P64-Q64</f>
        <v>100260.222991623</v>
      </c>
      <c r="S64" s="15" t="n">
        <f aca="false">L64</f>
        <v>0</v>
      </c>
      <c r="T64" s="8" t="n">
        <f aca="false">G64</f>
        <v>12553.8977671245</v>
      </c>
      <c r="U64" s="8" t="n">
        <f aca="false">Q64</f>
        <v>14740.4820661339</v>
      </c>
    </row>
    <row r="65" customFormat="false" ht="13.8" hidden="false" customHeight="false" outlineLevel="0" collapsed="false">
      <c r="B65" s="13" t="n">
        <v>47</v>
      </c>
      <c r="C65" s="13" t="n">
        <f aca="false">Proyección!B76</f>
        <v>2072</v>
      </c>
      <c r="D65" s="8" t="n">
        <f aca="false">H64</f>
        <v>85387.7494575085</v>
      </c>
      <c r="E65" s="8" t="n">
        <f aca="false">IF(AND(B65&lt;=$E$7,B65&lt;$F$12),$D$12*12*(1+$E$6)^(B65-1),0)</f>
        <v>0</v>
      </c>
      <c r="F65" s="8" t="n">
        <f aca="false">D65*$E$5</f>
        <v>5123.26496745051</v>
      </c>
      <c r="G65" s="8" t="n">
        <f aca="false">IF(B65&gt;=$F$12,IF(($I$12-$E$9-B65+2)&lt;=1,D65+F65,IF($E$5=0,D65/($I$12-$E$9-B65+2),D65*$E$5/(1-(1+$E$5)^(-($I$12-$E$9-B65+2))))*IF(AND(B65=$F$12,ISNUMBER(Proyección!$F$21),N(Proyección!$F$20)&gt;=$E$9),(12-Proyección!$F$21)/12,1)),0)</f>
        <v>12553.8977671245</v>
      </c>
      <c r="H65" s="8" t="n">
        <f aca="false">D65+E65+F65-G65</f>
        <v>77957.1166578345</v>
      </c>
      <c r="I65" s="8" t="n">
        <f aca="false">M64</f>
        <v>0</v>
      </c>
      <c r="J65" s="8" t="n">
        <f aca="false">IF(AND(B65&lt;=$E$7),$D$13*12*(1+$E$6)^(B65-1),0)</f>
        <v>0</v>
      </c>
      <c r="K65" s="8" t="n">
        <f aca="false">I65*$E$5</f>
        <v>0</v>
      </c>
      <c r="L65" s="8" t="n">
        <f aca="false">IF(OR(B65=$F$13,B65=$E$8,B65=50),I65+J65+K65,0)</f>
        <v>0</v>
      </c>
      <c r="M65" s="8" t="n">
        <f aca="false">I65+J65+K65-L65</f>
        <v>0</v>
      </c>
      <c r="N65" s="8" t="n">
        <f aca="false">R64</f>
        <v>100260.222991623</v>
      </c>
      <c r="O65" s="8" t="n">
        <f aca="false">IF(AND(B65&lt;=$E$7,B65&lt;$F$14),$D$14*12*(1+$E$10)^(B65-1),0)</f>
        <v>0</v>
      </c>
      <c r="P65" s="8" t="n">
        <f aca="false">N65*$E$5</f>
        <v>6015.61337949736</v>
      </c>
      <c r="Q65" s="8" t="n">
        <f aca="false">IF(B65&gt;=$F$14,IF(($I$14-$E$9-B65+2)&lt;=1,N65+P65,IF($E$5=0,N65/($I$14-$E$9-B65+2),N65*$E$5/(1-(1+$E$5)^(-($I$14-$E$9-B65+2))))*IF(AND(B65=$F$14,ISNUMBER(Proyección!$F$21),N(Proyección!$F$20)&gt;=$E$9),(12-Proyección!$F$21)/12,1)),0)</f>
        <v>14740.4820661339</v>
      </c>
      <c r="R65" s="8" t="n">
        <f aca="false">N65+O65+P65-Q65</f>
        <v>91535.3543049861</v>
      </c>
      <c r="S65" s="15" t="n">
        <f aca="false">L65</f>
        <v>0</v>
      </c>
      <c r="T65" s="8" t="n">
        <f aca="false">G65</f>
        <v>12553.8977671245</v>
      </c>
      <c r="U65" s="8" t="n">
        <f aca="false">Q65</f>
        <v>14740.4820661339</v>
      </c>
    </row>
    <row r="66" customFormat="false" ht="13.8" hidden="false" customHeight="false" outlineLevel="0" collapsed="false">
      <c r="B66" s="13" t="n">
        <v>48</v>
      </c>
      <c r="C66" s="13" t="n">
        <f aca="false">Proyección!B77</f>
        <v>2073</v>
      </c>
      <c r="D66" s="8" t="n">
        <f aca="false">H65</f>
        <v>77957.1166578345</v>
      </c>
      <c r="E66" s="8" t="n">
        <f aca="false">IF(AND(B66&lt;=$E$7,B66&lt;$F$12),$D$12*12*(1+$E$6)^(B66-1),0)</f>
        <v>0</v>
      </c>
      <c r="F66" s="8" t="n">
        <f aca="false">D66*$E$5</f>
        <v>4677.42699947007</v>
      </c>
      <c r="G66" s="8" t="n">
        <f aca="false">IF(B66&gt;=$F$12,IF(($I$12-$E$9-B66+2)&lt;=1,D66+F66,IF($E$5=0,D66/($I$12-$E$9-B66+2),D66*$E$5/(1-(1+$E$5)^(-($I$12-$E$9-B66+2))))*IF(AND(B66=$F$12,ISNUMBER(Proyección!$F$21),N(Proyección!$F$20)&gt;=$E$9),(12-Proyección!$F$21)/12,1)),0)</f>
        <v>12553.8977671245</v>
      </c>
      <c r="H66" s="8" t="n">
        <f aca="false">D66+E66+F66-G66</f>
        <v>70080.64589018</v>
      </c>
      <c r="I66" s="8" t="n">
        <f aca="false">M65</f>
        <v>0</v>
      </c>
      <c r="J66" s="8" t="n">
        <f aca="false">IF(AND(B66&lt;=$E$7),$D$13*12*(1+$E$6)^(B66-1),0)</f>
        <v>0</v>
      </c>
      <c r="K66" s="8" t="n">
        <f aca="false">I66*$E$5</f>
        <v>0</v>
      </c>
      <c r="L66" s="8" t="n">
        <f aca="false">IF(OR(B66=$F$13,B66=$E$8,B66=50),I66+J66+K66,0)</f>
        <v>0</v>
      </c>
      <c r="M66" s="8" t="n">
        <f aca="false">I66+J66+K66-L66</f>
        <v>0</v>
      </c>
      <c r="N66" s="8" t="n">
        <f aca="false">R65</f>
        <v>91535.3543049861</v>
      </c>
      <c r="O66" s="8" t="n">
        <f aca="false">IF(AND(B66&lt;=$E$7,B66&lt;$F$14),$D$14*12*(1+$E$10)^(B66-1),0)</f>
        <v>0</v>
      </c>
      <c r="P66" s="8" t="n">
        <f aca="false">N66*$E$5</f>
        <v>5492.12125829916</v>
      </c>
      <c r="Q66" s="8" t="n">
        <f aca="false">IF(B66&gt;=$F$14,IF(($I$14-$E$9-B66+2)&lt;=1,N66+P66,IF($E$5=0,N66/($I$14-$E$9-B66+2),N66*$E$5/(1-(1+$E$5)^(-($I$14-$E$9-B66+2))))*IF(AND(B66=$F$14,ISNUMBER(Proyección!$F$21),N(Proyección!$F$20)&gt;=$E$9),(12-Proyección!$F$21)/12,1)),0)</f>
        <v>14740.4820661339</v>
      </c>
      <c r="R66" s="8" t="n">
        <f aca="false">N66+O66+P66-Q66</f>
        <v>82286.9934971513</v>
      </c>
      <c r="S66" s="15" t="n">
        <f aca="false">L66</f>
        <v>0</v>
      </c>
      <c r="T66" s="8" t="n">
        <f aca="false">G66</f>
        <v>12553.8977671245</v>
      </c>
      <c r="U66" s="8" t="n">
        <f aca="false">Q66</f>
        <v>14740.4820661339</v>
      </c>
    </row>
    <row r="67" customFormat="false" ht="13.8" hidden="false" customHeight="false" outlineLevel="0" collapsed="false">
      <c r="B67" s="13" t="n">
        <v>49</v>
      </c>
      <c r="C67" s="13" t="n">
        <f aca="false">Proyección!B78</f>
        <v>2074</v>
      </c>
      <c r="D67" s="8" t="n">
        <f aca="false">H66</f>
        <v>70080.64589018</v>
      </c>
      <c r="E67" s="8" t="n">
        <f aca="false">IF(AND(B67&lt;=$E$7,B67&lt;$F$12),$D$12*12*(1+$E$6)^(B67-1),0)</f>
        <v>0</v>
      </c>
      <c r="F67" s="8" t="n">
        <f aca="false">D67*$E$5</f>
        <v>4204.8387534108</v>
      </c>
      <c r="G67" s="8" t="n">
        <f aca="false">IF(B67&gt;=$F$12,IF(($I$12-$E$9-B67+2)&lt;=1,D67+F67,IF($E$5=0,D67/($I$12-$E$9-B67+2),D67*$E$5/(1-(1+$E$5)^(-($I$12-$E$9-B67+2))))*IF(AND(B67=$F$12,ISNUMBER(Proyección!$F$21),N(Proyección!$F$20)&gt;=$E$9),(12-Proyección!$F$21)/12,1)),0)</f>
        <v>12553.8977671245</v>
      </c>
      <c r="H67" s="8" t="n">
        <f aca="false">D67+E67+F67-G67</f>
        <v>61731.5868764663</v>
      </c>
      <c r="I67" s="8" t="n">
        <f aca="false">M66</f>
        <v>0</v>
      </c>
      <c r="J67" s="8" t="n">
        <f aca="false">IF(AND(B67&lt;=$E$7),$D$13*12*(1+$E$6)^(B67-1),0)</f>
        <v>0</v>
      </c>
      <c r="K67" s="8" t="n">
        <f aca="false">I67*$E$5</f>
        <v>0</v>
      </c>
      <c r="L67" s="8" t="n">
        <f aca="false">IF(OR(B67=$F$13,B67=$E$8,B67=50),I67+J67+K67,0)</f>
        <v>0</v>
      </c>
      <c r="M67" s="8" t="n">
        <f aca="false">I67+J67+K67-L67</f>
        <v>0</v>
      </c>
      <c r="N67" s="8" t="n">
        <f aca="false">R66</f>
        <v>82286.9934971513</v>
      </c>
      <c r="O67" s="8" t="n">
        <f aca="false">IF(AND(B67&lt;=$E$7,B67&lt;$F$14),$D$14*12*(1+$E$10)^(B67-1),0)</f>
        <v>0</v>
      </c>
      <c r="P67" s="8" t="n">
        <f aca="false">N67*$E$5</f>
        <v>4937.21960982908</v>
      </c>
      <c r="Q67" s="8" t="n">
        <f aca="false">IF(B67&gt;=$F$14,IF(($I$14-$E$9-B67+2)&lt;=1,N67+P67,IF($E$5=0,N67/($I$14-$E$9-B67+2),N67*$E$5/(1-(1+$E$5)^(-($I$14-$E$9-B67+2))))*IF(AND(B67=$F$14,ISNUMBER(Proyección!$F$21),N(Proyección!$F$20)&gt;=$E$9),(12-Proyección!$F$21)/12,1)),0)</f>
        <v>14740.4820661339</v>
      </c>
      <c r="R67" s="8" t="n">
        <f aca="false">N67+O67+P67-Q67</f>
        <v>72483.7310408465</v>
      </c>
      <c r="S67" s="15" t="n">
        <f aca="false">L67</f>
        <v>0</v>
      </c>
      <c r="T67" s="8" t="n">
        <f aca="false">G67</f>
        <v>12553.8977671245</v>
      </c>
      <c r="U67" s="8" t="n">
        <f aca="false">Q67</f>
        <v>14740.4820661339</v>
      </c>
    </row>
    <row r="68" customFormat="false" ht="13.8" hidden="false" customHeight="false" outlineLevel="0" collapsed="false">
      <c r="B68" s="13" t="n">
        <v>50</v>
      </c>
      <c r="C68" s="13" t="n">
        <f aca="false">Proyección!B79</f>
        <v>2075</v>
      </c>
      <c r="D68" s="8" t="n">
        <f aca="false">H67</f>
        <v>61731.5868764663</v>
      </c>
      <c r="E68" s="8" t="n">
        <f aca="false">IF(AND(B68&lt;=$E$7,B68&lt;$F$12),$D$12*12*(1+$E$6)^(B68-1),0)</f>
        <v>0</v>
      </c>
      <c r="F68" s="8" t="n">
        <f aca="false">D68*$E$5</f>
        <v>3703.89521258798</v>
      </c>
      <c r="G68" s="8" t="n">
        <f aca="false">IF(B68&gt;=$F$12,IF(($I$12-$E$9-B68+2)&lt;=1,D68+F68,IF($E$5=0,D68/($I$12-$E$9-B68+2),D68*$E$5/(1-(1+$E$5)^(-($I$12-$E$9-B68+2))))*IF(AND(B68=$F$12,ISNUMBER(Proyección!$F$21),N(Proyección!$F$20)&gt;=$E$9),(12-Proyección!$F$21)/12,1)),0)</f>
        <v>12553.8977671245</v>
      </c>
      <c r="H68" s="8" t="n">
        <f aca="false">D68+E68+F68-G68</f>
        <v>52881.5843219297</v>
      </c>
      <c r="I68" s="8" t="n">
        <f aca="false">M67</f>
        <v>0</v>
      </c>
      <c r="J68" s="8" t="n">
        <f aca="false">IF(AND(B68&lt;=$E$7),$D$13*12*(1+$E$6)^(B68-1),0)</f>
        <v>0</v>
      </c>
      <c r="K68" s="8" t="n">
        <f aca="false">I68*$E$5</f>
        <v>0</v>
      </c>
      <c r="L68" s="8" t="n">
        <f aca="false">IF(OR(B68=$F$13,B68=$E$8,B68=50),I68+J68+K68,0)</f>
        <v>0</v>
      </c>
      <c r="M68" s="8" t="n">
        <f aca="false">I68+J68+K68-L68</f>
        <v>0</v>
      </c>
      <c r="N68" s="8" t="n">
        <f aca="false">R67</f>
        <v>72483.7310408465</v>
      </c>
      <c r="O68" s="8" t="n">
        <f aca="false">IF(AND(B68&lt;=$E$7,B68&lt;$F$14),$D$14*12*(1+$E$10)^(B68-1),0)</f>
        <v>0</v>
      </c>
      <c r="P68" s="8" t="n">
        <f aca="false">N68*$E$5</f>
        <v>4349.02386245079</v>
      </c>
      <c r="Q68" s="8" t="n">
        <f aca="false">IF(B68&gt;=$F$14,IF(($I$14-$E$9-B68+2)&lt;=1,N68+P68,IF($E$5=0,N68/($I$14-$E$9-B68+2),N68*$E$5/(1-(1+$E$5)^(-($I$14-$E$9-B68+2))))*IF(AND(B68=$F$14,ISNUMBER(Proyección!$F$21),N(Proyección!$F$20)&gt;=$E$9),(12-Proyección!$F$21)/12,1)),0)</f>
        <v>14740.4820661339</v>
      </c>
      <c r="R68" s="8" t="n">
        <f aca="false">N68+O68+P68-Q68</f>
        <v>62092.2728371634</v>
      </c>
      <c r="S68" s="15" t="n">
        <f aca="false">L68</f>
        <v>0</v>
      </c>
      <c r="T68" s="8" t="n">
        <f aca="false">G68</f>
        <v>12553.8977671245</v>
      </c>
      <c r="U68" s="8" t="n">
        <f aca="false">Q68</f>
        <v>14740.4820661339</v>
      </c>
    </row>
  </sheetData>
  <mergeCells count="15">
    <mergeCell ref="B2:M2"/>
    <mergeCell ref="B4:E4"/>
    <mergeCell ref="G4:M4"/>
    <mergeCell ref="B5:D5"/>
    <mergeCell ref="B6:D6"/>
    <mergeCell ref="B7:D7"/>
    <mergeCell ref="G7:M8"/>
    <mergeCell ref="B8:D8"/>
    <mergeCell ref="B9:D9"/>
    <mergeCell ref="B10:D10"/>
    <mergeCell ref="B17:C17"/>
    <mergeCell ref="D17:H17"/>
    <mergeCell ref="I17:M17"/>
    <mergeCell ref="N17:R17"/>
    <mergeCell ref="S17:U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sheetData>
    <row r="1" customFormat="false" ht="13.8" hidden="false" customHeight="false" outlineLevel="0" collapsed="false">
      <c r="A1" s="0" t="s">
        <v>534</v>
      </c>
      <c r="B1" s="0" t="s">
        <v>79</v>
      </c>
      <c r="C1" s="0" t="s">
        <v>80</v>
      </c>
      <c r="E1" s="0" t="s">
        <v>535</v>
      </c>
      <c r="F1" s="0" t="s">
        <v>371</v>
      </c>
      <c r="H1" s="0" t="s">
        <v>536</v>
      </c>
      <c r="I1" s="0" t="s">
        <v>535</v>
      </c>
      <c r="J1" s="0" t="s">
        <v>371</v>
      </c>
      <c r="L1" s="0" t="s">
        <v>537</v>
      </c>
      <c r="N1" s="0" t="s">
        <v>538</v>
      </c>
      <c r="P1" s="0" t="s">
        <v>539</v>
      </c>
      <c r="R1" s="0" t="s">
        <v>540</v>
      </c>
      <c r="U1" s="0" t="s">
        <v>541</v>
      </c>
      <c r="V1" s="0" t="s">
        <v>542</v>
      </c>
      <c r="W1" s="0" t="s">
        <v>543</v>
      </c>
    </row>
    <row r="2" customFormat="false" ht="13.8" hidden="false" customHeight="false" outlineLevel="0" collapsed="false">
      <c r="A2" s="0" t="s">
        <v>81</v>
      </c>
      <c r="B2" s="24" t="n">
        <v>0.35</v>
      </c>
      <c r="C2" s="24" t="n">
        <v>0.9</v>
      </c>
      <c r="E2" s="24" t="n">
        <v>0.05824</v>
      </c>
      <c r="F2" s="24" t="n">
        <v>0.05001</v>
      </c>
      <c r="H2" s="25" t="s">
        <v>544</v>
      </c>
      <c r="I2" s="24" t="n">
        <v>0.05824</v>
      </c>
      <c r="J2" s="24" t="n">
        <v>0.05001</v>
      </c>
      <c r="L2" s="26" t="n">
        <v>0</v>
      </c>
      <c r="M2" s="26" t="n">
        <v>3.75</v>
      </c>
      <c r="N2" s="26" t="n">
        <v>0</v>
      </c>
      <c r="O2" s="26" t="n">
        <v>7.5</v>
      </c>
      <c r="P2" s="26" t="n">
        <v>10</v>
      </c>
      <c r="Q2" s="26" t="n">
        <v>2.5</v>
      </c>
      <c r="R2" s="26" t="n">
        <v>10</v>
      </c>
      <c r="S2" s="26" t="n">
        <v>6.25</v>
      </c>
      <c r="U2" s="25" t="s">
        <v>545</v>
      </c>
      <c r="V2" s="26" t="n">
        <v>3.9</v>
      </c>
      <c r="W2" s="26" t="n">
        <v>3.6</v>
      </c>
    </row>
    <row r="3" customFormat="false" ht="13.8" hidden="false" customHeight="false" outlineLevel="0" collapsed="false">
      <c r="A3" s="0" t="s">
        <v>83</v>
      </c>
      <c r="B3" s="24" t="n">
        <v>0.475</v>
      </c>
      <c r="C3" s="24" t="n">
        <v>0.05</v>
      </c>
      <c r="E3" s="24" t="n">
        <v>0.058667</v>
      </c>
      <c r="F3" s="24" t="n">
        <v>0.050224</v>
      </c>
      <c r="H3" s="25" t="s">
        <v>40</v>
      </c>
      <c r="I3" s="24" t="n">
        <v>0.078985</v>
      </c>
      <c r="J3" s="24" t="n">
        <v>0.0585725</v>
      </c>
      <c r="L3" s="26" t="n">
        <v>4.2857</v>
      </c>
      <c r="M3" s="26" t="n">
        <v>0</v>
      </c>
      <c r="N3" s="26" t="n">
        <v>8.5714</v>
      </c>
      <c r="O3" s="26" t="n">
        <v>0</v>
      </c>
      <c r="P3" s="26" t="n">
        <v>1.4286</v>
      </c>
      <c r="Q3" s="26" t="n">
        <v>10</v>
      </c>
      <c r="R3" s="26" t="n">
        <v>5.7143</v>
      </c>
      <c r="S3" s="26" t="n">
        <v>10</v>
      </c>
      <c r="U3" s="25" t="s">
        <v>546</v>
      </c>
      <c r="V3" s="26" t="n">
        <v>5</v>
      </c>
      <c r="W3" s="26" t="n">
        <v>3.6</v>
      </c>
    </row>
    <row r="4" customFormat="false" ht="13.8" hidden="false" customHeight="false" outlineLevel="0" collapsed="false">
      <c r="A4" s="0" t="s">
        <v>85</v>
      </c>
      <c r="B4" s="24" t="n">
        <v>0.175</v>
      </c>
      <c r="C4" s="24" t="n">
        <v>0.05</v>
      </c>
      <c r="E4" s="24" t="n">
        <v>0.0591</v>
      </c>
      <c r="F4" s="24" t="n">
        <v>0.050438</v>
      </c>
      <c r="H4" s="25" t="s">
        <v>547</v>
      </c>
      <c r="I4" s="24" t="n">
        <v>0.104067</v>
      </c>
      <c r="J4" s="24" t="n">
        <v>0.067135</v>
      </c>
      <c r="U4" s="25" t="s">
        <v>548</v>
      </c>
      <c r="V4" s="26" t="n">
        <v>3.3</v>
      </c>
      <c r="W4" s="26" t="n">
        <v>3.6</v>
      </c>
    </row>
    <row r="5" customFormat="false" ht="13.8" hidden="false" customHeight="false" outlineLevel="0" collapsed="false">
      <c r="E5" s="24" t="n">
        <v>0.059539</v>
      </c>
      <c r="F5" s="24" t="n">
        <v>0.050652</v>
      </c>
      <c r="H5" s="25" t="s">
        <v>549</v>
      </c>
      <c r="I5" s="24" t="n">
        <v>0.137651</v>
      </c>
      <c r="J5" s="24" t="n">
        <v>0.072835</v>
      </c>
      <c r="U5" s="25" t="s">
        <v>550</v>
      </c>
      <c r="V5" s="26" t="n">
        <v>6.7</v>
      </c>
      <c r="W5" s="26" t="n">
        <v>3.6</v>
      </c>
    </row>
    <row r="6" customFormat="false" ht="13.8" hidden="false" customHeight="false" outlineLevel="0" collapsed="false">
      <c r="A6" s="0" t="s">
        <v>39</v>
      </c>
      <c r="B6" s="0" t="s">
        <v>551</v>
      </c>
      <c r="C6" s="0" t="s">
        <v>552</v>
      </c>
      <c r="E6" s="24" t="n">
        <v>0.059984</v>
      </c>
      <c r="F6" s="24" t="n">
        <v>0.050866</v>
      </c>
      <c r="H6" s="25" t="s">
        <v>553</v>
      </c>
      <c r="I6" s="24" t="n">
        <v>0.174735</v>
      </c>
      <c r="J6" s="24" t="n">
        <v>0.078535</v>
      </c>
      <c r="U6" s="25" t="s">
        <v>554</v>
      </c>
      <c r="V6" s="26" t="n">
        <v>6.7</v>
      </c>
      <c r="W6" s="26" t="n">
        <v>3.6</v>
      </c>
    </row>
    <row r="7" customFormat="false" ht="13.8" hidden="false" customHeight="false" outlineLevel="0" collapsed="false">
      <c r="A7" s="0" t="s">
        <v>555</v>
      </c>
      <c r="B7" s="26" t="n">
        <v>3.09</v>
      </c>
      <c r="C7" s="26" t="n">
        <v>4.69</v>
      </c>
      <c r="E7" s="24" t="n">
        <v>0.060435</v>
      </c>
      <c r="F7" s="24" t="n">
        <v>0.05108</v>
      </c>
      <c r="H7" s="25" t="s">
        <v>79</v>
      </c>
      <c r="I7" s="24" t="n">
        <v>0.078985</v>
      </c>
      <c r="J7" s="24" t="n">
        <v>0.0585725</v>
      </c>
      <c r="U7" s="25" t="s">
        <v>556</v>
      </c>
      <c r="V7" s="26" t="n">
        <v>0</v>
      </c>
      <c r="W7" s="26" t="n">
        <v>3.6</v>
      </c>
    </row>
    <row r="8" customFormat="false" ht="13.8" hidden="false" customHeight="false" outlineLevel="0" collapsed="false">
      <c r="E8" s="24" t="n">
        <v>0.060891</v>
      </c>
      <c r="F8" s="24" t="n">
        <v>0.051294</v>
      </c>
      <c r="H8" s="25" t="s">
        <v>557</v>
      </c>
      <c r="I8" s="24" t="n">
        <v>0.174735</v>
      </c>
      <c r="J8" s="24" t="n">
        <v>0.078535</v>
      </c>
      <c r="U8" s="25" t="s">
        <v>558</v>
      </c>
      <c r="V8" s="26" t="n">
        <v>0</v>
      </c>
      <c r="W8" s="26" t="n">
        <v>3.6</v>
      </c>
    </row>
    <row r="9" customFormat="false" ht="13.8" hidden="false" customHeight="false" outlineLevel="0" collapsed="false">
      <c r="A9" s="0" t="s">
        <v>544</v>
      </c>
      <c r="B9" s="0" t="n">
        <v>1</v>
      </c>
      <c r="C9" s="0" t="n">
        <v>1</v>
      </c>
      <c r="E9" s="24" t="n">
        <v>0.061353</v>
      </c>
      <c r="F9" s="24" t="n">
        <v>0.051508</v>
      </c>
      <c r="H9" s="25" t="s">
        <v>559</v>
      </c>
      <c r="I9" s="24" t="n">
        <v>0</v>
      </c>
      <c r="J9" s="24" t="n">
        <v>0.079181</v>
      </c>
    </row>
    <row r="10" customFormat="false" ht="13.8" hidden="false" customHeight="false" outlineLevel="0" collapsed="false">
      <c r="A10" s="0" t="s">
        <v>40</v>
      </c>
      <c r="B10" s="0" t="n">
        <v>3</v>
      </c>
      <c r="C10" s="0" t="n">
        <v>3</v>
      </c>
      <c r="E10" s="24" t="n">
        <v>0.06182</v>
      </c>
      <c r="F10" s="24" t="n">
        <v>0.051722</v>
      </c>
      <c r="I10" s="24" t="n">
        <v>0.2</v>
      </c>
      <c r="J10" s="24" t="n">
        <v>0.079181</v>
      </c>
    </row>
    <row r="11" customFormat="false" ht="13.8" hidden="false" customHeight="false" outlineLevel="0" collapsed="false">
      <c r="A11" s="0" t="s">
        <v>547</v>
      </c>
      <c r="B11" s="0" t="n">
        <v>5</v>
      </c>
      <c r="C11" s="0" t="n">
        <v>5</v>
      </c>
      <c r="E11" s="24" t="n">
        <v>0.062292</v>
      </c>
      <c r="F11" s="24" t="n">
        <v>0.051937</v>
      </c>
    </row>
    <row r="12" customFormat="false" ht="13.8" hidden="false" customHeight="false" outlineLevel="0" collapsed="false">
      <c r="A12" s="0" t="s">
        <v>549</v>
      </c>
      <c r="B12" s="0" t="n">
        <v>7</v>
      </c>
      <c r="C12" s="0" t="n">
        <v>7</v>
      </c>
      <c r="E12" s="24" t="n">
        <v>0.06277</v>
      </c>
      <c r="F12" s="24" t="n">
        <v>0.052151</v>
      </c>
    </row>
    <row r="13" customFormat="false" ht="13.8" hidden="false" customHeight="false" outlineLevel="0" collapsed="false">
      <c r="A13" s="0" t="s">
        <v>553</v>
      </c>
      <c r="B13" s="0" t="n">
        <v>9</v>
      </c>
      <c r="C13" s="0" t="n">
        <v>9</v>
      </c>
      <c r="E13" s="24" t="n">
        <v>0.063252</v>
      </c>
      <c r="F13" s="24" t="n">
        <v>0.052365</v>
      </c>
    </row>
    <row r="14" customFormat="false" ht="13.8" hidden="false" customHeight="false" outlineLevel="0" collapsed="false">
      <c r="E14" s="24" t="n">
        <v>0.06374</v>
      </c>
      <c r="F14" s="24" t="n">
        <v>0.052579</v>
      </c>
    </row>
    <row r="15" customFormat="false" ht="13.8" hidden="false" customHeight="false" outlineLevel="0" collapsed="false">
      <c r="E15" s="24" t="n">
        <v>0.064232</v>
      </c>
      <c r="F15" s="24" t="n">
        <v>0.052793</v>
      </c>
    </row>
    <row r="16" customFormat="false" ht="13.8" hidden="false" customHeight="false" outlineLevel="0" collapsed="false">
      <c r="E16" s="24" t="n">
        <v>0.064729</v>
      </c>
      <c r="F16" s="24" t="n">
        <v>0.053007</v>
      </c>
    </row>
    <row r="17" customFormat="false" ht="13.8" hidden="false" customHeight="false" outlineLevel="0" collapsed="false">
      <c r="E17" s="24" t="n">
        <v>0.06523</v>
      </c>
      <c r="F17" s="24" t="n">
        <v>0.053221</v>
      </c>
    </row>
    <row r="18" customFormat="false" ht="13.8" hidden="false" customHeight="false" outlineLevel="0" collapsed="false">
      <c r="E18" s="24" t="n">
        <v>0.065736</v>
      </c>
      <c r="F18" s="24" t="n">
        <v>0.053435</v>
      </c>
    </row>
    <row r="19" customFormat="false" ht="13.8" hidden="false" customHeight="false" outlineLevel="0" collapsed="false">
      <c r="E19" s="24" t="n">
        <v>0.066247</v>
      </c>
      <c r="F19" s="24" t="n">
        <v>0.053649</v>
      </c>
    </row>
    <row r="20" customFormat="false" ht="13.8" hidden="false" customHeight="false" outlineLevel="0" collapsed="false">
      <c r="E20" s="24" t="n">
        <v>0.066761</v>
      </c>
      <c r="F20" s="24" t="n">
        <v>0.053863</v>
      </c>
    </row>
    <row r="21" customFormat="false" ht="13.8" hidden="false" customHeight="false" outlineLevel="0" collapsed="false">
      <c r="E21" s="24" t="n">
        <v>0.06728</v>
      </c>
      <c r="F21" s="24" t="n">
        <v>0.054077</v>
      </c>
    </row>
    <row r="22" customFormat="false" ht="13.8" hidden="false" customHeight="false" outlineLevel="0" collapsed="false">
      <c r="E22" s="24" t="n">
        <v>0.067803</v>
      </c>
      <c r="F22" s="24" t="n">
        <v>0.054291</v>
      </c>
    </row>
    <row r="23" customFormat="false" ht="13.8" hidden="false" customHeight="false" outlineLevel="0" collapsed="false">
      <c r="E23" s="24" t="n">
        <v>0.06833</v>
      </c>
      <c r="F23" s="24" t="n">
        <v>0.054505</v>
      </c>
    </row>
    <row r="24" customFormat="false" ht="13.8" hidden="false" customHeight="false" outlineLevel="0" collapsed="false">
      <c r="E24" s="24" t="n">
        <v>0.06886</v>
      </c>
      <c r="F24" s="24" t="n">
        <v>0.054719</v>
      </c>
    </row>
    <row r="25" customFormat="false" ht="13.8" hidden="false" customHeight="false" outlineLevel="0" collapsed="false">
      <c r="E25" s="24" t="n">
        <v>0.069395</v>
      </c>
      <c r="F25" s="24" t="n">
        <v>0.054933</v>
      </c>
    </row>
    <row r="26" customFormat="false" ht="13.8" hidden="false" customHeight="false" outlineLevel="0" collapsed="false">
      <c r="E26" s="24" t="n">
        <v>0.069933</v>
      </c>
      <c r="F26" s="24" t="n">
        <v>0.055148</v>
      </c>
    </row>
    <row r="27" customFormat="false" ht="13.8" hidden="false" customHeight="false" outlineLevel="0" collapsed="false">
      <c r="E27" s="24" t="n">
        <v>0.070475</v>
      </c>
      <c r="F27" s="24" t="n">
        <v>0.055362</v>
      </c>
    </row>
    <row r="28" customFormat="false" ht="13.8" hidden="false" customHeight="false" outlineLevel="0" collapsed="false">
      <c r="E28" s="24" t="n">
        <v>0.07102</v>
      </c>
      <c r="F28" s="24" t="n">
        <v>0.055576</v>
      </c>
    </row>
    <row r="29" customFormat="false" ht="13.8" hidden="false" customHeight="false" outlineLevel="0" collapsed="false">
      <c r="E29" s="24" t="n">
        <v>0.071569</v>
      </c>
      <c r="F29" s="24" t="n">
        <v>0.05579</v>
      </c>
    </row>
    <row r="30" customFormat="false" ht="13.8" hidden="false" customHeight="false" outlineLevel="0" collapsed="false">
      <c r="E30" s="24" t="n">
        <v>0.072121</v>
      </c>
      <c r="F30" s="24" t="n">
        <v>0.056004</v>
      </c>
    </row>
    <row r="31" customFormat="false" ht="13.8" hidden="false" customHeight="false" outlineLevel="0" collapsed="false">
      <c r="E31" s="24" t="n">
        <v>0.072676</v>
      </c>
      <c r="F31" s="24" t="n">
        <v>0.056218</v>
      </c>
    </row>
    <row r="32" customFormat="false" ht="13.8" hidden="false" customHeight="false" outlineLevel="0" collapsed="false">
      <c r="E32" s="24" t="n">
        <v>0.073235</v>
      </c>
      <c r="F32" s="24" t="n">
        <v>0.056432</v>
      </c>
    </row>
    <row r="33" customFormat="false" ht="13.8" hidden="false" customHeight="false" outlineLevel="0" collapsed="false">
      <c r="E33" s="24" t="n">
        <v>0.073797</v>
      </c>
      <c r="F33" s="24" t="n">
        <v>0.056646</v>
      </c>
    </row>
    <row r="34" customFormat="false" ht="13.8" hidden="false" customHeight="false" outlineLevel="0" collapsed="false">
      <c r="E34" s="24" t="n">
        <v>0.074362</v>
      </c>
      <c r="F34" s="24" t="n">
        <v>0.05686</v>
      </c>
    </row>
    <row r="35" customFormat="false" ht="13.8" hidden="false" customHeight="false" outlineLevel="0" collapsed="false">
      <c r="E35" s="24" t="n">
        <v>0.07493</v>
      </c>
      <c r="F35" s="24" t="n">
        <v>0.057074</v>
      </c>
    </row>
    <row r="36" customFormat="false" ht="13.8" hidden="false" customHeight="false" outlineLevel="0" collapsed="false">
      <c r="E36" s="24" t="n">
        <v>0.075501</v>
      </c>
      <c r="F36" s="24" t="n">
        <v>0.057288</v>
      </c>
    </row>
    <row r="37" customFormat="false" ht="13.8" hidden="false" customHeight="false" outlineLevel="0" collapsed="false">
      <c r="E37" s="24" t="n">
        <v>0.076075</v>
      </c>
      <c r="F37" s="24" t="n">
        <v>0.057502</v>
      </c>
    </row>
    <row r="38" customFormat="false" ht="13.8" hidden="false" customHeight="false" outlineLevel="0" collapsed="false">
      <c r="E38" s="24" t="n">
        <v>0.076651</v>
      </c>
      <c r="F38" s="24" t="n">
        <v>0.057716</v>
      </c>
    </row>
    <row r="39" customFormat="false" ht="13.8" hidden="false" customHeight="false" outlineLevel="0" collapsed="false">
      <c r="E39" s="24" t="n">
        <v>0.077231</v>
      </c>
      <c r="F39" s="24" t="n">
        <v>0.05793</v>
      </c>
    </row>
    <row r="40" customFormat="false" ht="13.8" hidden="false" customHeight="false" outlineLevel="0" collapsed="false">
      <c r="E40" s="24" t="n">
        <v>0.077813</v>
      </c>
      <c r="F40" s="24" t="n">
        <v>0.058144</v>
      </c>
    </row>
    <row r="41" customFormat="false" ht="13.8" hidden="false" customHeight="false" outlineLevel="0" collapsed="false">
      <c r="E41" s="24" t="n">
        <v>0.078398</v>
      </c>
      <c r="F41" s="24" t="n">
        <v>0.058358</v>
      </c>
    </row>
    <row r="42" customFormat="false" ht="13.8" hidden="false" customHeight="false" outlineLevel="0" collapsed="false">
      <c r="E42" s="24" t="n">
        <v>0.078985</v>
      </c>
      <c r="F42" s="24" t="n">
        <v>0.058572</v>
      </c>
    </row>
    <row r="43" customFormat="false" ht="13.8" hidden="false" customHeight="false" outlineLevel="0" collapsed="false">
      <c r="E43" s="24" t="n">
        <v>0.079575</v>
      </c>
      <c r="F43" s="24" t="n">
        <v>0.058787</v>
      </c>
    </row>
    <row r="44" customFormat="false" ht="13.8" hidden="false" customHeight="false" outlineLevel="0" collapsed="false">
      <c r="E44" s="24" t="n">
        <v>0.080167</v>
      </c>
      <c r="F44" s="24" t="n">
        <v>0.059001</v>
      </c>
    </row>
    <row r="45" customFormat="false" ht="13.8" hidden="false" customHeight="false" outlineLevel="0" collapsed="false">
      <c r="E45" s="24" t="n">
        <v>0.080762</v>
      </c>
      <c r="F45" s="24" t="n">
        <v>0.059215</v>
      </c>
    </row>
    <row r="46" customFormat="false" ht="13.8" hidden="false" customHeight="false" outlineLevel="0" collapsed="false">
      <c r="E46" s="24" t="n">
        <v>0.081359</v>
      </c>
      <c r="F46" s="24" t="n">
        <v>0.059429</v>
      </c>
    </row>
    <row r="47" customFormat="false" ht="13.8" hidden="false" customHeight="false" outlineLevel="0" collapsed="false">
      <c r="E47" s="24" t="n">
        <v>0.081958</v>
      </c>
      <c r="F47" s="24" t="n">
        <v>0.059643</v>
      </c>
    </row>
    <row r="48" customFormat="false" ht="13.8" hidden="false" customHeight="false" outlineLevel="0" collapsed="false">
      <c r="E48" s="24" t="n">
        <v>0.08256</v>
      </c>
      <c r="F48" s="24" t="n">
        <v>0.059857</v>
      </c>
    </row>
    <row r="49" customFormat="false" ht="13.8" hidden="false" customHeight="false" outlineLevel="0" collapsed="false">
      <c r="E49" s="24" t="n">
        <v>0.083163</v>
      </c>
      <c r="F49" s="24" t="n">
        <v>0.060071</v>
      </c>
    </row>
    <row r="50" customFormat="false" ht="13.8" hidden="false" customHeight="false" outlineLevel="0" collapsed="false">
      <c r="E50" s="24" t="n">
        <v>0.083769</v>
      </c>
      <c r="F50" s="24" t="n">
        <v>0.060285</v>
      </c>
    </row>
    <row r="51" customFormat="false" ht="13.8" hidden="false" customHeight="false" outlineLevel="0" collapsed="false">
      <c r="E51" s="24" t="n">
        <v>0.084377</v>
      </c>
      <c r="F51" s="24" t="n">
        <v>0.060499</v>
      </c>
    </row>
    <row r="52" customFormat="false" ht="13.8" hidden="false" customHeight="false" outlineLevel="0" collapsed="false">
      <c r="E52" s="24" t="n">
        <v>0.084987</v>
      </c>
      <c r="F52" s="24" t="n">
        <v>0.060713</v>
      </c>
    </row>
    <row r="53" customFormat="false" ht="13.8" hidden="false" customHeight="false" outlineLevel="0" collapsed="false">
      <c r="E53" s="24" t="n">
        <v>0.0856</v>
      </c>
      <c r="F53" s="24" t="n">
        <v>0.060927</v>
      </c>
    </row>
    <row r="54" customFormat="false" ht="13.8" hidden="false" customHeight="false" outlineLevel="0" collapsed="false">
      <c r="E54" s="24" t="n">
        <v>0.086214</v>
      </c>
      <c r="F54" s="24" t="n">
        <v>0.061141</v>
      </c>
    </row>
    <row r="55" customFormat="false" ht="13.8" hidden="false" customHeight="false" outlineLevel="0" collapsed="false">
      <c r="E55" s="24" t="n">
        <v>0.08683</v>
      </c>
      <c r="F55" s="24" t="n">
        <v>0.061355</v>
      </c>
    </row>
    <row r="56" customFormat="false" ht="13.8" hidden="false" customHeight="false" outlineLevel="0" collapsed="false">
      <c r="E56" s="24" t="n">
        <v>0.087448</v>
      </c>
      <c r="F56" s="24" t="n">
        <v>0.061569</v>
      </c>
    </row>
    <row r="57" customFormat="false" ht="13.8" hidden="false" customHeight="false" outlineLevel="0" collapsed="false">
      <c r="E57" s="24" t="n">
        <v>0.088068</v>
      </c>
      <c r="F57" s="24" t="n">
        <v>0.061783</v>
      </c>
    </row>
    <row r="58" customFormat="false" ht="13.8" hidden="false" customHeight="false" outlineLevel="0" collapsed="false">
      <c r="E58" s="24" t="n">
        <v>0.088689</v>
      </c>
      <c r="F58" s="24" t="n">
        <v>0.061997</v>
      </c>
    </row>
    <row r="59" customFormat="false" ht="13.8" hidden="false" customHeight="false" outlineLevel="0" collapsed="false">
      <c r="E59" s="24" t="n">
        <v>0.089313</v>
      </c>
      <c r="F59" s="24" t="n">
        <v>0.062212</v>
      </c>
    </row>
    <row r="60" customFormat="false" ht="13.8" hidden="false" customHeight="false" outlineLevel="0" collapsed="false">
      <c r="E60" s="24" t="n">
        <v>0.089938</v>
      </c>
      <c r="F60" s="24" t="n">
        <v>0.062426</v>
      </c>
    </row>
    <row r="61" customFormat="false" ht="13.8" hidden="false" customHeight="false" outlineLevel="0" collapsed="false">
      <c r="E61" s="24" t="n">
        <v>0.090564</v>
      </c>
      <c r="F61" s="24" t="n">
        <v>0.06264</v>
      </c>
    </row>
    <row r="62" customFormat="false" ht="13.8" hidden="false" customHeight="false" outlineLevel="0" collapsed="false">
      <c r="E62" s="24" t="n">
        <v>0.091193</v>
      </c>
      <c r="F62" s="24" t="n">
        <v>0.062854</v>
      </c>
    </row>
    <row r="63" customFormat="false" ht="13.8" hidden="false" customHeight="false" outlineLevel="0" collapsed="false">
      <c r="E63" s="24" t="n">
        <v>0.091823</v>
      </c>
      <c r="F63" s="24" t="n">
        <v>0.063068</v>
      </c>
    </row>
    <row r="64" customFormat="false" ht="13.8" hidden="false" customHeight="false" outlineLevel="0" collapsed="false">
      <c r="E64" s="24" t="n">
        <v>0.092455</v>
      </c>
      <c r="F64" s="24" t="n">
        <v>0.063282</v>
      </c>
    </row>
    <row r="65" customFormat="false" ht="13.8" hidden="false" customHeight="false" outlineLevel="0" collapsed="false">
      <c r="E65" s="24" t="n">
        <v>0.093088</v>
      </c>
      <c r="F65" s="24" t="n">
        <v>0.063496</v>
      </c>
    </row>
    <row r="66" customFormat="false" ht="13.8" hidden="false" customHeight="false" outlineLevel="0" collapsed="false">
      <c r="E66" s="24" t="n">
        <v>0.093723</v>
      </c>
      <c r="F66" s="24" t="n">
        <v>0.06371</v>
      </c>
    </row>
    <row r="67" customFormat="false" ht="13.8" hidden="false" customHeight="false" outlineLevel="0" collapsed="false">
      <c r="E67" s="24" t="n">
        <v>0.094359</v>
      </c>
      <c r="F67" s="24" t="n">
        <v>0.063924</v>
      </c>
    </row>
    <row r="68" customFormat="false" ht="13.8" hidden="false" customHeight="false" outlineLevel="0" collapsed="false">
      <c r="E68" s="24" t="n">
        <v>0.094997</v>
      </c>
      <c r="F68" s="24" t="n">
        <v>0.064138</v>
      </c>
    </row>
    <row r="69" customFormat="false" ht="13.8" hidden="false" customHeight="false" outlineLevel="0" collapsed="false">
      <c r="E69" s="24" t="n">
        <v>0.095636</v>
      </c>
      <c r="F69" s="24" t="n">
        <v>0.064352</v>
      </c>
    </row>
    <row r="70" customFormat="false" ht="13.8" hidden="false" customHeight="false" outlineLevel="0" collapsed="false">
      <c r="E70" s="24" t="n">
        <v>0.096277</v>
      </c>
      <c r="F70" s="24" t="n">
        <v>0.064566</v>
      </c>
    </row>
    <row r="71" customFormat="false" ht="13.8" hidden="false" customHeight="false" outlineLevel="0" collapsed="false">
      <c r="E71" s="24" t="n">
        <v>0.096919</v>
      </c>
      <c r="F71" s="24" t="n">
        <v>0.06478</v>
      </c>
    </row>
    <row r="72" customFormat="false" ht="13.8" hidden="false" customHeight="false" outlineLevel="0" collapsed="false">
      <c r="E72" s="24" t="n">
        <v>0.097563</v>
      </c>
      <c r="F72" s="24" t="n">
        <v>0.064994</v>
      </c>
    </row>
    <row r="73" customFormat="false" ht="13.8" hidden="false" customHeight="false" outlineLevel="0" collapsed="false">
      <c r="E73" s="24" t="n">
        <v>0.098207</v>
      </c>
      <c r="F73" s="24" t="n">
        <v>0.065208</v>
      </c>
    </row>
    <row r="74" customFormat="false" ht="13.8" hidden="false" customHeight="false" outlineLevel="0" collapsed="false">
      <c r="E74" s="24" t="n">
        <v>0.098854</v>
      </c>
      <c r="F74" s="24" t="n">
        <v>0.065422</v>
      </c>
    </row>
    <row r="75" customFormat="false" ht="13.8" hidden="false" customHeight="false" outlineLevel="0" collapsed="false">
      <c r="E75" s="24" t="n">
        <v>0.099501</v>
      </c>
      <c r="F75" s="24" t="n">
        <v>0.065637</v>
      </c>
    </row>
    <row r="76" customFormat="false" ht="13.8" hidden="false" customHeight="false" outlineLevel="0" collapsed="false">
      <c r="E76" s="24" t="n">
        <v>0.10015</v>
      </c>
      <c r="F76" s="24" t="n">
        <v>0.065851</v>
      </c>
    </row>
    <row r="77" customFormat="false" ht="13.8" hidden="false" customHeight="false" outlineLevel="0" collapsed="false">
      <c r="E77" s="24" t="n">
        <v>0.100799</v>
      </c>
      <c r="F77" s="24" t="n">
        <v>0.066065</v>
      </c>
    </row>
    <row r="78" customFormat="false" ht="13.8" hidden="false" customHeight="false" outlineLevel="0" collapsed="false">
      <c r="E78" s="24" t="n">
        <v>0.101451</v>
      </c>
      <c r="F78" s="24" t="n">
        <v>0.066279</v>
      </c>
    </row>
    <row r="79" customFormat="false" ht="13.8" hidden="false" customHeight="false" outlineLevel="0" collapsed="false">
      <c r="E79" s="24" t="n">
        <v>0.102103</v>
      </c>
      <c r="F79" s="24" t="n">
        <v>0.066493</v>
      </c>
    </row>
    <row r="80" customFormat="false" ht="13.8" hidden="false" customHeight="false" outlineLevel="0" collapsed="false">
      <c r="E80" s="24" t="n">
        <v>0.102756</v>
      </c>
      <c r="F80" s="24" t="n">
        <v>0.066707</v>
      </c>
    </row>
    <row r="81" customFormat="false" ht="13.8" hidden="false" customHeight="false" outlineLevel="0" collapsed="false">
      <c r="E81" s="24" t="n">
        <v>0.103411</v>
      </c>
      <c r="F81" s="24" t="n">
        <v>0.066921</v>
      </c>
    </row>
    <row r="82" customFormat="false" ht="13.8" hidden="false" customHeight="false" outlineLevel="0" collapsed="false">
      <c r="E82" s="24" t="n">
        <v>0.104067</v>
      </c>
      <c r="F82" s="24" t="n">
        <v>0.067135</v>
      </c>
    </row>
    <row r="83" customFormat="false" ht="13.8" hidden="false" customHeight="false" outlineLevel="0" collapsed="false">
      <c r="E83" s="24" t="n">
        <v>0.104836</v>
      </c>
      <c r="F83" s="24" t="n">
        <v>0.067278</v>
      </c>
    </row>
    <row r="84" customFormat="false" ht="13.8" hidden="false" customHeight="false" outlineLevel="0" collapsed="false">
      <c r="E84" s="24" t="n">
        <v>0.10561</v>
      </c>
      <c r="F84" s="24" t="n">
        <v>0.06742</v>
      </c>
    </row>
    <row r="85" customFormat="false" ht="13.8" hidden="false" customHeight="false" outlineLevel="0" collapsed="false">
      <c r="E85" s="24" t="n">
        <v>0.106388</v>
      </c>
      <c r="F85" s="24" t="n">
        <v>0.067562</v>
      </c>
    </row>
    <row r="86" customFormat="false" ht="13.8" hidden="false" customHeight="false" outlineLevel="0" collapsed="false">
      <c r="E86" s="24" t="n">
        <v>0.107171</v>
      </c>
      <c r="F86" s="24" t="n">
        <v>0.067705</v>
      </c>
    </row>
    <row r="87" customFormat="false" ht="13.8" hidden="false" customHeight="false" outlineLevel="0" collapsed="false">
      <c r="E87" s="24" t="n">
        <v>0.107958</v>
      </c>
      <c r="F87" s="24" t="n">
        <v>0.067848</v>
      </c>
    </row>
    <row r="88" customFormat="false" ht="13.8" hidden="false" customHeight="false" outlineLevel="0" collapsed="false">
      <c r="E88" s="24" t="n">
        <v>0.10875</v>
      </c>
      <c r="F88" s="24" t="n">
        <v>0.06799</v>
      </c>
    </row>
    <row r="89" customFormat="false" ht="13.8" hidden="false" customHeight="false" outlineLevel="0" collapsed="false">
      <c r="E89" s="24" t="n">
        <v>0.109546</v>
      </c>
      <c r="F89" s="24" t="n">
        <v>0.068132</v>
      </c>
    </row>
    <row r="90" customFormat="false" ht="13.8" hidden="false" customHeight="false" outlineLevel="0" collapsed="false">
      <c r="E90" s="24" t="n">
        <v>0.110345</v>
      </c>
      <c r="F90" s="24" t="n">
        <v>0.068275</v>
      </c>
    </row>
    <row r="91" customFormat="false" ht="13.8" hidden="false" customHeight="false" outlineLevel="0" collapsed="false">
      <c r="E91" s="24" t="n">
        <v>0.111149</v>
      </c>
      <c r="F91" s="24" t="n">
        <v>0.068418</v>
      </c>
    </row>
    <row r="92" customFormat="false" ht="13.8" hidden="false" customHeight="false" outlineLevel="0" collapsed="false">
      <c r="E92" s="24" t="n">
        <v>0.111957</v>
      </c>
      <c r="F92" s="24" t="n">
        <v>0.06856</v>
      </c>
    </row>
    <row r="93" customFormat="false" ht="13.8" hidden="false" customHeight="false" outlineLevel="0" collapsed="false">
      <c r="E93" s="24" t="n">
        <v>0.112768</v>
      </c>
      <c r="F93" s="24" t="n">
        <v>0.068702</v>
      </c>
    </row>
    <row r="94" customFormat="false" ht="13.8" hidden="false" customHeight="false" outlineLevel="0" collapsed="false">
      <c r="E94" s="24" t="n">
        <v>0.113584</v>
      </c>
      <c r="F94" s="24" t="n">
        <v>0.068845</v>
      </c>
    </row>
    <row r="95" customFormat="false" ht="13.8" hidden="false" customHeight="false" outlineLevel="0" collapsed="false">
      <c r="E95" s="24" t="n">
        <v>0.114403</v>
      </c>
      <c r="F95" s="24" t="n">
        <v>0.068987</v>
      </c>
    </row>
    <row r="96" customFormat="false" ht="13.8" hidden="false" customHeight="false" outlineLevel="0" collapsed="false">
      <c r="E96" s="24" t="n">
        <v>0.115225</v>
      </c>
      <c r="F96" s="24" t="n">
        <v>0.06913</v>
      </c>
    </row>
    <row r="97" customFormat="false" ht="13.8" hidden="false" customHeight="false" outlineLevel="0" collapsed="false">
      <c r="E97" s="24" t="n">
        <v>0.116051</v>
      </c>
      <c r="F97" s="24" t="n">
        <v>0.069273</v>
      </c>
    </row>
    <row r="98" customFormat="false" ht="13.8" hidden="false" customHeight="false" outlineLevel="0" collapsed="false">
      <c r="E98" s="24" t="n">
        <v>0.11688</v>
      </c>
      <c r="F98" s="24" t="n">
        <v>0.069415</v>
      </c>
    </row>
    <row r="99" customFormat="false" ht="13.8" hidden="false" customHeight="false" outlineLevel="0" collapsed="false">
      <c r="E99" s="24" t="n">
        <v>0.117713</v>
      </c>
      <c r="F99" s="24" t="n">
        <v>0.069557</v>
      </c>
    </row>
    <row r="100" customFormat="false" ht="13.8" hidden="false" customHeight="false" outlineLevel="0" collapsed="false">
      <c r="E100" s="24" t="n">
        <v>0.118549</v>
      </c>
      <c r="F100" s="24" t="n">
        <v>0.0697</v>
      </c>
    </row>
    <row r="101" customFormat="false" ht="13.8" hidden="false" customHeight="false" outlineLevel="0" collapsed="false">
      <c r="E101" s="24" t="n">
        <v>0.119389</v>
      </c>
      <c r="F101" s="24" t="n">
        <v>0.069843</v>
      </c>
    </row>
    <row r="102" customFormat="false" ht="13.8" hidden="false" customHeight="false" outlineLevel="0" collapsed="false">
      <c r="E102" s="24" t="n">
        <v>0.120231</v>
      </c>
      <c r="F102" s="24" t="n">
        <v>0.069985</v>
      </c>
    </row>
    <row r="103" customFormat="false" ht="13.8" hidden="false" customHeight="false" outlineLevel="0" collapsed="false">
      <c r="E103" s="24" t="n">
        <v>0.121077</v>
      </c>
      <c r="F103" s="24" t="n">
        <v>0.070127</v>
      </c>
    </row>
    <row r="104" customFormat="false" ht="13.8" hidden="false" customHeight="false" outlineLevel="0" collapsed="false">
      <c r="E104" s="24" t="n">
        <v>0.121925</v>
      </c>
      <c r="F104" s="24" t="n">
        <v>0.07027</v>
      </c>
    </row>
    <row r="105" customFormat="false" ht="13.8" hidden="false" customHeight="false" outlineLevel="0" collapsed="false">
      <c r="E105" s="24" t="n">
        <v>0.122777</v>
      </c>
      <c r="F105" s="24" t="n">
        <v>0.070413</v>
      </c>
    </row>
    <row r="106" customFormat="false" ht="13.8" hidden="false" customHeight="false" outlineLevel="0" collapsed="false">
      <c r="E106" s="24" t="n">
        <v>0.123631</v>
      </c>
      <c r="F106" s="24" t="n">
        <v>0.070555</v>
      </c>
    </row>
    <row r="107" customFormat="false" ht="13.8" hidden="false" customHeight="false" outlineLevel="0" collapsed="false">
      <c r="E107" s="24" t="n">
        <v>0.124488</v>
      </c>
      <c r="F107" s="24" t="n">
        <v>0.070697</v>
      </c>
    </row>
    <row r="108" customFormat="false" ht="13.8" hidden="false" customHeight="false" outlineLevel="0" collapsed="false">
      <c r="E108" s="24" t="n">
        <v>0.125348</v>
      </c>
      <c r="F108" s="24" t="n">
        <v>0.07084</v>
      </c>
    </row>
    <row r="109" customFormat="false" ht="13.8" hidden="false" customHeight="false" outlineLevel="0" collapsed="false">
      <c r="E109" s="24" t="n">
        <v>0.126211</v>
      </c>
      <c r="F109" s="24" t="n">
        <v>0.070983</v>
      </c>
    </row>
    <row r="110" customFormat="false" ht="13.8" hidden="false" customHeight="false" outlineLevel="0" collapsed="false">
      <c r="E110" s="24" t="n">
        <v>0.127077</v>
      </c>
      <c r="F110" s="24" t="n">
        <v>0.071125</v>
      </c>
    </row>
    <row r="111" customFormat="false" ht="13.8" hidden="false" customHeight="false" outlineLevel="0" collapsed="false">
      <c r="E111" s="24" t="n">
        <v>0.127945</v>
      </c>
      <c r="F111" s="24" t="n">
        <v>0.071267</v>
      </c>
    </row>
    <row r="112" customFormat="false" ht="13.8" hidden="false" customHeight="false" outlineLevel="0" collapsed="false">
      <c r="E112" s="24" t="n">
        <v>0.128815</v>
      </c>
      <c r="F112" s="24" t="n">
        <v>0.07141</v>
      </c>
    </row>
    <row r="113" customFormat="false" ht="13.8" hidden="false" customHeight="false" outlineLevel="0" collapsed="false">
      <c r="E113" s="24" t="n">
        <v>0.129688</v>
      </c>
      <c r="F113" s="24" t="n">
        <v>0.071552</v>
      </c>
    </row>
    <row r="114" customFormat="false" ht="13.8" hidden="false" customHeight="false" outlineLevel="0" collapsed="false">
      <c r="E114" s="24" t="n">
        <v>0.130564</v>
      </c>
      <c r="F114" s="24" t="n">
        <v>0.071695</v>
      </c>
    </row>
    <row r="115" customFormat="false" ht="13.8" hidden="false" customHeight="false" outlineLevel="0" collapsed="false">
      <c r="E115" s="24" t="n">
        <v>0.131442</v>
      </c>
      <c r="F115" s="24" t="n">
        <v>0.071837</v>
      </c>
    </row>
    <row r="116" customFormat="false" ht="13.8" hidden="false" customHeight="false" outlineLevel="0" collapsed="false">
      <c r="E116" s="24" t="n">
        <v>0.132322</v>
      </c>
      <c r="F116" s="24" t="n">
        <v>0.07198</v>
      </c>
    </row>
    <row r="117" customFormat="false" ht="13.8" hidden="false" customHeight="false" outlineLevel="0" collapsed="false">
      <c r="E117" s="24" t="n">
        <v>0.133205</v>
      </c>
      <c r="F117" s="24" t="n">
        <v>0.072122</v>
      </c>
    </row>
    <row r="118" customFormat="false" ht="13.8" hidden="false" customHeight="false" outlineLevel="0" collapsed="false">
      <c r="E118" s="24" t="n">
        <v>0.13409</v>
      </c>
      <c r="F118" s="24" t="n">
        <v>0.072265</v>
      </c>
    </row>
    <row r="119" customFormat="false" ht="13.8" hidden="false" customHeight="false" outlineLevel="0" collapsed="false">
      <c r="E119" s="24" t="n">
        <v>0.134977</v>
      </c>
      <c r="F119" s="24" t="n">
        <v>0.072407</v>
      </c>
    </row>
    <row r="120" customFormat="false" ht="13.8" hidden="false" customHeight="false" outlineLevel="0" collapsed="false">
      <c r="E120" s="24" t="n">
        <v>0.135866</v>
      </c>
      <c r="F120" s="24" t="n">
        <v>0.07255</v>
      </c>
    </row>
    <row r="121" customFormat="false" ht="13.8" hidden="false" customHeight="false" outlineLevel="0" collapsed="false">
      <c r="E121" s="24" t="n">
        <v>0.136758</v>
      </c>
      <c r="F121" s="24" t="n">
        <v>0.072692</v>
      </c>
    </row>
    <row r="122" customFormat="false" ht="13.8" hidden="false" customHeight="false" outlineLevel="0" collapsed="false">
      <c r="E122" s="24" t="n">
        <v>0.137651</v>
      </c>
      <c r="F122" s="24" t="n">
        <v>0.072835</v>
      </c>
    </row>
    <row r="123" customFormat="false" ht="13.8" hidden="false" customHeight="false" outlineLevel="0" collapsed="false">
      <c r="E123" s="24" t="n">
        <v>0.138547</v>
      </c>
      <c r="F123" s="24" t="n">
        <v>0.072978</v>
      </c>
    </row>
    <row r="124" customFormat="false" ht="13.8" hidden="false" customHeight="false" outlineLevel="0" collapsed="false">
      <c r="E124" s="24" t="n">
        <v>0.139444</v>
      </c>
      <c r="F124" s="24" t="n">
        <v>0.07312</v>
      </c>
    </row>
    <row r="125" customFormat="false" ht="13.8" hidden="false" customHeight="false" outlineLevel="0" collapsed="false">
      <c r="E125" s="24" t="n">
        <v>0.140344</v>
      </c>
      <c r="F125" s="24" t="n">
        <v>0.073262</v>
      </c>
    </row>
    <row r="126" customFormat="false" ht="13.8" hidden="false" customHeight="false" outlineLevel="0" collapsed="false">
      <c r="E126" s="24" t="n">
        <v>0.141246</v>
      </c>
      <c r="F126" s="24" t="n">
        <v>0.073405</v>
      </c>
    </row>
    <row r="127" customFormat="false" ht="13.8" hidden="false" customHeight="false" outlineLevel="0" collapsed="false">
      <c r="E127" s="24" t="n">
        <v>0.142149</v>
      </c>
      <c r="F127" s="24" t="n">
        <v>0.073548</v>
      </c>
    </row>
    <row r="128" customFormat="false" ht="13.8" hidden="false" customHeight="false" outlineLevel="0" collapsed="false">
      <c r="E128" s="24" t="n">
        <v>0.143054</v>
      </c>
      <c r="F128" s="24" t="n">
        <v>0.07369</v>
      </c>
    </row>
    <row r="129" customFormat="false" ht="13.8" hidden="false" customHeight="false" outlineLevel="0" collapsed="false">
      <c r="E129" s="24" t="n">
        <v>0.143961</v>
      </c>
      <c r="F129" s="24" t="n">
        <v>0.073832</v>
      </c>
    </row>
    <row r="130" customFormat="false" ht="13.8" hidden="false" customHeight="false" outlineLevel="0" collapsed="false">
      <c r="E130" s="24" t="n">
        <v>0.14487</v>
      </c>
      <c r="F130" s="24" t="n">
        <v>0.073975</v>
      </c>
    </row>
    <row r="131" customFormat="false" ht="13.8" hidden="false" customHeight="false" outlineLevel="0" collapsed="false">
      <c r="E131" s="24" t="n">
        <v>0.145781</v>
      </c>
      <c r="F131" s="24" t="n">
        <v>0.074118</v>
      </c>
    </row>
    <row r="132" customFormat="false" ht="13.8" hidden="false" customHeight="false" outlineLevel="0" collapsed="false">
      <c r="E132" s="24" t="n">
        <v>0.146694</v>
      </c>
      <c r="F132" s="24" t="n">
        <v>0.07426</v>
      </c>
    </row>
    <row r="133" customFormat="false" ht="13.8" hidden="false" customHeight="false" outlineLevel="0" collapsed="false">
      <c r="E133" s="24" t="n">
        <v>0.147608</v>
      </c>
      <c r="F133" s="24" t="n">
        <v>0.074402</v>
      </c>
    </row>
    <row r="134" customFormat="false" ht="13.8" hidden="false" customHeight="false" outlineLevel="0" collapsed="false">
      <c r="E134" s="24" t="n">
        <v>0.148524</v>
      </c>
      <c r="F134" s="24" t="n">
        <v>0.074545</v>
      </c>
    </row>
    <row r="135" customFormat="false" ht="13.8" hidden="false" customHeight="false" outlineLevel="0" collapsed="false">
      <c r="E135" s="24" t="n">
        <v>0.149441</v>
      </c>
      <c r="F135" s="24" t="n">
        <v>0.074688</v>
      </c>
    </row>
    <row r="136" customFormat="false" ht="13.8" hidden="false" customHeight="false" outlineLevel="0" collapsed="false">
      <c r="E136" s="24" t="n">
        <v>0.15036</v>
      </c>
      <c r="F136" s="24" t="n">
        <v>0.07483</v>
      </c>
    </row>
    <row r="137" customFormat="false" ht="13.8" hidden="false" customHeight="false" outlineLevel="0" collapsed="false">
      <c r="E137" s="24" t="n">
        <v>0.151281</v>
      </c>
      <c r="F137" s="24" t="n">
        <v>0.074972</v>
      </c>
    </row>
    <row r="138" customFormat="false" ht="13.8" hidden="false" customHeight="false" outlineLevel="0" collapsed="false">
      <c r="E138" s="24" t="n">
        <v>0.152203</v>
      </c>
      <c r="F138" s="24" t="n">
        <v>0.075115</v>
      </c>
    </row>
    <row r="139" customFormat="false" ht="13.8" hidden="false" customHeight="false" outlineLevel="0" collapsed="false">
      <c r="E139" s="24" t="n">
        <v>0.153127</v>
      </c>
      <c r="F139" s="24" t="n">
        <v>0.075258</v>
      </c>
    </row>
    <row r="140" customFormat="false" ht="13.8" hidden="false" customHeight="false" outlineLevel="0" collapsed="false">
      <c r="E140" s="24" t="n">
        <v>0.154052</v>
      </c>
      <c r="F140" s="24" t="n">
        <v>0.0754</v>
      </c>
    </row>
    <row r="141" customFormat="false" ht="13.8" hidden="false" customHeight="false" outlineLevel="0" collapsed="false">
      <c r="E141" s="24" t="n">
        <v>0.154978</v>
      </c>
      <c r="F141" s="24" t="n">
        <v>0.075542</v>
      </c>
    </row>
    <row r="142" customFormat="false" ht="13.8" hidden="false" customHeight="false" outlineLevel="0" collapsed="false">
      <c r="E142" s="24" t="n">
        <v>0.155906</v>
      </c>
      <c r="F142" s="24" t="n">
        <v>0.075685</v>
      </c>
    </row>
    <row r="143" customFormat="false" ht="13.8" hidden="false" customHeight="false" outlineLevel="0" collapsed="false">
      <c r="E143" s="24" t="n">
        <v>0.156836</v>
      </c>
      <c r="F143" s="24" t="n">
        <v>0.075828</v>
      </c>
    </row>
    <row r="144" customFormat="false" ht="13.8" hidden="false" customHeight="false" outlineLevel="0" collapsed="false">
      <c r="E144" s="24" t="n">
        <v>0.157767</v>
      </c>
      <c r="F144" s="24" t="n">
        <v>0.07597</v>
      </c>
    </row>
    <row r="145" customFormat="false" ht="13.8" hidden="false" customHeight="false" outlineLevel="0" collapsed="false">
      <c r="E145" s="24" t="n">
        <v>0.158699</v>
      </c>
      <c r="F145" s="24" t="n">
        <v>0.076112</v>
      </c>
    </row>
    <row r="146" customFormat="false" ht="13.8" hidden="false" customHeight="false" outlineLevel="0" collapsed="false">
      <c r="E146" s="24" t="n">
        <v>0.159633</v>
      </c>
      <c r="F146" s="24" t="n">
        <v>0.076255</v>
      </c>
    </row>
    <row r="147" customFormat="false" ht="13.8" hidden="false" customHeight="false" outlineLevel="0" collapsed="false">
      <c r="E147" s="24" t="n">
        <v>0.160568</v>
      </c>
      <c r="F147" s="24" t="n">
        <v>0.076398</v>
      </c>
    </row>
    <row r="148" customFormat="false" ht="13.8" hidden="false" customHeight="false" outlineLevel="0" collapsed="false">
      <c r="E148" s="24" t="n">
        <v>0.161504</v>
      </c>
      <c r="F148" s="24" t="n">
        <v>0.07654</v>
      </c>
    </row>
    <row r="149" customFormat="false" ht="13.8" hidden="false" customHeight="false" outlineLevel="0" collapsed="false">
      <c r="E149" s="24" t="n">
        <v>0.162441</v>
      </c>
      <c r="F149" s="24" t="n">
        <v>0.076683</v>
      </c>
    </row>
    <row r="150" customFormat="false" ht="13.8" hidden="false" customHeight="false" outlineLevel="0" collapsed="false">
      <c r="E150" s="24" t="n">
        <v>0.16338</v>
      </c>
      <c r="F150" s="24" t="n">
        <v>0.076825</v>
      </c>
    </row>
    <row r="151" customFormat="false" ht="13.8" hidden="false" customHeight="false" outlineLevel="0" collapsed="false">
      <c r="E151" s="24" t="n">
        <v>0.16432</v>
      </c>
      <c r="F151" s="24" t="n">
        <v>0.076968</v>
      </c>
    </row>
    <row r="152" customFormat="false" ht="13.8" hidden="false" customHeight="false" outlineLevel="0" collapsed="false">
      <c r="E152" s="24" t="n">
        <v>0.165261</v>
      </c>
      <c r="F152" s="24" t="n">
        <v>0.07711</v>
      </c>
    </row>
    <row r="153" customFormat="false" ht="13.8" hidden="false" customHeight="false" outlineLevel="0" collapsed="false">
      <c r="E153" s="24" t="n">
        <v>0.166204</v>
      </c>
      <c r="F153" s="24" t="n">
        <v>0.077253</v>
      </c>
    </row>
    <row r="154" customFormat="false" ht="13.8" hidden="false" customHeight="false" outlineLevel="0" collapsed="false">
      <c r="E154" s="24" t="n">
        <v>0.167147</v>
      </c>
      <c r="F154" s="24" t="n">
        <v>0.077395</v>
      </c>
    </row>
    <row r="155" customFormat="false" ht="13.8" hidden="false" customHeight="false" outlineLevel="0" collapsed="false">
      <c r="E155" s="24" t="n">
        <v>0.168092</v>
      </c>
      <c r="F155" s="24" t="n">
        <v>0.077538</v>
      </c>
    </row>
    <row r="156" customFormat="false" ht="13.8" hidden="false" customHeight="false" outlineLevel="0" collapsed="false">
      <c r="E156" s="24" t="n">
        <v>0.169038</v>
      </c>
      <c r="F156" s="24" t="n">
        <v>0.07768</v>
      </c>
    </row>
    <row r="157" customFormat="false" ht="13.8" hidden="false" customHeight="false" outlineLevel="0" collapsed="false">
      <c r="E157" s="24" t="n">
        <v>0.169985</v>
      </c>
      <c r="F157" s="24" t="n">
        <v>0.077823</v>
      </c>
    </row>
    <row r="158" customFormat="false" ht="13.8" hidden="false" customHeight="false" outlineLevel="0" collapsed="false">
      <c r="E158" s="24" t="n">
        <v>0.170933</v>
      </c>
      <c r="F158" s="24" t="n">
        <v>0.077965</v>
      </c>
    </row>
    <row r="159" customFormat="false" ht="13.8" hidden="false" customHeight="false" outlineLevel="0" collapsed="false">
      <c r="E159" s="24" t="n">
        <v>0.171882</v>
      </c>
      <c r="F159" s="24" t="n">
        <v>0.078108</v>
      </c>
    </row>
    <row r="160" customFormat="false" ht="13.8" hidden="false" customHeight="false" outlineLevel="0" collapsed="false">
      <c r="E160" s="24" t="n">
        <v>0.172832</v>
      </c>
      <c r="F160" s="24" t="n">
        <v>0.07825</v>
      </c>
    </row>
    <row r="161" customFormat="false" ht="13.8" hidden="false" customHeight="false" outlineLevel="0" collapsed="false">
      <c r="E161" s="24" t="n">
        <v>0.173783</v>
      </c>
      <c r="F161" s="24" t="n">
        <v>0.078393</v>
      </c>
    </row>
    <row r="162" customFormat="false" ht="13.8" hidden="false" customHeight="false" outlineLevel="0" collapsed="false">
      <c r="E162" s="24" t="n">
        <v>0.174735</v>
      </c>
      <c r="F162" s="24" t="n">
        <v>0.078535</v>
      </c>
    </row>
  </sheetData>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2026-09-22T20:30:59Z</dcterms:created>
  <dc:creator>openpyxl</dc:creator>
  <dc:description/>
  <dc:language>en-US</dc:language>
  <cp:lastModifiedBy/>
  <dcterms:modified xsi:type="dcterms:W3CDTF">2026-10-29T04:35:46Z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