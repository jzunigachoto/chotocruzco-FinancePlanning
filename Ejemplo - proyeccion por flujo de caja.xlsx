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charts/chart8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164" fontId="0" fillId="0" borderId="0" pivotButton="0" quotePrefix="0" xfId="0"/>
    <xf numFmtId="170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numFmt formatCode="0.0%" sourceLinked="0"/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'Proyección'!AJ16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'Proyección'!$C$17:$C$67</f>
            </numRef>
          </cat>
          <val>
            <numRef>
              <f>'Proyección'!$AJ$17:$AJ$67</f>
            </numRef>
          </val>
          <smooth val="0"/>
        </ser>
        <ser>
          <idx val="1"/>
          <order val="1"/>
          <tx>
            <strRef>
              <f>'Proyección'!AK16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'Proyección'!$C$17:$C$67</f>
            </numRef>
          </cat>
          <val>
            <numRef>
              <f>'Proyección'!$AK$17:$AK$67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numFmt formatCode="0.0%" sourceLinked="0"/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Perfil de riesgo: tolerancia y apetito · moderado agresivo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es-CR" sz="1200" b="1"/>
              <a:t>Perfil global: capacidad financiera · perfil global moderado agresivo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'Datos'!$V$1</c:f>
              <c:strCache>
                <c:ptCount val="1"/>
                <c:pt idx="0">
                  <c:v>Cliente</c:v>
                </c:pt>
              </c:strCache>
            </c:strRef>
          </c:tx>
          <c:spPr>
            <a:ln xmlns:a="http://schemas.openxmlformats.org/drawingml/2006/main" w="28575">
              <a:solidFill>
                <a:srgbClr val="918042"/>
              </a:solidFill>
            </a:ln>
          </c:spPr>
          <c:marker>
            <c:symbol val="circle"/>
            <c:size val="7"/>
            <c:spPr>
              <a:solidFill xmlns:a="http://schemas.openxmlformats.org/drawingml/2006/main">
                <a:srgbClr val="918042"/>
              </a:solidFill>
            </c:spPr>
          </c:marker>
          <c:dLbls>
            <c:numFmt formatCode="0.0" sourceLinked="0"/>
            <c:spPr>
              <a:noFill xmlns:a="http://schemas.openxmlformats.org/drawingml/2006/main"/>
            </c:sp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'Datos'!$U$2:$U$7</c:f>
              <c:strCache>
                <c:ptCount val="6"/>
                <c:pt idx="0">
                  <c:v>Horizonte</c:v>
                </c:pt>
                <c:pt idx="1">
                  <c:v>Estabilidad del ingreso</c:v>
                </c:pt>
                <c:pt idx="2">
                  <c:v>Holgura del flujo</c:v>
                </c:pt>
                <c:pt idx="3">
                  <c:v>Carga de deuda</c:v>
                </c:pt>
                <c:pt idx="4">
                  <c:v>Peso del portafolio</c:v>
                </c:pt>
                <c:pt idx="5">
                  <c:v>Liquidez requerida</c:v>
                </c:pt>
              </c:strCache>
            </c:strRef>
          </c:cat>
          <c:val>
            <c:numRef>
              <c:f>'Datos'!$V$2:$V$7</c:f>
              <c:numCache>
                <c:formatCode>0.0</c:formatCode>
                <c:ptCount val="6"/>
                <c:pt idx="0">
                  <c:v>0</c:v>
                </c:pt>
                <c:pt idx="1">
                  <c:v>6.7</c:v>
                </c:pt>
                <c:pt idx="2">
                  <c:v>10</c:v>
                </c:pt>
                <c:pt idx="3">
                  <c:v>6.7</c:v>
                </c:pt>
                <c:pt idx="4">
                  <c:v>6.7</c:v>
                </c:pt>
                <c:pt idx="5">
                  <c:v>6.7</c:v>
                </c:pt>
              </c:numCache>
            </c:numRef>
          </c:val>
        </c:ser>
        <c:ser>
          <c:idx val="1"/>
          <c:order val="1"/>
          <c:tx>
            <c:strRef>
              <c:f>'Datos'!$W$1</c:f>
              <c:strCache>
                <c:ptCount val="1"/>
                <c:pt idx="0">
                  <c:v>Capacidad financiera</c:v>
                </c:pt>
              </c:strCache>
            </c:strRef>
          </c:tx>
          <c:spPr>
            <a:ln xmlns:a="http://schemas.openxmlformats.org/drawingml/2006/main" w="19050">
              <a:solidFill>
                <a:srgbClr val="2B3014"/>
              </a:solidFill>
              <a:prstDash val="dash"/>
            </a:ln>
          </c:spPr>
          <c:marker>
            <c:symbol val="none"/>
          </c:marker>
          <c:cat>
            <c:strRef>
              <c:f>'Datos'!$U$2:$U$7</c:f>
              <c:strCache>
                <c:ptCount val="6"/>
                <c:pt idx="0">
                  <c:v>Horizonte</c:v>
                </c:pt>
                <c:pt idx="1">
                  <c:v>Estabilidad del ingreso</c:v>
                </c:pt>
                <c:pt idx="2">
                  <c:v>Holgura del flujo</c:v>
                </c:pt>
                <c:pt idx="3">
                  <c:v>Carga de deuda</c:v>
                </c:pt>
                <c:pt idx="4">
                  <c:v>Peso del portafolio</c:v>
                </c:pt>
                <c:pt idx="5">
                  <c:v>Liquidez requerida</c:v>
                </c:pt>
              </c:strCache>
            </c:strRef>
          </c:cat>
          <c:val>
            <c:numRef>
              <c:f>'Datos'!$W$2:$W$7</c:f>
              <c:numCache>
                <c:formatCode>0.0</c:formatCode>
                <c:ptCount val="6"/>
                <c:pt idx="0">
                  <c:v>6.1</c:v>
                </c:pt>
                <c:pt idx="1">
                  <c:v>6.1</c:v>
                </c:pt>
                <c:pt idx="2">
                  <c:v>6.1</c:v>
                </c:pt>
                <c:pt idx="3">
                  <c:v>6.1</c:v>
                </c:pt>
                <c:pt idx="4">
                  <c:v>6.1</c:v>
                </c:pt>
                <c:pt idx="5">
                  <c:v>6.1</c:v>
                </c:pt>
              </c:numCache>
            </c:numRef>
          </c:val>
        </c:ser>
        <c:axId val="501"/>
        <c:axId val="502"/>
      </c:radarChart>
      <c:catAx>
        <c:axId val="501"/>
        <c:scaling>
          <c:orientation val="minMax"/>
        </c:scaling>
        <c:delete val="0"/>
        <c:axPos val="b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crossAx val="502"/>
        <c:crosses val="autoZero"/>
        <c:auto val="1"/>
        <c:lblAlgn val="ctr"/>
        <c:lblOffset val="100"/>
        <c:noMultiLvlLbl val="0"/>
      </c:cat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0" sourceLinked="0"/>
        <c:majorTickMark val="none"/>
        <c:minorTickMark val="none"/>
        <c:tickLblPos val="none"/>
        <c:crossAx val="501"/>
        <c:crosses val="autoZero"/>
        <c:crossBetween val="between"/>
        <c:majorUnit val="2"/>
      </c:valAx>
    </c:plotArea>
    <c:legend>
      <c:legendPos val="b"/>
      <c:overlay val="0"/>
    </c:legend>
    <c:plotVisOnly val="1"/>
    <c:dispBlanksAs val="gap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4</col>
      <colOff>0</colOff>
      <row>76</row>
      <rowOff>0</rowOff>
    </from>
    <ext cx="432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40</col>
      <colOff>0</colOff>
      <row>16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cols>
    <col width="34" customWidth="1" min="1" max="1"/>
    <col width="20" customWidth="1" min="2" max="2"/>
    <col width="46" customWidth="1" min="3" max="3"/>
  </cols>
  <sheetData>
    <row r="1">
      <c r="A1" s="3" t="inlineStr">
        <is>
          <t>Chotocruz &amp; Co. · Ficha de cliente</t>
        </is>
      </c>
    </row>
    <row r="3">
      <c r="A3" s="5" t="inlineStr">
        <is>
          <t>Concepto</t>
        </is>
      </c>
      <c r="B3" s="5" t="inlineStr">
        <is>
          <t>Dato numérico</t>
        </is>
      </c>
      <c r="C3" s="5" t="inlineStr">
        <is>
          <t>Dato cualitativo</t>
        </is>
      </c>
    </row>
    <row r="5">
      <c r="A5" s="6" t="inlineStr">
        <is>
          <t>Identificación</t>
        </is>
      </c>
    </row>
    <row r="6">
      <c r="A6" s="1" t="inlineStr">
        <is>
          <t>Nombre</t>
        </is>
      </c>
      <c r="C6" t="inlineStr">
        <is>
          <t>Laura Castro Mora</t>
        </is>
      </c>
    </row>
    <row r="7">
      <c r="A7" s="1" t="inlineStr">
        <is>
          <t>Tipo de documento</t>
        </is>
      </c>
      <c r="C7" t="inlineStr">
        <is>
          <t>Cédula de identidad</t>
        </is>
      </c>
    </row>
    <row r="8">
      <c r="A8" s="1" t="inlineStr">
        <is>
          <t>Cédula</t>
        </is>
      </c>
      <c r="C8" t="inlineStr">
        <is>
          <t>1-1234-5678</t>
        </is>
      </c>
    </row>
    <row r="9">
      <c r="A9" s="1" t="inlineStr">
        <is>
          <t>Fecha de nacimiento</t>
        </is>
      </c>
      <c r="C9" t="inlineStr">
        <is>
          <t>1981-03-02</t>
        </is>
      </c>
    </row>
    <row r="10">
      <c r="A10" s="1" t="inlineStr">
        <is>
          <t>Ocupación</t>
        </is>
      </c>
      <c r="C10" t="inlineStr">
        <is>
          <t>Ingeniera</t>
        </is>
      </c>
    </row>
    <row r="11">
      <c r="A11" s="1" t="inlineStr">
        <is>
          <t>Estado civil</t>
        </is>
      </c>
      <c r="C11" t="inlineStr">
        <is>
          <t>Casado(a)</t>
        </is>
      </c>
    </row>
    <row r="12">
      <c r="A12" s="1" t="inlineStr">
        <is>
          <t>Correo electrónico</t>
        </is>
      </c>
      <c r="C12" t="inlineStr">
        <is>
          <t>laura.castro@ejemplo.com</t>
        </is>
      </c>
    </row>
    <row r="13">
      <c r="A13" s="1" t="inlineStr">
        <is>
          <t>Teléfono</t>
        </is>
      </c>
      <c r="C13" t="inlineStr">
        <is>
          <t>+506 88887070</t>
        </is>
      </c>
    </row>
    <row r="14">
      <c r="A14" s="1" t="inlineStr">
        <is>
          <t>País de residencia</t>
        </is>
      </c>
      <c r="C14" t="inlineStr">
        <is>
          <t>Costa Rica</t>
        </is>
      </c>
    </row>
    <row r="15">
      <c r="A15" s="1" t="inlineStr">
        <is>
          <t>Provincia</t>
        </is>
      </c>
      <c r="C15" t="inlineStr">
        <is>
          <t>San José</t>
        </is>
      </c>
    </row>
    <row r="16">
      <c r="A16" s="1" t="inlineStr">
        <is>
          <t>Cantón</t>
        </is>
      </c>
      <c r="C16" t="inlineStr">
        <is>
          <t>Escazú</t>
        </is>
      </c>
    </row>
    <row r="17">
      <c r="A17" s="1" t="inlineStr">
        <is>
          <t>Distrito</t>
        </is>
      </c>
      <c r="C17" t="inlineStr">
        <is>
          <t>San Rafael</t>
        </is>
      </c>
    </row>
    <row r="18">
      <c r="A18" s="1" t="inlineStr">
        <is>
          <t>Otras señas</t>
        </is>
      </c>
      <c r="C18" t="inlineStr">
        <is>
          <t>Casa 12</t>
        </is>
      </c>
    </row>
    <row r="19">
      <c r="A19" s="1" t="inlineStr">
        <is>
          <t>Edad actual</t>
        </is>
      </c>
      <c r="B19" s="9">
        <v>45</v>
      </c>
    </row>
    <row r="20">
      <c r="A20" s="1" t="inlineStr">
        <is>
          <t>Edad de independencia financiera</t>
        </is>
      </c>
      <c r="B20" s="9">
        <v>60</v>
      </c>
    </row>
    <row r="22">
      <c r="A22" s="6" t="inlineStr">
        <is>
          <t>Perfil de riesgo (cuestionario 1)</t>
        </is>
      </c>
    </row>
    <row r="23">
      <c r="A23" s="1" t="inlineStr">
        <is>
          <t>Tolerancia al riesgo (0 a 10)</t>
        </is>
      </c>
      <c r="B23" s="8">
        <v>6.9071428571428575</v>
      </c>
      <c r="C23" t="inlineStr">
        <is>
          <t>Preguntas 1, 2, 3, 7 y 9</t>
        </is>
      </c>
    </row>
    <row r="24">
      <c r="A24" s="1" t="inlineStr">
        <is>
          <t>Apetito de riesgo (0 a 10)</t>
        </is>
      </c>
      <c r="B24" s="8">
        <v>6.876250000000001</v>
      </c>
      <c r="C24" t="inlineStr">
        <is>
          <t>Preguntas 4, 5, 6, 8 y 10</t>
        </is>
      </c>
    </row>
    <row r="25">
      <c r="A25" s="1" t="inlineStr">
        <is>
          <t>Puntaje del perfil de riesgo (0 a 10)</t>
        </is>
      </c>
      <c r="B25" s="8">
        <v>6.890666666666666</v>
      </c>
    </row>
    <row r="26">
      <c r="A26" s="1" t="inlineStr">
        <is>
          <t>Perfil de riesgo</t>
        </is>
      </c>
      <c r="C26" t="inlineStr">
        <is>
          <t>Moderado agresivo</t>
        </is>
      </c>
    </row>
    <row r="28">
      <c r="A28" s="6" t="inlineStr">
        <is>
          <t>Perfil global (perfil de riesgo y planificación)</t>
        </is>
      </c>
    </row>
    <row r="29">
      <c r="A29" s="1" t="inlineStr">
        <is>
          <t>Capacidad: horizonte (0 a 10)</t>
        </is>
      </c>
      <c r="B29" s="8">
        <v>0</v>
      </c>
      <c r="C29" t="inlineStr">
        <is>
          <t>3 años hasta el primer retiro del portafolio</t>
        </is>
      </c>
    </row>
    <row r="30">
      <c r="A30" s="1" t="inlineStr">
        <is>
          <t>Capacidad: estabilidad del ingreso (0 a 10)</t>
        </is>
      </c>
      <c r="B30" s="8">
        <v>6.67</v>
      </c>
      <c r="C30" t="inlineStr">
        <is>
          <t>Es estable, con variaciones menores</t>
        </is>
      </c>
    </row>
    <row r="31">
      <c r="A31" s="1" t="inlineStr">
        <is>
          <t>Capacidad: holgura del flujo (0 a 10)</t>
        </is>
      </c>
      <c r="B31" s="8">
        <v>10</v>
      </c>
      <c r="C31" t="inlineStr">
        <is>
          <t>Ahorra 27,8% del ingreso</t>
        </is>
      </c>
    </row>
    <row r="32">
      <c r="A32" s="1" t="inlineStr">
        <is>
          <t>Capacidad: carga de deuda (0 a 10)</t>
        </is>
      </c>
      <c r="B32" s="8">
        <v>6.67</v>
      </c>
      <c r="C32" t="inlineStr">
        <is>
          <t>Cuotas de 12,0% del ingreso</t>
        </is>
      </c>
    </row>
    <row r="33">
      <c r="A33" s="1" t="inlineStr">
        <is>
          <t>Capacidad: peso del portafolio (0 a 10)</t>
        </is>
      </c>
      <c r="B33" s="8">
        <v>6.67</v>
      </c>
      <c r="C33" t="inlineStr">
        <is>
          <t>40% del patrimonio total</t>
        </is>
      </c>
    </row>
    <row r="34">
      <c r="A34" s="1" t="inlineStr">
        <is>
          <t>Capacidad: liquidez requerida (0 a 10)</t>
        </is>
      </c>
      <c r="B34" s="8">
        <v>6.67</v>
      </c>
      <c r="C34" t="inlineStr">
        <is>
          <t>15,0% del portafolio en 5 años</t>
        </is>
      </c>
    </row>
    <row r="35">
      <c r="A35" s="1" t="inlineStr">
        <is>
          <t>Capacidad financiera (0 a 10)</t>
        </is>
      </c>
      <c r="B35" s="8">
        <v>6.113333333333334</v>
      </c>
    </row>
    <row r="36">
      <c r="A36" s="1" t="inlineStr">
        <is>
          <t>Puntaje global (0 a 10)</t>
        </is>
      </c>
      <c r="B36" s="8">
        <v>6.113333333333334</v>
      </c>
    </row>
    <row r="37">
      <c r="A37" s="1" t="inlineStr">
        <is>
          <t>Perfil global</t>
        </is>
      </c>
      <c r="C37" t="inlineStr">
        <is>
          <t>Moderado agresivo</t>
        </is>
      </c>
    </row>
    <row r="38">
      <c r="A38" s="1" t="inlineStr">
        <is>
          <t>Factor limitante del perfil</t>
        </is>
      </c>
      <c r="C38" t="inlineStr">
        <is>
          <t>Ninguno: el perfil global es el perfil de riesgo del cliente</t>
        </is>
      </c>
    </row>
    <row r="39">
      <c r="A39" s="1" t="inlineStr">
        <is>
          <t>Retorno esperado anual</t>
        </is>
      </c>
      <c r="B39" s="4">
        <v>0.075</v>
      </c>
    </row>
    <row r="40">
      <c r="A40" s="1" t="inlineStr">
        <is>
          <t>Rendimiento de equilibrio</t>
        </is>
      </c>
      <c r="B40" s="4">
        <v>0.05073893709459297</v>
      </c>
    </row>
    <row r="41">
      <c r="A41" s="1" t="inlineStr">
        <is>
          <t>Perfil que exige el objetivo</t>
        </is>
      </c>
      <c r="C41" t="inlineStr">
        <is>
          <t>Moderado conservador</t>
        </is>
      </c>
    </row>
    <row r="42">
      <c r="A42" s="1" t="inlineStr">
        <is>
          <t>Holgura frente a la cartera asignada</t>
        </is>
      </c>
      <c r="B42" s="4">
        <v>0.024261062905407027</v>
      </c>
    </row>
    <row r="43">
      <c r="A43" s="1" t="inlineStr">
        <is>
          <t>Preferencia de moneda</t>
        </is>
      </c>
      <c r="C43" t="inlineStr">
        <is>
          <t>70% en dólares y 30% en colones</t>
        </is>
      </c>
    </row>
    <row r="45">
      <c r="A45" s="6" t="inlineStr">
        <is>
          <t>Perfil de permanencia y aportes</t>
        </is>
      </c>
    </row>
    <row r="46">
      <c r="A46" s="1" t="inlineStr">
        <is>
          <t>Años hasta el primer retiro</t>
        </is>
      </c>
    </row>
    <row r="47">
      <c r="A47" s="1" t="inlineStr">
        <is>
          <t>Monto del primer retiro (US$ de hoy)</t>
        </is>
      </c>
    </row>
    <row r="48">
      <c r="A48" s="1" t="inlineStr">
        <is>
          <t>Destino del patrimonio</t>
        </is>
      </c>
      <c r="C48" t="inlineStr">
        <is>
          <t>Dejar una herencia a sus herederos</t>
        </is>
      </c>
    </row>
    <row r="49">
      <c r="A49" s="1" t="inlineStr">
        <is>
          <t>Herencia deseada (US$ de hoy)</t>
        </is>
      </c>
      <c r="B49" s="10">
        <v>200000</v>
      </c>
    </row>
    <row r="51">
      <c r="A51" s="6" t="inlineStr">
        <is>
          <t>Retiro, pensión, fondos y flujos previstos</t>
        </is>
      </c>
    </row>
    <row r="52">
      <c r="A52" s="1" t="inlineStr">
        <is>
          <t>Gasto en el retiro (% del gasto actual)</t>
        </is>
      </c>
      <c r="B52" s="7">
        <v>0.9</v>
      </c>
    </row>
    <row r="53">
      <c r="A53" s="1" t="inlineStr">
        <is>
          <t>Régimen de pensión</t>
        </is>
      </c>
      <c r="C53" t="inlineStr">
        <is>
          <t>Magisterio Nacional</t>
        </is>
      </c>
    </row>
    <row r="54">
      <c r="A54" s="1" t="inlineStr">
        <is>
          <t>Pensión mensual estimada (valor de hoy)</t>
        </is>
      </c>
      <c r="B54" s="10">
        <v>650000</v>
      </c>
      <c r="C54" t="inlineStr">
        <is>
          <t>CRC</t>
        </is>
      </c>
    </row>
    <row r="55">
      <c r="A55" s="1" t="inlineStr">
        <is>
          <t>Edad de inicio de la pensión</t>
        </is>
      </c>
      <c r="B55" s="9">
        <v>65</v>
      </c>
    </row>
    <row r="56">
      <c r="A56" s="1" t="inlineStr">
        <is>
          <t>Otros ingresos recurrentes mensuales (valor de hoy)</t>
        </is>
      </c>
      <c r="B56" s="10">
        <v>400000</v>
      </c>
      <c r="C56" t="inlineStr">
        <is>
          <t>CRC · desde 2030</t>
        </is>
      </c>
    </row>
    <row r="57">
      <c r="A57" s="1" t="inlineStr">
        <is>
          <t>ROP: saldo actual</t>
        </is>
      </c>
      <c r="B57" s="10">
        <v>18000000</v>
      </c>
      <c r="C57" t="inlineStr">
        <is>
          <t>CRC · pensión: renta temporal hasta la expectativa de vida</t>
        </is>
      </c>
    </row>
    <row r="58">
      <c r="A58" s="1" t="inlineStr">
        <is>
          <t>ROP: aporte mensual</t>
        </is>
      </c>
      <c r="C58" t="inlineStr">
        <is>
          <t>No lo indicó: se estima con el salario</t>
        </is>
      </c>
    </row>
    <row r="59">
      <c r="A59" s="1" t="inlineStr">
        <is>
          <t>FCL: saldo actual</t>
        </is>
      </c>
      <c r="B59" s="10">
        <v>3500000</v>
      </c>
      <c r="C59" t="inlineStr">
        <is>
          <t>CRC · traslado en cada quinquenio, desde 2028</t>
        </is>
      </c>
    </row>
    <row r="60">
      <c r="A60" s="1" t="inlineStr">
        <is>
          <t>FCL: aporte mensual</t>
        </is>
      </c>
      <c r="B60" s="10">
        <v>63000</v>
      </c>
      <c r="C60" t="inlineStr">
        <is>
          <t>CRC</t>
        </is>
      </c>
    </row>
    <row r="61">
      <c r="A61" s="1" t="inlineStr">
        <is>
          <t>Pensión voluntaria: saldo actual</t>
        </is>
      </c>
      <c r="B61" s="10">
        <v>15000</v>
      </c>
      <c r="C61" t="inlineStr">
        <is>
          <t>USD · traslado al momento del retiro</t>
        </is>
      </c>
    </row>
    <row r="62">
      <c r="A62" s="1" t="inlineStr">
        <is>
          <t>Pensión voluntaria: aporte mensual</t>
        </is>
      </c>
      <c r="B62" s="10">
        <v>200</v>
      </c>
      <c r="C62" t="inlineStr">
        <is>
          <t>USD</t>
        </is>
      </c>
    </row>
    <row r="63">
      <c r="A63" s="1" t="inlineStr">
        <is>
          <t>Ingreso extraordinario 1: Ingreso extraordinario 1 (US$ de hoy)</t>
        </is>
      </c>
      <c r="B63" s="10">
        <v>80000</v>
      </c>
      <c r="C63" t="inlineStr">
        <is>
          <t>Año 2028</t>
        </is>
      </c>
    </row>
    <row r="64">
      <c r="A64" s="1" t="inlineStr">
        <is>
          <t>Desinversión: Venta de APARTAMENTO ESCAZÚ</t>
        </is>
      </c>
      <c r="B64" s="10">
        <v>90000</v>
      </c>
      <c r="C64" t="inlineStr">
        <is>
          <t>USD · año 2035 · monto que entra al portafolio</t>
        </is>
      </c>
    </row>
    <row r="65">
      <c r="A65" s="1" t="inlineStr">
        <is>
          <t>Desinversión: Lote en Grecia</t>
        </is>
      </c>
      <c r="B65" s="10">
        <v>150000</v>
      </c>
      <c r="C65" t="inlineStr">
        <is>
          <t>USD · año 2035 · monto que entra al portafolio</t>
        </is>
      </c>
    </row>
    <row r="66">
      <c r="A66" s="1" t="inlineStr">
        <is>
          <t>Gasto de dependiente 1 (US$ de hoy, por año)</t>
        </is>
      </c>
      <c r="B66" s="10">
        <v>12000</v>
      </c>
      <c r="C66" t="inlineStr">
        <is>
          <t>Hijo o hija · educación · desde 2029 por 5 años</t>
        </is>
      </c>
    </row>
    <row r="67">
      <c r="A67" s="1" t="inlineStr">
        <is>
          <t>Gasto de dependiente 2 (US$ de hoy, por año)</t>
        </is>
      </c>
      <c r="B67" s="10">
        <v>15000</v>
      </c>
      <c r="C67" t="inlineStr">
        <is>
          <t>Tía · salud · desde 2030 por 1 año</t>
        </is>
      </c>
    </row>
    <row r="68">
      <c r="A68" s="1" t="inlineStr">
        <is>
          <t>Meta 1 (US$ de hoy)</t>
        </is>
      </c>
      <c r="B68" s="10">
        <v>40000</v>
      </c>
      <c r="C68" t="inlineStr">
        <is>
          <t>Vivienda o propiedad · año 2029 · esencial · salida del portafolio</t>
        </is>
      </c>
    </row>
    <row r="69">
      <c r="A69" s="1" t="inlineStr">
        <is>
          <t>Meta 2 (US$ de hoy)</t>
        </is>
      </c>
      <c r="B69" s="10">
        <v>60000</v>
      </c>
      <c r="C69" t="inlineStr">
        <is>
          <t>Vivienda o propiedad · año 2031 · esencial · crédito bancario</t>
        </is>
      </c>
    </row>
    <row r="71">
      <c r="A71" s="6" t="inlineStr">
        <is>
          <t>Patrimonio total (US$, sin la vivienda principal)</t>
        </is>
      </c>
    </row>
    <row r="72">
      <c r="A72" s="1" t="inlineStr">
        <is>
          <t>Inversiones líquidas (este portafolio)</t>
        </is>
      </c>
      <c r="B72" s="10">
        <v>300001</v>
      </c>
    </row>
    <row r="73">
      <c r="A73" s="1" t="inlineStr">
        <is>
          <t>Fondos de pensión (ROP, FCL y voluntaria)</t>
        </is>
      </c>
      <c r="B73" s="10">
        <v>62778</v>
      </c>
    </row>
    <row r="74">
      <c r="A74" s="1" t="inlineStr">
        <is>
          <t>Inversiones inmobiliarias</t>
        </is>
      </c>
      <c r="B74" s="10">
        <v>180000</v>
      </c>
    </row>
    <row r="75">
      <c r="A75" s="1" t="inlineStr">
        <is>
          <t>Empresa (según su participación)</t>
        </is>
      </c>
      <c r="B75" s="10">
        <v>200000</v>
      </c>
    </row>
    <row r="76">
      <c r="A76" s="1" t="inlineStr">
        <is>
          <t>Capital privado</t>
        </is>
      </c>
      <c r="B76" s="10">
        <v>250000</v>
      </c>
    </row>
    <row r="77">
      <c r="A77" s="1" t="inlineStr">
        <is>
          <t>Total de activos</t>
        </is>
      </c>
      <c r="B77" s="10">
        <v>992778</v>
      </c>
    </row>
    <row r="78">
      <c r="A78" s="1" t="inlineStr">
        <is>
          <t>Deudas</t>
        </is>
      </c>
      <c r="B78" s="10">
        <v>-132000</v>
      </c>
    </row>
    <row r="79">
      <c r="A79" s="1" t="inlineStr">
        <is>
          <t>Patrimonio neto</t>
        </is>
      </c>
      <c r="B79" s="10">
        <v>860778</v>
      </c>
    </row>
    <row r="81">
      <c r="A81" s="6" t="inlineStr">
        <is>
          <t>Hogar, patrimonio y protección</t>
        </is>
      </c>
    </row>
    <row r="82">
      <c r="A82" s="1" t="inlineStr">
        <is>
          <t>Tipo de planificación</t>
        </is>
      </c>
      <c r="C82" t="inlineStr">
        <is>
          <t>Individual</t>
        </is>
      </c>
    </row>
    <row r="83">
      <c r="A83" s="1" t="inlineStr">
        <is>
          <t>Hijos</t>
        </is>
      </c>
      <c r="C83" t="inlineStr">
        <is>
          <t>2 (edades: 15, 11)</t>
        </is>
      </c>
    </row>
    <row r="84">
      <c r="A84" s="1" t="inlineStr">
        <is>
          <t>Otros dependientes</t>
        </is>
      </c>
      <c r="B84" s="9">
        <v>2</v>
      </c>
      <c r="C84" t="inlineStr">
        <is>
          <t>padres 1, tíos 1 · aporte mensual 350 000 CRC</t>
        </is>
      </c>
    </row>
    <row r="85">
      <c r="A85" s="1" t="inlineStr">
        <is>
          <t>Fuente principal del ingreso</t>
        </is>
      </c>
      <c r="C85" t="inlineStr">
        <is>
          <t>Salario</t>
        </is>
      </c>
    </row>
    <row r="86">
      <c r="A86" s="1" t="inlineStr">
        <is>
          <t>Vivienda principal</t>
        </is>
      </c>
      <c r="C86" t="inlineStr">
        <is>
          <t>Propia, con hipoteca</t>
        </is>
      </c>
    </row>
    <row r="87">
      <c r="A87" s="1" t="inlineStr">
        <is>
          <t>Saldo de la hipoteca</t>
        </is>
      </c>
      <c r="B87" s="10">
        <v>90000</v>
      </c>
      <c r="C87" t="inlineStr">
        <is>
          <t>USD</t>
        </is>
      </c>
    </row>
    <row r="88">
      <c r="A88" s="1" t="inlineStr">
        <is>
          <t>Cuota mensual de la hipoteca</t>
        </is>
      </c>
      <c r="B88" s="10">
        <v>950</v>
      </c>
      <c r="C88" t="inlineStr">
        <is>
          <t>USD</t>
        </is>
      </c>
    </row>
    <row r="89">
      <c r="A89" s="1" t="inlineStr">
        <is>
          <t>Tasa de interés anual de la hipoteca</t>
        </is>
      </c>
      <c r="B89" s="4">
        <v>0.0825</v>
      </c>
    </row>
    <row r="90">
      <c r="A90" s="1" t="inlineStr">
        <is>
          <t>Plazo restante de la hipoteca (años)</t>
        </is>
      </c>
      <c r="B90" s="9">
        <v>14</v>
      </c>
    </row>
    <row r="91">
      <c r="A91" s="1" t="inlineStr">
        <is>
          <t>APARTAMENTO ESCAZÚ (valor)</t>
        </is>
      </c>
      <c r="B91" s="10">
        <v>180000</v>
      </c>
      <c r="C91" t="inlineStr">
        <is>
          <t>Renta neta 1 100 · deuda 30 000 · USD · estima venderlo en 2035 · invertiría una parte aquí (60%)</t>
        </is>
      </c>
    </row>
    <row r="92">
      <c r="A92" s="1" t="inlineStr">
        <is>
          <t>Empresa propia</t>
        </is>
      </c>
      <c r="C92" t="inlineStr">
        <is>
          <t>Estima venderla en 12 años · participación 40% · destino sujeto a análisis</t>
        </is>
      </c>
    </row>
    <row r="93">
      <c r="A93" s="1" t="inlineStr">
        <is>
          <t>Capital privado: valor estimado</t>
        </is>
      </c>
      <c r="B93" s="10">
        <v>250000</v>
      </c>
      <c r="C93" t="inlineStr">
        <is>
          <t>USD</t>
        </is>
      </c>
    </row>
    <row r="94">
      <c r="A94" s="1" t="inlineStr">
        <is>
          <t>Estructuras jurídicas</t>
        </is>
      </c>
      <c r="C94" t="inlineStr">
        <is>
          <t>Sociedad anónima u otra sociedad costarricense · Sociedad en Panamá</t>
        </is>
      </c>
    </row>
    <row r="95">
      <c r="A95" s="1" t="inlineStr">
        <is>
          <t>Valor estimado de la empresa</t>
        </is>
      </c>
      <c r="B95" s="10">
        <v>500000</v>
      </c>
      <c r="C95" t="inlineStr">
        <is>
          <t>USD</t>
        </is>
      </c>
    </row>
    <row r="96">
      <c r="A96" s="1" t="inlineStr">
        <is>
          <t>Deudas: saldo total</t>
        </is>
      </c>
      <c r="B96" s="10">
        <v>12000</v>
      </c>
      <c r="C96" t="inlineStr">
        <is>
          <t>USD</t>
        </is>
      </c>
    </row>
    <row r="97">
      <c r="A97" s="1" t="inlineStr">
        <is>
          <t>Deudas: cuota mensual</t>
        </is>
      </c>
      <c r="B97" s="10">
        <v>300</v>
      </c>
      <c r="C97" t="inlineStr">
        <is>
          <t>USD · 4 años restantes</t>
        </is>
      </c>
    </row>
    <row r="98">
      <c r="A98" s="1" t="inlineStr">
        <is>
          <t>Seguros vigentes</t>
        </is>
      </c>
      <c r="C98" t="inlineStr">
        <is>
          <t>Ninguno</t>
        </is>
      </c>
    </row>
    <row r="100">
      <c r="A100" s="6" t="inlineStr">
        <is>
          <t>Datos financieros declarados</t>
        </is>
      </c>
    </row>
    <row r="101">
      <c r="A101" s="1" t="inlineStr">
        <is>
          <t>Ingreso total mensual</t>
        </is>
      </c>
      <c r="B101" s="10">
        <v>4200000</v>
      </c>
      <c r="C101" t="inlineStr">
        <is>
          <t>CRC</t>
        </is>
      </c>
    </row>
    <row r="102">
      <c r="A102" s="1" t="inlineStr">
        <is>
          <t>Gasto familiar mensual</t>
        </is>
      </c>
      <c r="B102" s="10">
        <v>2600000</v>
      </c>
      <c r="C102" t="inlineStr">
        <is>
          <t>CRC</t>
        </is>
      </c>
    </row>
    <row r="103">
      <c r="A103" s="1" t="inlineStr">
        <is>
          <t>Capital inicial invertido</t>
        </is>
      </c>
      <c r="B103" s="10">
        <v>300000.5</v>
      </c>
      <c r="C103" t="inlineStr">
        <is>
          <t>USD</t>
        </is>
      </c>
    </row>
    <row r="104">
      <c r="A104" s="1" t="inlineStr">
        <is>
          <t>Gastos extraordinarios anuales (US$ de hoy)</t>
        </is>
      </c>
      <c r="B104" s="10">
        <v>6000</v>
      </c>
      <c r="C104" t="inlineStr">
        <is>
          <t>USD</t>
        </is>
      </c>
    </row>
    <row r="105">
      <c r="A105" s="1" t="inlineStr">
        <is>
          <t>Comentarios del cliente</t>
        </is>
      </c>
    </row>
    <row r="107">
      <c r="A107" s="6" t="inlineStr">
        <is>
          <t>Cartera asignada y cartera de equilibrio</t>
        </is>
      </c>
    </row>
    <row r="108">
      <c r="A108" s="5" t="inlineStr">
        <is>
          <t>Clase de activo</t>
        </is>
      </c>
      <c r="B108" s="5" t="inlineStr">
        <is>
          <t>Cartera asignada</t>
        </is>
      </c>
      <c r="C108" s="5" t="inlineStr">
        <is>
          <t>Cartera de equilibrio</t>
        </is>
      </c>
    </row>
    <row r="109">
      <c r="A109" s="1" t="inlineStr">
        <is>
          <t>Renta variable</t>
        </is>
      </c>
      <c r="B109" s="4">
        <v>0.775</v>
      </c>
      <c r="C109" s="4">
        <v>0.215</v>
      </c>
    </row>
    <row r="110">
      <c r="A110" s="1" t="inlineStr">
        <is>
          <t>Renta fija</t>
        </is>
      </c>
      <c r="B110" s="4">
        <v>0.175</v>
      </c>
      <c r="C110" s="4">
        <v>0.494</v>
      </c>
    </row>
    <row r="111">
      <c r="A111" s="1" t="inlineStr">
        <is>
          <t>Efectivo</t>
        </is>
      </c>
      <c r="B111" s="4">
        <v>0.05</v>
      </c>
      <c r="C111" s="4">
        <v>0.29100000000000004</v>
      </c>
    </row>
    <row r="112">
      <c r="A112" s="1" t="inlineStr">
        <is>
          <t>Rendimiento de la cartera de equilibrio</t>
        </is>
      </c>
      <c r="B112" s="4">
        <v>0.05073893709459297</v>
      </c>
    </row>
    <row r="113">
      <c r="A113" s="1" t="inlineStr">
        <is>
          <t>Volatilidad anual de la cartera de equilibrio</t>
        </is>
      </c>
      <c r="B113" s="4">
        <v>0.05981479793697271</v>
      </c>
    </row>
    <row r="115">
      <c r="A115" s="6" t="inlineStr">
        <is>
          <t>Supuestos aplicados</t>
        </is>
      </c>
    </row>
    <row r="116">
      <c r="A116" s="1" t="inlineStr">
        <is>
          <t>Tipo de cambio ₡/US$</t>
        </is>
      </c>
      <c r="B116" s="2">
        <v>450</v>
      </c>
    </row>
    <row r="117">
      <c r="A117" s="1" t="inlineStr">
        <is>
          <t>Inflación general</t>
        </is>
      </c>
      <c r="B117" s="4">
        <v>0.039</v>
      </c>
    </row>
    <row r="118">
      <c r="A118" s="1" t="inlineStr">
        <is>
          <t>Inflación de ingresos</t>
        </is>
      </c>
      <c r="B118" s="4">
        <v>0.01</v>
      </c>
    </row>
    <row r="119">
      <c r="A119" s="1" t="inlineStr">
        <is>
          <t>Inflación de pensión</t>
        </is>
      </c>
      <c r="B119" s="4">
        <v>0.01</v>
      </c>
    </row>
    <row r="120">
      <c r="A120" s="1" t="inlineStr">
        <is>
          <t>Inflación de salud</t>
        </is>
      </c>
      <c r="B120" s="4">
        <v>0.08</v>
      </c>
    </row>
    <row r="121">
      <c r="A121" s="1" t="inlineStr">
        <is>
          <t>Ajuste anual de alquileres</t>
        </is>
      </c>
      <c r="B121" s="4">
        <v>0</v>
      </c>
    </row>
    <row r="122">
      <c r="A122" s="1" t="inlineStr">
        <is>
          <t>Año de inicio</t>
        </is>
      </c>
      <c r="B122" s="9">
        <v>2026</v>
      </c>
    </row>
    <row r="123">
      <c r="A123" s="1" t="inlineStr">
        <is>
          <t>Edad final de la proyección</t>
        </is>
      </c>
      <c r="B123" s="9">
        <v>95</v>
      </c>
    </row>
    <row r="124">
      <c r="A124" s="1" t="inlineStr">
        <is>
          <t>Gasto en el retiro si lo prevé menor</t>
        </is>
      </c>
      <c r="B124" s="7">
        <v>0.8</v>
      </c>
    </row>
    <row r="125">
      <c r="A125" s="1" t="inlineStr">
        <is>
          <t>Gasto en el retiro si lo prevé mayor</t>
        </is>
      </c>
      <c r="B125" s="7">
        <v>1.1</v>
      </c>
    </row>
    <row r="127">
      <c r="A127" s="6" t="inlineStr">
        <is>
          <t>Resultados de la proyección</t>
        </is>
      </c>
    </row>
    <row r="128">
      <c r="A128" s="1" t="inlineStr">
        <is>
          <t>Portafolio máximo proyectado</t>
        </is>
      </c>
      <c r="B128" s="10">
        <v>19172732</v>
      </c>
    </row>
    <row r="129">
      <c r="A129" s="1" t="inlineStr">
        <is>
          <t>Portafolio final nominal</t>
        </is>
      </c>
      <c r="B129" s="10">
        <v>19172732</v>
      </c>
    </row>
    <row r="130">
      <c r="A130" s="1" t="inlineStr">
        <is>
          <t>Portafolio final en términos reales</t>
        </is>
      </c>
      <c r="B130" s="10">
        <v>2724527</v>
      </c>
    </row>
    <row r="131">
      <c r="A131" s="1" t="inlineStr">
        <is>
          <t>Tasa de retiro inicial</t>
        </is>
      </c>
      <c r="B131" s="4">
        <v>0</v>
      </c>
    </row>
    <row r="132">
      <c r="A132" s="1" t="inlineStr">
        <is>
          <t>Años de acumulación</t>
        </is>
      </c>
      <c r="B132" s="9">
        <v>15</v>
      </c>
    </row>
    <row r="133">
      <c r="A133" s="1" t="inlineStr">
        <is>
          <t>Años de retiro</t>
        </is>
      </c>
      <c r="B133" s="9">
        <v>36</v>
      </c>
    </row>
    <row r="134">
      <c r="A134" s="1" t="inlineStr">
        <is>
          <t>Edad a la que se agota el portafolio</t>
        </is>
      </c>
      <c r="C134" t="inlineStr">
        <is>
          <t>No se agota en el horizonte</t>
        </is>
      </c>
    </row>
  </sheetData>
  <pageMargins left="0.5" right="0.5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5" ySplit="16" topLeftCell="F17" activePane="bottomRight" state="frozen"/>
    </sheetView>
  </sheetViews>
  <cols>
    <col width="2" customWidth="1" min="1" max="1"/>
    <col width="8" customWidth="1" min="2" max="2"/>
    <col width="34" customWidth="1" min="3" max="3"/>
    <col width="9" customWidth="1" min="4" max="4"/>
    <col width="13" customWidth="1" min="5" max="5"/>
    <col width="30" customWidth="1" min="6" max="6"/>
    <col width="16" customWidth="1" min="7" max="7"/>
    <col width="16" customWidth="1" min="8" max="8"/>
    <col width="30" customWidth="1" min="9" max="9"/>
    <col width="16" customWidth="1" min="10" max="10"/>
    <col width="16" customWidth="1" min="11" max="11"/>
    <col width="30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4" customWidth="1" min="38" max="38"/>
  </cols>
  <sheetData>
    <row r="1">
      <c r="C1" s="1" t="inlineStr">
        <is>
          <t>Tipo de cambio</t>
        </is>
      </c>
      <c r="D1" s="2">
        <v>450</v>
      </c>
      <c r="F1" s="1" t="inlineStr">
        <is>
          <t>Ingreso total mensual</t>
        </is>
      </c>
      <c r="G1" s="10">
        <f>4200000/$D$1</f>
        <v>9333.333333333334</v>
      </c>
      <c r="I1" s="1" t="inlineStr">
        <is>
          <t>Gasto familiar mensual</t>
        </is>
      </c>
      <c r="J1" s="10">
        <f>2600000/$D$1</f>
        <v>5777.777777777777</v>
      </c>
      <c r="L1" s="1" t="inlineStr">
        <is>
          <t>Año del ingreso extraordinario</t>
        </is>
      </c>
      <c r="M1" s="9">
        <v>2028</v>
      </c>
    </row>
    <row r="2">
      <c r="C2" s="1" t="inlineStr">
        <is>
          <t>Inflación de ingresos (referencial)</t>
        </is>
      </c>
      <c r="D2" s="4">
        <v>0.01</v>
      </c>
      <c r="F2" s="1" t="inlineStr">
        <is>
          <t>Otros ingresos recurrentes al mes</t>
        </is>
      </c>
      <c r="G2" s="10">
        <f>400000/$D$1</f>
        <v>888.8888888888889</v>
      </c>
      <c r="I2" s="1" t="inlineStr">
        <is>
          <t>Gasto en el retiro (% del actual)</t>
        </is>
      </c>
      <c r="J2" s="4">
        <v>0.9</v>
      </c>
      <c r="L2" s="1" t="inlineStr">
        <is>
          <t>Ingreso extraordinario</t>
        </is>
      </c>
      <c r="M2" s="10">
        <v>80000</v>
      </c>
    </row>
    <row r="3">
      <c r="C3" s="1" t="inlineStr">
        <is>
          <t>Inflación</t>
        </is>
      </c>
      <c r="D3" s="4">
        <v>0.039</v>
      </c>
      <c r="F3" s="1" t="inlineStr">
        <is>
          <t>Período de inicio de otros ingresos</t>
        </is>
      </c>
      <c r="G3" s="9">
        <v>5</v>
      </c>
      <c r="I3" s="1" t="inlineStr">
        <is>
          <t>Gastos extraordinarios al año</t>
        </is>
      </c>
      <c r="J3" s="10">
        <v>6000</v>
      </c>
      <c r="L3" s="1" t="inlineStr">
        <is>
          <t>Año de la desinversión</t>
        </is>
      </c>
      <c r="M3" s="9">
        <v>2035</v>
      </c>
      <c r="N3" s="9">
        <v>2035</v>
      </c>
    </row>
    <row r="4">
      <c r="C4" s="1" t="inlineStr">
        <is>
          <t>Inflación de la pensión</t>
        </is>
      </c>
      <c r="D4" s="4">
        <v>0.01</v>
      </c>
      <c r="F4" s="1" t="inlineStr">
        <is>
          <t>Pensión mensual</t>
        </is>
      </c>
      <c r="G4" s="10">
        <f>650000/$D$1</f>
        <v>1444.4444444444443</v>
      </c>
      <c r="I4" s="1" t="inlineStr">
        <is>
          <t>Cuota mensual de la hipoteca</t>
        </is>
      </c>
      <c r="J4" s="10">
        <v>950</v>
      </c>
      <c r="L4" s="1" t="inlineStr">
        <is>
          <t>Desinversión (venta de activos)</t>
        </is>
      </c>
      <c r="M4" s="10">
        <v>90000</v>
      </c>
      <c r="N4" s="10">
        <v>150000</v>
      </c>
    </row>
    <row r="5">
      <c r="C5" s="1" t="inlineStr">
        <is>
          <t>Inflación de salud (referencial)</t>
        </is>
      </c>
      <c r="D5" s="4">
        <v>0.08</v>
      </c>
      <c r="F5" s="1" t="inlineStr">
        <is>
          <t>Edad de inicio de la pensión</t>
        </is>
      </c>
      <c r="G5" s="9">
        <v>65</v>
      </c>
      <c r="I5" s="1" t="inlineStr">
        <is>
          <t>Años restantes de la hipoteca</t>
        </is>
      </c>
      <c r="J5" s="9">
        <v>14</v>
      </c>
      <c r="L5" s="1" t="inlineStr">
        <is>
          <t>Inicio del gasto de dependiente</t>
        </is>
      </c>
      <c r="M5" s="9">
        <v>2029</v>
      </c>
      <c r="N5" s="9">
        <v>2030</v>
      </c>
    </row>
    <row r="6">
      <c r="C6" s="1" t="inlineStr">
        <is>
          <t>Ajuste de alquileres (referencial)</t>
        </is>
      </c>
      <c r="D6" s="4">
        <v>0</v>
      </c>
      <c r="F6" s="1" t="inlineStr">
        <is>
          <t>Período del primer pago de pensión</t>
        </is>
      </c>
      <c r="G6" s="9">
        <f>MAX(16,G5-C17+1)</f>
        <v>21</v>
      </c>
      <c r="I6" s="1" t="inlineStr">
        <is>
          <t>Cuota mensual de otras deudas</t>
        </is>
      </c>
      <c r="J6" s="10">
        <v>300</v>
      </c>
      <c r="L6" s="1" t="inlineStr">
        <is>
          <t>Años que dura</t>
        </is>
      </c>
      <c r="M6" s="9">
        <v>5</v>
      </c>
      <c r="N6" s="9">
        <v>1</v>
      </c>
    </row>
    <row r="7">
      <c r="C7" s="1" t="inlineStr">
        <is>
          <t>Rendimiento esperado del portafolio</t>
        </is>
      </c>
      <c r="D7" s="4">
        <v>0.075</v>
      </c>
      <c r="F7" s="1" t="inlineStr">
        <is>
          <t>Años hasta la independencia</t>
        </is>
      </c>
      <c r="G7" s="9">
        <v>15</v>
      </c>
      <c r="I7" s="1" t="inlineStr">
        <is>
          <t>Años restantes de otras deudas</t>
        </is>
      </c>
      <c r="J7" s="9">
        <v>4</v>
      </c>
      <c r="L7" s="1" t="inlineStr">
        <is>
          <t>Gasto anual del dependiente</t>
        </is>
      </c>
      <c r="M7" s="10">
        <v>12000</v>
      </c>
      <c r="N7" s="10">
        <v>15000</v>
      </c>
    </row>
    <row r="8">
      <c r="F8" s="1" t="inlineStr">
        <is>
          <t>Años con ingreso total</t>
        </is>
      </c>
      <c r="G8" s="9">
        <v>15</v>
      </c>
      <c r="L8" s="1" t="inlineStr">
        <is>
          <t>Alquiler mensual del inmueble</t>
        </is>
      </c>
      <c r="M8" s="10">
        <v>1100</v>
      </c>
    </row>
    <row r="9">
      <c r="L9" s="1" t="inlineStr">
        <is>
          <t>Último año con alquiler</t>
        </is>
      </c>
      <c r="M9" s="9">
        <v>2034</v>
      </c>
    </row>
    <row r="10">
      <c r="L10" s="1" t="inlineStr">
        <is>
          <t>Año de la meta pagada con el portafolio</t>
        </is>
      </c>
      <c r="M10" s="9">
        <v>2029</v>
      </c>
    </row>
    <row r="11">
      <c r="L11" s="1" t="inlineStr">
        <is>
          <t>Monto de la meta</t>
        </is>
      </c>
      <c r="M11" s="10">
        <v>40000</v>
      </c>
    </row>
    <row r="12">
      <c r="L12" s="1" t="inlineStr">
        <is>
          <t>Año del primer retiro</t>
        </is>
      </c>
    </row>
    <row r="13">
      <c r="C13" t="inlineStr">
        <is>
          <t>Montos en dólares de hoy; los colones se convierten con el tipo de cambio (D1).</t>
        </is>
      </c>
      <c r="L13" s="1" t="inlineStr">
        <is>
          <t>Monto del primer retiro</t>
        </is>
      </c>
    </row>
    <row r="14">
      <c r="L14" s="1" t="inlineStr">
        <is>
          <t>Tipo de desinversión (1 inmueble · 2 empresa · 3 otro)</t>
        </is>
      </c>
      <c r="M14" s="9">
        <v>1</v>
      </c>
      <c r="N14" s="9">
        <v>3</v>
      </c>
    </row>
    <row r="15">
      <c r="F15" s="6" t="inlineStr">
        <is>
          <t>Ingresos ordinarios</t>
        </is>
      </c>
      <c r="L15" s="6" t="inlineStr">
        <is>
          <t>Ingresos extraordinarios</t>
        </is>
      </c>
      <c r="O15" s="6" t="inlineStr">
        <is>
          <t>Ingresos totales</t>
        </is>
      </c>
      <c r="P15" s="6" t="inlineStr">
        <is>
          <t>Gastos ordinarios</t>
        </is>
      </c>
      <c r="T15" s="6" t="inlineStr">
        <is>
          <t>Gastos extraordinarios</t>
        </is>
      </c>
      <c r="U15" s="6" t="inlineStr">
        <is>
          <t>Gastos totales</t>
        </is>
      </c>
      <c r="V15" s="6" t="inlineStr">
        <is>
          <t>Flujo neto</t>
        </is>
      </c>
      <c r="W15" s="6" t="inlineStr">
        <is>
          <t>Inversiones</t>
        </is>
      </c>
      <c r="Y15" s="6" t="inlineStr">
        <is>
          <t>Desinversiones</t>
        </is>
      </c>
      <c r="AC15" s="6" t="inlineStr">
        <is>
          <t>Retiros del portafolio</t>
        </is>
      </c>
      <c r="AG15" s="6" t="inlineStr">
        <is>
          <t>Portafolio</t>
        </is>
      </c>
    </row>
    <row r="16" ht="46" customHeight="1">
      <c r="B16" s="5" t="inlineStr">
        <is>
          <t>Año</t>
        </is>
      </c>
      <c r="C16" s="5" t="inlineStr">
        <is>
          <t>Edad</t>
        </is>
      </c>
      <c r="D16" s="5" t="inlineStr">
        <is>
          <t>Período</t>
        </is>
      </c>
      <c r="E16" s="5" t="inlineStr">
        <is>
          <t>Fase</t>
        </is>
      </c>
      <c r="F16" s="5" t="inlineStr">
        <is>
          <t>Ingreso total (actividad)</t>
        </is>
      </c>
      <c r="G16" s="5" t="inlineStr">
        <is>
          <t>Otros ingresos recurrentes</t>
        </is>
      </c>
      <c r="H16" s="5" t="inlineStr">
        <is>
          <t>Alquileres de inmuebles</t>
        </is>
      </c>
      <c r="I16" s="5" t="inlineStr">
        <is>
          <t>Pensión</t>
        </is>
      </c>
      <c r="J16" s="5" t="inlineStr">
        <is>
          <t>Pensión del ROP</t>
        </is>
      </c>
      <c r="K16" s="5" t="inlineStr">
        <is>
          <t>Total ingresos ordinarios</t>
        </is>
      </c>
      <c r="L16" s="5" t="inlineStr">
        <is>
          <t>Ingresos extraordinarios</t>
        </is>
      </c>
      <c r="M16" s="5" t="inlineStr">
        <is>
          <t>Traslado de FCL y pensión voluntaria</t>
        </is>
      </c>
      <c r="N16" s="5" t="inlineStr">
        <is>
          <t>Total ingresos extraordinarios</t>
        </is>
      </c>
      <c r="O16" s="5" t="inlineStr">
        <is>
          <t>Total ingresos</t>
        </is>
      </c>
      <c r="P16" s="5" t="inlineStr">
        <is>
          <t>Gasto familiar</t>
        </is>
      </c>
      <c r="Q16" s="5" t="inlineStr">
        <is>
          <t>Gastos de dependientes</t>
        </is>
      </c>
      <c r="R16" s="5" t="inlineStr">
        <is>
          <t>Cuotas de hipoteca y deudas</t>
        </is>
      </c>
      <c r="S16" s="5" t="inlineStr">
        <is>
          <t>Total gastos ordinarios</t>
        </is>
      </c>
      <c r="T16" s="5" t="inlineStr">
        <is>
          <t>Total gastos extraordinarios</t>
        </is>
      </c>
      <c r="U16" s="5" t="inlineStr">
        <is>
          <t>Total gastos</t>
        </is>
      </c>
      <c r="V16" s="5" t="inlineStr">
        <is>
          <t>Flujo neto (ingresos − gastos)</t>
        </is>
      </c>
      <c r="W16" s="5" t="inlineStr">
        <is>
          <t>Superávit invertido en el portafolio</t>
        </is>
      </c>
      <c r="X16" s="5" t="inlineStr">
        <is>
          <t>Total inversiones</t>
        </is>
      </c>
      <c r="Y16" s="5" t="inlineStr">
        <is>
          <t>Venta de inmuebles</t>
        </is>
      </c>
      <c r="Z16" s="5" t="inlineStr">
        <is>
          <t>Venta de la empresa</t>
        </is>
      </c>
      <c r="AA16" s="5" t="inlineStr">
        <is>
          <t>Venta de otros activos</t>
        </is>
      </c>
      <c r="AB16" s="5" t="inlineStr">
        <is>
          <t>Total desinversiones</t>
        </is>
      </c>
      <c r="AC16" s="5" t="inlineStr">
        <is>
          <t>Retiro para cubrir el déficit</t>
        </is>
      </c>
      <c r="AD16" s="5" t="inlineStr">
        <is>
          <t>Metas pagadas con el portafolio</t>
        </is>
      </c>
      <c r="AE16" s="5" t="inlineStr">
        <is>
          <t>Primer retiro</t>
        </is>
      </c>
      <c r="AF16" s="5" t="inlineStr">
        <is>
          <t>Total retiros del portafolio</t>
        </is>
      </c>
      <c r="AG16" s="5" t="inlineStr">
        <is>
          <t>Portafolio inicial</t>
        </is>
      </c>
      <c r="AH16" s="5" t="inlineStr">
        <is>
          <t>Rendimiento</t>
        </is>
      </c>
      <c r="AI16" s="5" t="inlineStr">
        <is>
          <t>Gasto no cubierto</t>
        </is>
      </c>
      <c r="AJ16" s="5" t="inlineStr">
        <is>
          <t>Portafolio final nominal</t>
        </is>
      </c>
      <c r="AK16" s="5" t="inlineStr">
        <is>
          <t>Portafolio en términos reales</t>
        </is>
      </c>
      <c r="AL16" s="5" t="inlineStr">
        <is>
          <t>Tasa de retiro (% del portafolio)</t>
        </is>
      </c>
    </row>
    <row r="17">
      <c r="B17" s="9">
        <v>2026</v>
      </c>
      <c r="C17" s="9">
        <v>45</v>
      </c>
      <c r="D17" s="9">
        <v>1</v>
      </c>
      <c r="E17" t="str">
        <f>IF(D17&lt;=$G$7,"Acumulación","Retiro")</f>
        <v>Acumulación</v>
      </c>
      <c r="F17" s="10">
        <f>IF(D17&lt;=$G$8,$G$1*12*(1+$D$3)^(D17-1),0)</f>
        <v>112000</v>
      </c>
      <c r="G17" s="10">
        <f>IF(AND($G$2&gt;0,D17&gt;=$G$3),$G$2*12*(1+$D$3)^(D17-1),0)</f>
        <v>0</v>
      </c>
      <c r="H17" s="10">
        <f>SUMPRODUCT(($M$9:$V$9&gt;=B17)*$M$8:$V$8)*12*(1+$D$3)^(D17-1)</f>
        <v>13200</v>
      </c>
      <c r="I17" s="10">
        <f>IF(AND($G$4&gt;0,D17&gt;=$G$6),$G$4*12*(1+$D$3)^($G$6-1)*(1+$D$4)^(D17-$G$6),0)</f>
        <v>0</v>
      </c>
      <c r="J17" s="10">
        <f>'Fondos de pensión'!T19</f>
        <v>0</v>
      </c>
      <c r="K17" s="10">
        <f>SUM(F17:J17)</f>
        <v>125200</v>
      </c>
      <c r="L17" s="10">
        <f>SUMIF($M$1:$V$1,B17,$M$2:$V$2)*(1+$D$3)^(D17-1)</f>
        <v>0</v>
      </c>
      <c r="M17" s="10">
        <f>'Fondos de pensión'!S19</f>
        <v>0</v>
      </c>
      <c r="N17" s="10">
        <f>SUM(L17:M17)</f>
        <v>0</v>
      </c>
      <c r="O17" s="10">
        <f>K17+N17</f>
        <v>125200</v>
      </c>
      <c r="P17" s="10">
        <f>$J$1*12*(1+$D$3)^(D17-1)*IF(D17&gt;$G$7,$J$2,1)</f>
        <v>69333</v>
      </c>
      <c r="Q17" s="10">
        <f>SUMPRODUCT(($M$5:$V$5&lt;=B17)*($M$5:$V$5+$M$6:$V$6&gt;B17)*$M$7:$V$7)*(1+$D$3)^(D17-1)</f>
        <v>0</v>
      </c>
      <c r="R17" s="10">
        <f>IF(D17&lt;=$J$5,$J$4*12,0)+IF(D17&lt;=$J$7,$J$6*12,0)</f>
        <v>15000</v>
      </c>
      <c r="S17" s="10">
        <f>SUM(P17:R17)</f>
        <v>84333</v>
      </c>
      <c r="T17" s="10">
        <f>$J$3*(1+$D$3)^(D17-1)</f>
        <v>6000</v>
      </c>
      <c r="U17" s="10">
        <f>S17+T17</f>
        <v>90333</v>
      </c>
      <c r="V17" s="10">
        <f>O17-U17</f>
        <v>34867</v>
      </c>
      <c r="W17" s="10">
        <f>MAX(0,V17)</f>
        <v>34867</v>
      </c>
      <c r="X17" s="10">
        <f>W17</f>
        <v>34867</v>
      </c>
      <c r="Y17" s="10">
        <f>SUMPRODUCT(($M$3:$V$3=B17)*($M$14:$V$14=1)*$M$4:$V$4)*(1+$D$3)^(D17-1)</f>
        <v>0</v>
      </c>
      <c r="Z17" s="10">
        <f>SUMPRODUCT(($M$3:$V$3=B17)*($M$14:$V$14=2)*$M$4:$V$4)*(1+$D$3)^(D17-1)</f>
        <v>0</v>
      </c>
      <c r="AA17" s="10">
        <f>SUMPRODUCT(($M$3:$V$3=B17)*($M$14:$V$14=3)*$M$4:$V$4)*(1+$D$3)^(D17-1)</f>
        <v>0</v>
      </c>
      <c r="AB17" s="10">
        <f>SUM(Y17:AA17)</f>
        <v>0</v>
      </c>
      <c r="AC17" s="10">
        <f>MIN(0,V17)</f>
        <v>0</v>
      </c>
      <c r="AD17" s="10">
        <f>-SUMIF($M$10:$V$10,B17,$M$11:$V$11)*(1+$D$3)^(D17-1)</f>
        <v>0</v>
      </c>
      <c r="AE17" s="10">
        <f>IF(B17=$M$12,-$M$13*(1+$D$3)^(D17-1),0)</f>
        <v>0</v>
      </c>
      <c r="AF17" s="10">
        <f>SUM(AC17:AE17)</f>
        <v>0</v>
      </c>
      <c r="AG17" s="10">
        <v>300000.5</v>
      </c>
      <c r="AH17" s="10">
        <f>AG17*$D$7</f>
        <v>22500</v>
      </c>
      <c r="AI17" s="10">
        <f>MAX(0,-(AG17+AH17+X17+AB17+AF17))</f>
        <v>0</v>
      </c>
      <c r="AJ17" s="10">
        <f>AG17+AH17+X17+AB17+AF17+AI17</f>
        <v>357367</v>
      </c>
      <c r="AK17" s="10">
        <f>AJ17/(1+$D$3)^D17</f>
        <v>343953</v>
      </c>
      <c r="AL17" s="4">
        <f>IF(AG17&lt;=0,0,-AF17/AG17)</f>
        <v>0</v>
      </c>
    </row>
    <row r="18">
      <c r="B18" s="9">
        <f>B17+1</f>
        <v>2027</v>
      </c>
      <c r="C18" s="9">
        <f>C17+1</f>
        <v>46</v>
      </c>
      <c r="D18" s="9">
        <f>D17+1</f>
        <v>2</v>
      </c>
      <c r="E18" t="str">
        <f>IF(D18&lt;=$G$7,"Acumulación","Retiro")</f>
        <v>Acumulación</v>
      </c>
      <c r="F18" s="10">
        <f>IF(D18&lt;=$G$8,$G$1*12*(1+$D$3)^(D18-1),0)</f>
        <v>116368</v>
      </c>
      <c r="G18" s="10">
        <f>IF(AND($G$2&gt;0,D18&gt;=$G$3),$G$2*12*(1+$D$3)^(D18-1),0)</f>
        <v>0</v>
      </c>
      <c r="H18" s="10">
        <f>SUMPRODUCT(($M$9:$V$9&gt;=B18)*$M$8:$V$8)*12*(1+$D$3)^(D18-1)</f>
        <v>13715</v>
      </c>
      <c r="I18" s="10">
        <f>IF(AND($G$4&gt;0,D18&gt;=$G$6),$G$4*12*(1+$D$3)^($G$6-1)*(1+$D$4)^(D18-$G$6),0)</f>
        <v>0</v>
      </c>
      <c r="J18" s="10">
        <f>'Fondos de pensión'!T20</f>
        <v>0</v>
      </c>
      <c r="K18" s="10">
        <f>SUM(F18:J18)</f>
        <v>130083</v>
      </c>
      <c r="L18" s="10">
        <f>SUMIF($M$1:$V$1,B18,$M$2:$V$2)*(1+$D$3)^(D18-1)</f>
        <v>0</v>
      </c>
      <c r="M18" s="10">
        <f>'Fondos de pensión'!S20</f>
        <v>0</v>
      </c>
      <c r="N18" s="10">
        <f>SUM(L18:M18)</f>
        <v>0</v>
      </c>
      <c r="O18" s="10">
        <f>K18+N18</f>
        <v>130083</v>
      </c>
      <c r="P18" s="10">
        <f>$J$1*12*(1+$D$3)^(D18-1)*IF(D18&gt;$G$7,$J$2,1)</f>
        <v>72037</v>
      </c>
      <c r="Q18" s="10">
        <f>SUMPRODUCT(($M$5:$V$5&lt;=B18)*($M$5:$V$5+$M$6:$V$6&gt;B18)*$M$7:$V$7)*(1+$D$3)^(D18-1)</f>
        <v>0</v>
      </c>
      <c r="R18" s="10">
        <f>IF(D18&lt;=$J$5,$J$4*12,0)+IF(D18&lt;=$J$7,$J$6*12,0)</f>
        <v>15000</v>
      </c>
      <c r="S18" s="10">
        <f>SUM(P18:R18)</f>
        <v>87037</v>
      </c>
      <c r="T18" s="10">
        <f>$J$3*(1+$D$3)^(D18-1)</f>
        <v>6234</v>
      </c>
      <c r="U18" s="10">
        <f>S18+T18</f>
        <v>93271</v>
      </c>
      <c r="V18" s="10">
        <f>O18-U18</f>
        <v>36811</v>
      </c>
      <c r="W18" s="10">
        <f>MAX(0,V18)</f>
        <v>36811</v>
      </c>
      <c r="X18" s="10">
        <f>W18</f>
        <v>36811</v>
      </c>
      <c r="Y18" s="10">
        <f>SUMPRODUCT(($M$3:$V$3=B18)*($M$14:$V$14=1)*$M$4:$V$4)*(1+$D$3)^(D18-1)</f>
        <v>0</v>
      </c>
      <c r="Z18" s="10">
        <f>SUMPRODUCT(($M$3:$V$3=B18)*($M$14:$V$14=2)*$M$4:$V$4)*(1+$D$3)^(D18-1)</f>
        <v>0</v>
      </c>
      <c r="AA18" s="10">
        <f>SUMPRODUCT(($M$3:$V$3=B18)*($M$14:$V$14=3)*$M$4:$V$4)*(1+$D$3)^(D18-1)</f>
        <v>0</v>
      </c>
      <c r="AB18" s="10">
        <f>SUM(Y18:AA18)</f>
        <v>0</v>
      </c>
      <c r="AC18" s="10">
        <f>MIN(0,V18)</f>
        <v>0</v>
      </c>
      <c r="AD18" s="10">
        <f>-SUMIF($M$10:$V$10,B18,$M$11:$V$11)*(1+$D$3)^(D18-1)</f>
        <v>0</v>
      </c>
      <c r="AE18" s="10">
        <f>IF(B18=$M$12,-$M$13*(1+$D$3)^(D18-1),0)</f>
        <v>0</v>
      </c>
      <c r="AF18" s="10">
        <f>SUM(AC18:AE18)</f>
        <v>0</v>
      </c>
      <c r="AG18" s="10">
        <f>AJ17</f>
        <v>357367</v>
      </c>
      <c r="AH18" s="10">
        <f>AG18*$D$7</f>
        <v>26803</v>
      </c>
      <c r="AI18" s="10">
        <f>MAX(0,-(AG18+AH18+X18+AB18+AF18))</f>
        <v>0</v>
      </c>
      <c r="AJ18" s="10">
        <f>AG18+AH18+X18+AB18+AF18+AI18</f>
        <v>420981</v>
      </c>
      <c r="AK18" s="10">
        <f>AJ18/(1+$D$3)^D18</f>
        <v>389970</v>
      </c>
      <c r="AL18" s="4">
        <f>IF(AG18&lt;=0,0,-AF18/AG18)</f>
        <v>0</v>
      </c>
    </row>
    <row r="19">
      <c r="B19" s="9">
        <f>B18+1</f>
        <v>2028</v>
      </c>
      <c r="C19" s="9">
        <f>C18+1</f>
        <v>47</v>
      </c>
      <c r="D19" s="9">
        <f>D18+1</f>
        <v>3</v>
      </c>
      <c r="E19" t="str">
        <f>IF(D19&lt;=$G$7,"Acumulación","Retiro")</f>
        <v>Acumulación</v>
      </c>
      <c r="F19" s="10">
        <f>IF(D19&lt;=$G$8,$G$1*12*(1+$D$3)^(D19-1),0)</f>
        <v>120906</v>
      </c>
      <c r="G19" s="10">
        <f>IF(AND($G$2&gt;0,D19&gt;=$G$3),$G$2*12*(1+$D$3)^(D19-1),0)</f>
        <v>0</v>
      </c>
      <c r="H19" s="10">
        <f>SUMPRODUCT(($M$9:$V$9&gt;=B19)*$M$8:$V$8)*12*(1+$D$3)^(D19-1)</f>
        <v>14250</v>
      </c>
      <c r="I19" s="10">
        <f>IF(AND($G$4&gt;0,D19&gt;=$G$6),$G$4*12*(1+$D$3)^($G$6-1)*(1+$D$4)^(D19-$G$6),0)</f>
        <v>0</v>
      </c>
      <c r="J19" s="10">
        <f>'Fondos de pensión'!T21</f>
        <v>0</v>
      </c>
      <c r="K19" s="10">
        <f>SUM(F19:J19)</f>
        <v>135156</v>
      </c>
      <c r="L19" s="10">
        <f>SUMIF($M$1:$V$1,B19,$M$2:$V$2)*(1+$D$3)^(D19-1)</f>
        <v>86362</v>
      </c>
      <c r="M19" s="10">
        <f>'Fondos de pensión'!S21</f>
        <v>14815</v>
      </c>
      <c r="N19" s="10">
        <f>SUM(L19:M19)</f>
        <v>101177</v>
      </c>
      <c r="O19" s="10">
        <f>K19+N19</f>
        <v>236333</v>
      </c>
      <c r="P19" s="10">
        <f>$J$1*12*(1+$D$3)^(D19-1)*IF(D19&gt;$G$7,$J$2,1)</f>
        <v>74847</v>
      </c>
      <c r="Q19" s="10">
        <f>SUMPRODUCT(($M$5:$V$5&lt;=B19)*($M$5:$V$5+$M$6:$V$6&gt;B19)*$M$7:$V$7)*(1+$D$3)^(D19-1)</f>
        <v>0</v>
      </c>
      <c r="R19" s="10">
        <f>IF(D19&lt;=$J$5,$J$4*12,0)+IF(D19&lt;=$J$7,$J$6*12,0)</f>
        <v>15000</v>
      </c>
      <c r="S19" s="10">
        <f>SUM(P19:R19)</f>
        <v>89847</v>
      </c>
      <c r="T19" s="10">
        <f>$J$3*(1+$D$3)^(D19-1)</f>
        <v>6477</v>
      </c>
      <c r="U19" s="10">
        <f>S19+T19</f>
        <v>96324</v>
      </c>
      <c r="V19" s="10">
        <f>O19-U19</f>
        <v>140009</v>
      </c>
      <c r="W19" s="10">
        <f>MAX(0,V19)</f>
        <v>140009</v>
      </c>
      <c r="X19" s="10">
        <f>W19</f>
        <v>140009</v>
      </c>
      <c r="Y19" s="10">
        <f>SUMPRODUCT(($M$3:$V$3=B19)*($M$14:$V$14=1)*$M$4:$V$4)*(1+$D$3)^(D19-1)</f>
        <v>0</v>
      </c>
      <c r="Z19" s="10">
        <f>SUMPRODUCT(($M$3:$V$3=B19)*($M$14:$V$14=2)*$M$4:$V$4)*(1+$D$3)^(D19-1)</f>
        <v>0</v>
      </c>
      <c r="AA19" s="10">
        <f>SUMPRODUCT(($M$3:$V$3=B19)*($M$14:$V$14=3)*$M$4:$V$4)*(1+$D$3)^(D19-1)</f>
        <v>0</v>
      </c>
      <c r="AB19" s="10">
        <f>SUM(Y19:AA19)</f>
        <v>0</v>
      </c>
      <c r="AC19" s="10">
        <f>MIN(0,V19)</f>
        <v>0</v>
      </c>
      <c r="AD19" s="10">
        <f>-SUMIF($M$10:$V$10,B19,$M$11:$V$11)*(1+$D$3)^(D19-1)</f>
        <v>0</v>
      </c>
      <c r="AE19" s="10">
        <f>IF(B19=$M$12,-$M$13*(1+$D$3)^(D19-1),0)</f>
        <v>0</v>
      </c>
      <c r="AF19" s="10">
        <f>SUM(AC19:AE19)</f>
        <v>0</v>
      </c>
      <c r="AG19" s="10">
        <f>AJ18</f>
        <v>420981</v>
      </c>
      <c r="AH19" s="10">
        <f>AG19*$D$7</f>
        <v>31574</v>
      </c>
      <c r="AI19" s="10">
        <f>MAX(0,-(AG19+AH19+X19+AB19+AF19))</f>
        <v>0</v>
      </c>
      <c r="AJ19" s="10">
        <f>AG19+AH19+X19+AB19+AF19+AI19</f>
        <v>592564</v>
      </c>
      <c r="AK19" s="10">
        <f>AJ19/(1+$D$3)^D19</f>
        <v>528309</v>
      </c>
      <c r="AL19" s="4">
        <f>IF(AG19&lt;=0,0,-AF19/AG19)</f>
        <v>0</v>
      </c>
    </row>
    <row r="20">
      <c r="B20" s="9">
        <f>B19+1</f>
        <v>2029</v>
      </c>
      <c r="C20" s="9">
        <f>C19+1</f>
        <v>48</v>
      </c>
      <c r="D20" s="9">
        <f>D19+1</f>
        <v>4</v>
      </c>
      <c r="E20" t="str">
        <f>IF(D20&lt;=$G$7,"Acumulación","Retiro")</f>
        <v>Acumulación</v>
      </c>
      <c r="F20" s="10">
        <f>IF(D20&lt;=$G$8,$G$1*12*(1+$D$3)^(D20-1),0)</f>
        <v>125622</v>
      </c>
      <c r="G20" s="10">
        <f>IF(AND($G$2&gt;0,D20&gt;=$G$3),$G$2*12*(1+$D$3)^(D20-1),0)</f>
        <v>0</v>
      </c>
      <c r="H20" s="10">
        <f>SUMPRODUCT(($M$9:$V$9&gt;=B20)*$M$8:$V$8)*12*(1+$D$3)^(D20-1)</f>
        <v>14805</v>
      </c>
      <c r="I20" s="10">
        <f>IF(AND($G$4&gt;0,D20&gt;=$G$6),$G$4*12*(1+$D$3)^($G$6-1)*(1+$D$4)^(D20-$G$6),0)</f>
        <v>0</v>
      </c>
      <c r="J20" s="10">
        <f>'Fondos de pensión'!T22</f>
        <v>0</v>
      </c>
      <c r="K20" s="10">
        <f>SUM(F20:J20)</f>
        <v>140427</v>
      </c>
      <c r="L20" s="10">
        <f>SUMIF($M$1:$V$1,B20,$M$2:$V$2)*(1+$D$3)^(D20-1)</f>
        <v>0</v>
      </c>
      <c r="M20" s="10">
        <f>'Fondos de pensión'!S22</f>
        <v>0</v>
      </c>
      <c r="N20" s="10">
        <f>SUM(L20:M20)</f>
        <v>0</v>
      </c>
      <c r="O20" s="10">
        <f>K20+N20</f>
        <v>140427</v>
      </c>
      <c r="P20" s="10">
        <f>$J$1*12*(1+$D$3)^(D20-1)*IF(D20&gt;$G$7,$J$2,1)</f>
        <v>77766</v>
      </c>
      <c r="Q20" s="10">
        <f>SUMPRODUCT(($M$5:$V$5&lt;=B20)*($M$5:$V$5+$M$6:$V$6&gt;B20)*$M$7:$V$7)*(1+$D$3)^(D20-1)</f>
        <v>13459</v>
      </c>
      <c r="R20" s="10">
        <f>IF(D20&lt;=$J$5,$J$4*12,0)+IF(D20&lt;=$J$7,$J$6*12,0)</f>
        <v>15000</v>
      </c>
      <c r="S20" s="10">
        <f>SUM(P20:R20)</f>
        <v>106225</v>
      </c>
      <c r="T20" s="10">
        <f>$J$3*(1+$D$3)^(D20-1)</f>
        <v>6730</v>
      </c>
      <c r="U20" s="10">
        <f>S20+T20</f>
        <v>112955</v>
      </c>
      <c r="V20" s="10">
        <f>O20-U20</f>
        <v>27472</v>
      </c>
      <c r="W20" s="10">
        <f>MAX(0,V20)</f>
        <v>27472</v>
      </c>
      <c r="X20" s="10">
        <f>W20</f>
        <v>27472</v>
      </c>
      <c r="Y20" s="10">
        <f>SUMPRODUCT(($M$3:$V$3=B20)*($M$14:$V$14=1)*$M$4:$V$4)*(1+$D$3)^(D20-1)</f>
        <v>0</v>
      </c>
      <c r="Z20" s="10">
        <f>SUMPRODUCT(($M$3:$V$3=B20)*($M$14:$V$14=2)*$M$4:$V$4)*(1+$D$3)^(D20-1)</f>
        <v>0</v>
      </c>
      <c r="AA20" s="10">
        <f>SUMPRODUCT(($M$3:$V$3=B20)*($M$14:$V$14=3)*$M$4:$V$4)*(1+$D$3)^(D20-1)</f>
        <v>0</v>
      </c>
      <c r="AB20" s="10">
        <f>SUM(Y20:AA20)</f>
        <v>0</v>
      </c>
      <c r="AC20" s="10">
        <f>MIN(0,V20)</f>
        <v>0</v>
      </c>
      <c r="AD20" s="10">
        <f>-SUMIF($M$10:$V$10,B20,$M$11:$V$11)*(1+$D$3)^(D20-1)</f>
        <v>-44865</v>
      </c>
      <c r="AE20" s="10">
        <f>IF(B20=$M$12,-$M$13*(1+$D$3)^(D20-1),0)</f>
        <v>0</v>
      </c>
      <c r="AF20" s="10">
        <f>SUM(AC20:AE20)</f>
        <v>-44865</v>
      </c>
      <c r="AG20" s="10">
        <f>AJ19</f>
        <v>592564</v>
      </c>
      <c r="AH20" s="10">
        <f>AG20*$D$7</f>
        <v>44442</v>
      </c>
      <c r="AI20" s="10">
        <f>MAX(0,-(AG20+AH20+X20+AB20+AF20))</f>
        <v>0</v>
      </c>
      <c r="AJ20" s="10">
        <f>AG20+AH20+X20+AB20+AF20+AI20</f>
        <v>619613</v>
      </c>
      <c r="AK20" s="10">
        <f>AJ20/(1+$D$3)^D20</f>
        <v>531690</v>
      </c>
      <c r="AL20" s="4">
        <f>IF(AG20&lt;=0,0,-AF20/AG20)</f>
        <v>0.07571321743192697</v>
      </c>
    </row>
    <row r="21">
      <c r="B21" s="9">
        <f>B20+1</f>
        <v>2030</v>
      </c>
      <c r="C21" s="9">
        <f>C20+1</f>
        <v>49</v>
      </c>
      <c r="D21" s="9">
        <f>D20+1</f>
        <v>5</v>
      </c>
      <c r="E21" t="str">
        <f>IF(D21&lt;=$G$7,"Acumulación","Retiro")</f>
        <v>Acumulación</v>
      </c>
      <c r="F21" s="10">
        <f>IF(D21&lt;=$G$8,$G$1*12*(1+$D$3)^(D21-1),0)</f>
        <v>130521</v>
      </c>
      <c r="G21" s="10">
        <f>IF(AND($G$2&gt;0,D21&gt;=$G$3),$G$2*12*(1+$D$3)^(D21-1),0)</f>
        <v>12431</v>
      </c>
      <c r="H21" s="10">
        <f>SUMPRODUCT(($M$9:$V$9&gt;=B21)*$M$8:$V$8)*12*(1+$D$3)^(D21-1)</f>
        <v>15383</v>
      </c>
      <c r="I21" s="10">
        <f>IF(AND($G$4&gt;0,D21&gt;=$G$6),$G$4*12*(1+$D$3)^($G$6-1)*(1+$D$4)^(D21-$G$6),0)</f>
        <v>0</v>
      </c>
      <c r="J21" s="10">
        <f>'Fondos de pensión'!T23</f>
        <v>0</v>
      </c>
      <c r="K21" s="10">
        <f>SUM(F21:J21)</f>
        <v>158334</v>
      </c>
      <c r="L21" s="10">
        <f>SUMIF($M$1:$V$1,B21,$M$2:$V$2)*(1+$D$3)^(D21-1)</f>
        <v>0</v>
      </c>
      <c r="M21" s="10">
        <f>'Fondos de pensión'!S23</f>
        <v>0</v>
      </c>
      <c r="N21" s="10">
        <f>SUM(L21:M21)</f>
        <v>0</v>
      </c>
      <c r="O21" s="10">
        <f>K21+N21</f>
        <v>158334</v>
      </c>
      <c r="P21" s="10">
        <f>$J$1*12*(1+$D$3)^(D21-1)*IF(D21&gt;$G$7,$J$2,1)</f>
        <v>80799</v>
      </c>
      <c r="Q21" s="10">
        <f>SUMPRODUCT(($M$5:$V$5&lt;=B21)*($M$5:$V$5+$M$6:$V$6&gt;B21)*$M$7:$V$7)*(1+$D$3)^(D21-1)</f>
        <v>31465</v>
      </c>
      <c r="R21" s="10">
        <f>IF(D21&lt;=$J$5,$J$4*12,0)+IF(D21&lt;=$J$7,$J$6*12,0)</f>
        <v>11400</v>
      </c>
      <c r="S21" s="10">
        <f>SUM(P21:R21)</f>
        <v>123664</v>
      </c>
      <c r="T21" s="10">
        <f>$J$3*(1+$D$3)^(D21-1)</f>
        <v>6992</v>
      </c>
      <c r="U21" s="10">
        <f>S21+T21</f>
        <v>130656</v>
      </c>
      <c r="V21" s="10">
        <f>O21-U21</f>
        <v>27679</v>
      </c>
      <c r="W21" s="10">
        <f>MAX(0,V21)</f>
        <v>27679</v>
      </c>
      <c r="X21" s="10">
        <f>W21</f>
        <v>27679</v>
      </c>
      <c r="Y21" s="10">
        <f>SUMPRODUCT(($M$3:$V$3=B21)*($M$14:$V$14=1)*$M$4:$V$4)*(1+$D$3)^(D21-1)</f>
        <v>0</v>
      </c>
      <c r="Z21" s="10">
        <f>SUMPRODUCT(($M$3:$V$3=B21)*($M$14:$V$14=2)*$M$4:$V$4)*(1+$D$3)^(D21-1)</f>
        <v>0</v>
      </c>
      <c r="AA21" s="10">
        <f>SUMPRODUCT(($M$3:$V$3=B21)*($M$14:$V$14=3)*$M$4:$V$4)*(1+$D$3)^(D21-1)</f>
        <v>0</v>
      </c>
      <c r="AB21" s="10">
        <f>SUM(Y21:AA21)</f>
        <v>0</v>
      </c>
      <c r="AC21" s="10">
        <f>MIN(0,V21)</f>
        <v>0</v>
      </c>
      <c r="AD21" s="10">
        <f>-SUMIF($M$10:$V$10,B21,$M$11:$V$11)*(1+$D$3)^(D21-1)</f>
        <v>0</v>
      </c>
      <c r="AE21" s="10">
        <f>IF(B21=$M$12,-$M$13*(1+$D$3)^(D21-1),0)</f>
        <v>0</v>
      </c>
      <c r="AF21" s="10">
        <f>SUM(AC21:AE21)</f>
        <v>0</v>
      </c>
      <c r="AG21" s="10">
        <f>AJ20</f>
        <v>619613</v>
      </c>
      <c r="AH21" s="10">
        <f>AG21*$D$7</f>
        <v>46471</v>
      </c>
      <c r="AI21" s="10">
        <f>MAX(0,-(AG21+AH21+X21+AB21+AF21))</f>
        <v>0</v>
      </c>
      <c r="AJ21" s="10">
        <f>AG21+AH21+X21+AB21+AF21+AI21</f>
        <v>693763</v>
      </c>
      <c r="AK21" s="10">
        <f>AJ21/(1+$D$3)^D21</f>
        <v>572972</v>
      </c>
      <c r="AL21" s="4">
        <f>IF(AG21&lt;=0,0,-AF21/AG21)</f>
        <v>0</v>
      </c>
    </row>
    <row r="22">
      <c r="B22" s="9">
        <f>B21+1</f>
        <v>2031</v>
      </c>
      <c r="C22" s="9">
        <f>C21+1</f>
        <v>50</v>
      </c>
      <c r="D22" s="9">
        <f>D21+1</f>
        <v>6</v>
      </c>
      <c r="E22" t="str">
        <f>IF(D22&lt;=$G$7,"Acumulación","Retiro")</f>
        <v>Acumulación</v>
      </c>
      <c r="F22" s="10">
        <f>IF(D22&lt;=$G$8,$G$1*12*(1+$D$3)^(D22-1),0)</f>
        <v>135611</v>
      </c>
      <c r="G22" s="10">
        <f>IF(AND($G$2&gt;0,D22&gt;=$G$3),$G$2*12*(1+$D$3)^(D22-1),0)</f>
        <v>12915</v>
      </c>
      <c r="H22" s="10">
        <f>SUMPRODUCT(($M$9:$V$9&gt;=B22)*$M$8:$V$8)*12*(1+$D$3)^(D22-1)</f>
        <v>15983</v>
      </c>
      <c r="I22" s="10">
        <f>IF(AND($G$4&gt;0,D22&gt;=$G$6),$G$4*12*(1+$D$3)^($G$6-1)*(1+$D$4)^(D22-$G$6),0)</f>
        <v>0</v>
      </c>
      <c r="J22" s="10">
        <f>'Fondos de pensión'!T24</f>
        <v>0</v>
      </c>
      <c r="K22" s="10">
        <f>SUM(F22:J22)</f>
        <v>164509</v>
      </c>
      <c r="L22" s="10">
        <f>SUMIF($M$1:$V$1,B22,$M$2:$V$2)*(1+$D$3)^(D22-1)</f>
        <v>0</v>
      </c>
      <c r="M22" s="10">
        <f>'Fondos de pensión'!S24</f>
        <v>0</v>
      </c>
      <c r="N22" s="10">
        <f>SUM(L22:M22)</f>
        <v>0</v>
      </c>
      <c r="O22" s="10">
        <f>K22+N22</f>
        <v>164509</v>
      </c>
      <c r="P22" s="10">
        <f>$J$1*12*(1+$D$3)^(D22-1)*IF(D22&gt;$G$7,$J$2,1)</f>
        <v>83950</v>
      </c>
      <c r="Q22" s="10">
        <f>SUMPRODUCT(($M$5:$V$5&lt;=B22)*($M$5:$V$5+$M$6:$V$6&gt;B22)*$M$7:$V$7)*(1+$D$3)^(D22-1)</f>
        <v>14530</v>
      </c>
      <c r="R22" s="10">
        <f>IF(D22&lt;=$J$5,$J$4*12,0)+IF(D22&lt;=$J$7,$J$6*12,0)</f>
        <v>11400</v>
      </c>
      <c r="S22" s="10">
        <f>SUM(P22:R22)</f>
        <v>109880</v>
      </c>
      <c r="T22" s="10">
        <f>$J$3*(1+$D$3)^(D22-1)</f>
        <v>7265</v>
      </c>
      <c r="U22" s="10">
        <f>S22+T22</f>
        <v>117144</v>
      </c>
      <c r="V22" s="10">
        <f>O22-U22</f>
        <v>47365</v>
      </c>
      <c r="W22" s="10">
        <f>MAX(0,V22)</f>
        <v>47365</v>
      </c>
      <c r="X22" s="10">
        <f>W22</f>
        <v>47365</v>
      </c>
      <c r="Y22" s="10">
        <f>SUMPRODUCT(($M$3:$V$3=B22)*($M$14:$V$14=1)*$M$4:$V$4)*(1+$D$3)^(D22-1)</f>
        <v>0</v>
      </c>
      <c r="Z22" s="10">
        <f>SUMPRODUCT(($M$3:$V$3=B22)*($M$14:$V$14=2)*$M$4:$V$4)*(1+$D$3)^(D22-1)</f>
        <v>0</v>
      </c>
      <c r="AA22" s="10">
        <f>SUMPRODUCT(($M$3:$V$3=B22)*($M$14:$V$14=3)*$M$4:$V$4)*(1+$D$3)^(D22-1)</f>
        <v>0</v>
      </c>
      <c r="AB22" s="10">
        <f>SUM(Y22:AA22)</f>
        <v>0</v>
      </c>
      <c r="AC22" s="10">
        <f>MIN(0,V22)</f>
        <v>0</v>
      </c>
      <c r="AD22" s="10">
        <f>-SUMIF($M$10:$V$10,B22,$M$11:$V$11)*(1+$D$3)^(D22-1)</f>
        <v>0</v>
      </c>
      <c r="AE22" s="10">
        <f>IF(B22=$M$12,-$M$13*(1+$D$3)^(D22-1),0)</f>
        <v>0</v>
      </c>
      <c r="AF22" s="10">
        <f>SUM(AC22:AE22)</f>
        <v>0</v>
      </c>
      <c r="AG22" s="10">
        <f>AJ21</f>
        <v>693763</v>
      </c>
      <c r="AH22" s="10">
        <f>AG22*$D$7</f>
        <v>52032</v>
      </c>
      <c r="AI22" s="10">
        <f>MAX(0,-(AG22+AH22+X22+AB22+AF22))</f>
        <v>0</v>
      </c>
      <c r="AJ22" s="10">
        <f>AG22+AH22+X22+AB22+AF22+AI22</f>
        <v>793160</v>
      </c>
      <c r="AK22" s="10">
        <f>AJ22/(1+$D$3)^D22</f>
        <v>630474</v>
      </c>
      <c r="AL22" s="4">
        <f>IF(AG22&lt;=0,0,-AF22/AG22)</f>
        <v>0</v>
      </c>
    </row>
    <row r="23">
      <c r="B23" s="9">
        <f>B22+1</f>
        <v>2032</v>
      </c>
      <c r="C23" s="9">
        <f>C22+1</f>
        <v>51</v>
      </c>
      <c r="D23" s="9">
        <f>D22+1</f>
        <v>7</v>
      </c>
      <c r="E23" t="str">
        <f>IF(D23&lt;=$G$7,"Acumulación","Retiro")</f>
        <v>Acumulación</v>
      </c>
      <c r="F23" s="10">
        <f>IF(D23&lt;=$G$8,$G$1*12*(1+$D$3)^(D23-1),0)</f>
        <v>140900</v>
      </c>
      <c r="G23" s="10">
        <f>IF(AND($G$2&gt;0,D23&gt;=$G$3),$G$2*12*(1+$D$3)^(D23-1),0)</f>
        <v>13419</v>
      </c>
      <c r="H23" s="10">
        <f>SUMPRODUCT(($M$9:$V$9&gt;=B23)*$M$8:$V$8)*12*(1+$D$3)^(D23-1)</f>
        <v>16606</v>
      </c>
      <c r="I23" s="10">
        <f>IF(AND($G$4&gt;0,D23&gt;=$G$6),$G$4*12*(1+$D$3)^($G$6-1)*(1+$D$4)^(D23-$G$6),0)</f>
        <v>0</v>
      </c>
      <c r="J23" s="10">
        <f>'Fondos de pensión'!T25</f>
        <v>0</v>
      </c>
      <c r="K23" s="10">
        <f>SUM(F23:J23)</f>
        <v>170925</v>
      </c>
      <c r="L23" s="10">
        <f>SUMIF($M$1:$V$1,B23,$M$2:$V$2)*(1+$D$3)^(D23-1)</f>
        <v>0</v>
      </c>
      <c r="M23" s="10">
        <f>'Fondos de pensión'!S25</f>
        <v>0</v>
      </c>
      <c r="N23" s="10">
        <f>SUM(L23:M23)</f>
        <v>0</v>
      </c>
      <c r="O23" s="10">
        <f>K23+N23</f>
        <v>170925</v>
      </c>
      <c r="P23" s="10">
        <f>$J$1*12*(1+$D$3)^(D23-1)*IF(D23&gt;$G$7,$J$2,1)</f>
        <v>87224</v>
      </c>
      <c r="Q23" s="10">
        <f>SUMPRODUCT(($M$5:$V$5&lt;=B23)*($M$5:$V$5+$M$6:$V$6&gt;B23)*$M$7:$V$7)*(1+$D$3)^(D23-1)</f>
        <v>15096</v>
      </c>
      <c r="R23" s="10">
        <f>IF(D23&lt;=$J$5,$J$4*12,0)+IF(D23&lt;=$J$7,$J$6*12,0)</f>
        <v>11400</v>
      </c>
      <c r="S23" s="10">
        <f>SUM(P23:R23)</f>
        <v>113720</v>
      </c>
      <c r="T23" s="10">
        <f>$J$3*(1+$D$3)^(D23-1)</f>
        <v>7548</v>
      </c>
      <c r="U23" s="10">
        <f>S23+T23</f>
        <v>121269</v>
      </c>
      <c r="V23" s="10">
        <f>O23-U23</f>
        <v>49657</v>
      </c>
      <c r="W23" s="10">
        <f>MAX(0,V23)</f>
        <v>49657</v>
      </c>
      <c r="X23" s="10">
        <f>W23</f>
        <v>49657</v>
      </c>
      <c r="Y23" s="10">
        <f>SUMPRODUCT(($M$3:$V$3=B23)*($M$14:$V$14=1)*$M$4:$V$4)*(1+$D$3)^(D23-1)</f>
        <v>0</v>
      </c>
      <c r="Z23" s="10">
        <f>SUMPRODUCT(($M$3:$V$3=B23)*($M$14:$V$14=2)*$M$4:$V$4)*(1+$D$3)^(D23-1)</f>
        <v>0</v>
      </c>
      <c r="AA23" s="10">
        <f>SUMPRODUCT(($M$3:$V$3=B23)*($M$14:$V$14=3)*$M$4:$V$4)*(1+$D$3)^(D23-1)</f>
        <v>0</v>
      </c>
      <c r="AB23" s="10">
        <f>SUM(Y23:AA23)</f>
        <v>0</v>
      </c>
      <c r="AC23" s="10">
        <f>MIN(0,V23)</f>
        <v>0</v>
      </c>
      <c r="AD23" s="10">
        <f>-SUMIF($M$10:$V$10,B23,$M$11:$V$11)*(1+$D$3)^(D23-1)</f>
        <v>0</v>
      </c>
      <c r="AE23" s="10">
        <f>IF(B23=$M$12,-$M$13*(1+$D$3)^(D23-1),0)</f>
        <v>0</v>
      </c>
      <c r="AF23" s="10">
        <f>SUM(AC23:AE23)</f>
        <v>0</v>
      </c>
      <c r="AG23" s="10">
        <f>AJ22</f>
        <v>793160</v>
      </c>
      <c r="AH23" s="10">
        <f>AG23*$D$7</f>
        <v>59487</v>
      </c>
      <c r="AI23" s="10">
        <f>MAX(0,-(AG23+AH23+X23+AB23+AF23))</f>
        <v>0</v>
      </c>
      <c r="AJ23" s="10">
        <f>AG23+AH23+X23+AB23+AF23+AI23</f>
        <v>902303</v>
      </c>
      <c r="AK23" s="10">
        <f>AJ23/(1+$D$3)^D23</f>
        <v>690309</v>
      </c>
      <c r="AL23" s="4">
        <f>IF(AG23&lt;=0,0,-AF23/AG23)</f>
        <v>0</v>
      </c>
    </row>
    <row r="24">
      <c r="B24" s="9">
        <f>B23+1</f>
        <v>2033</v>
      </c>
      <c r="C24" s="9">
        <f>C23+1</f>
        <v>52</v>
      </c>
      <c r="D24" s="9">
        <f>D23+1</f>
        <v>8</v>
      </c>
      <c r="E24" t="str">
        <f>IF(D24&lt;=$G$7,"Acumulación","Retiro")</f>
        <v>Acumulación</v>
      </c>
      <c r="F24" s="10">
        <f>IF(D24&lt;=$G$8,$G$1*12*(1+$D$3)^(D24-1),0)</f>
        <v>146395</v>
      </c>
      <c r="G24" s="10">
        <f>IF(AND($G$2&gt;0,D24&gt;=$G$3),$G$2*12*(1+$D$3)^(D24-1),0)</f>
        <v>13942</v>
      </c>
      <c r="H24" s="10">
        <f>SUMPRODUCT(($M$9:$V$9&gt;=B24)*$M$8:$V$8)*12*(1+$D$3)^(D24-1)</f>
        <v>17254</v>
      </c>
      <c r="I24" s="10">
        <f>IF(AND($G$4&gt;0,D24&gt;=$G$6),$G$4*12*(1+$D$3)^($G$6-1)*(1+$D$4)^(D24-$G$6),0)</f>
        <v>0</v>
      </c>
      <c r="J24" s="10">
        <f>'Fondos de pensión'!T26</f>
        <v>0</v>
      </c>
      <c r="K24" s="10">
        <f>SUM(F24:J24)</f>
        <v>177591</v>
      </c>
      <c r="L24" s="10">
        <f>SUMIF($M$1:$V$1,B24,$M$2:$V$2)*(1+$D$3)^(D24-1)</f>
        <v>0</v>
      </c>
      <c r="M24" s="10">
        <f>'Fondos de pensión'!S26</f>
        <v>11433</v>
      </c>
      <c r="N24" s="10">
        <f>SUM(L24:M24)</f>
        <v>11433</v>
      </c>
      <c r="O24" s="10">
        <f>K24+N24</f>
        <v>189024</v>
      </c>
      <c r="P24" s="10">
        <f>$J$1*12*(1+$D$3)^(D24-1)*IF(D24&gt;$G$7,$J$2,1)</f>
        <v>90626</v>
      </c>
      <c r="Q24" s="10">
        <f>SUMPRODUCT(($M$5:$V$5&lt;=B24)*($M$5:$V$5+$M$6:$V$6&gt;B24)*$M$7:$V$7)*(1+$D$3)^(D24-1)</f>
        <v>15685</v>
      </c>
      <c r="R24" s="10">
        <f>IF(D24&lt;=$J$5,$J$4*12,0)+IF(D24&lt;=$J$7,$J$6*12,0)</f>
        <v>11400</v>
      </c>
      <c r="S24" s="10">
        <f>SUM(P24:R24)</f>
        <v>117711</v>
      </c>
      <c r="T24" s="10">
        <f>$J$3*(1+$D$3)^(D24-1)</f>
        <v>7843</v>
      </c>
      <c r="U24" s="10">
        <f>S24+T24</f>
        <v>125553</v>
      </c>
      <c r="V24" s="10">
        <f>O24-U24</f>
        <v>63470</v>
      </c>
      <c r="W24" s="10">
        <f>MAX(0,V24)</f>
        <v>63470</v>
      </c>
      <c r="X24" s="10">
        <f>W24</f>
        <v>63470</v>
      </c>
      <c r="Y24" s="10">
        <f>SUMPRODUCT(($M$3:$V$3=B24)*($M$14:$V$14=1)*$M$4:$V$4)*(1+$D$3)^(D24-1)</f>
        <v>0</v>
      </c>
      <c r="Z24" s="10">
        <f>SUMPRODUCT(($M$3:$V$3=B24)*($M$14:$V$14=2)*$M$4:$V$4)*(1+$D$3)^(D24-1)</f>
        <v>0</v>
      </c>
      <c r="AA24" s="10">
        <f>SUMPRODUCT(($M$3:$V$3=B24)*($M$14:$V$14=3)*$M$4:$V$4)*(1+$D$3)^(D24-1)</f>
        <v>0</v>
      </c>
      <c r="AB24" s="10">
        <f>SUM(Y24:AA24)</f>
        <v>0</v>
      </c>
      <c r="AC24" s="10">
        <f>MIN(0,V24)</f>
        <v>0</v>
      </c>
      <c r="AD24" s="10">
        <f>-SUMIF($M$10:$V$10,B24,$M$11:$V$11)*(1+$D$3)^(D24-1)</f>
        <v>0</v>
      </c>
      <c r="AE24" s="10">
        <f>IF(B24=$M$12,-$M$13*(1+$D$3)^(D24-1),0)</f>
        <v>0</v>
      </c>
      <c r="AF24" s="10">
        <f>SUM(AC24:AE24)</f>
        <v>0</v>
      </c>
      <c r="AG24" s="10">
        <f>AJ23</f>
        <v>902303</v>
      </c>
      <c r="AH24" s="10">
        <f>AG24*$D$7</f>
        <v>67673</v>
      </c>
      <c r="AI24" s="10">
        <f>MAX(0,-(AG24+AH24+X24+AB24+AF24))</f>
        <v>0</v>
      </c>
      <c r="AJ24" s="10">
        <f>AG24+AH24+X24+AB24+AF24+AI24</f>
        <v>1033447</v>
      </c>
      <c r="AK24" s="10">
        <f>AJ24/(1+$D$3)^D24</f>
        <v>760963</v>
      </c>
      <c r="AL24" s="4">
        <f>IF(AG24&lt;=0,0,-AF24/AG24)</f>
        <v>0</v>
      </c>
    </row>
    <row r="25">
      <c r="B25" s="9">
        <f>B24+1</f>
        <v>2034</v>
      </c>
      <c r="C25" s="9">
        <f>C24+1</f>
        <v>53</v>
      </c>
      <c r="D25" s="9">
        <f>D24+1</f>
        <v>9</v>
      </c>
      <c r="E25" t="str">
        <f>IF(D25&lt;=$G$7,"Acumulación","Retiro")</f>
        <v>Acumulación</v>
      </c>
      <c r="F25" s="10">
        <f>IF(D25&lt;=$G$8,$G$1*12*(1+$D$3)^(D25-1),0)</f>
        <v>152105</v>
      </c>
      <c r="G25" s="10">
        <f>IF(AND($G$2&gt;0,D25&gt;=$G$3),$G$2*12*(1+$D$3)^(D25-1),0)</f>
        <v>14486</v>
      </c>
      <c r="H25" s="10">
        <f>SUMPRODUCT(($M$9:$V$9&gt;=B25)*$M$8:$V$8)*12*(1+$D$3)^(D25-1)</f>
        <v>17927</v>
      </c>
      <c r="I25" s="10">
        <f>IF(AND($G$4&gt;0,D25&gt;=$G$6),$G$4*12*(1+$D$3)^($G$6-1)*(1+$D$4)^(D25-$G$6),0)</f>
        <v>0</v>
      </c>
      <c r="J25" s="10">
        <f>'Fondos de pensión'!T27</f>
        <v>0</v>
      </c>
      <c r="K25" s="10">
        <f>SUM(F25:J25)</f>
        <v>184517</v>
      </c>
      <c r="L25" s="10">
        <f>SUMIF($M$1:$V$1,B25,$M$2:$V$2)*(1+$D$3)^(D25-1)</f>
        <v>0</v>
      </c>
      <c r="M25" s="10">
        <f>'Fondos de pensión'!S27</f>
        <v>0</v>
      </c>
      <c r="N25" s="10">
        <f>SUM(L25:M25)</f>
        <v>0</v>
      </c>
      <c r="O25" s="10">
        <f>K25+N25</f>
        <v>184517</v>
      </c>
      <c r="P25" s="10">
        <f>$J$1*12*(1+$D$3)^(D25-1)*IF(D25&gt;$G$7,$J$2,1)</f>
        <v>94160</v>
      </c>
      <c r="Q25" s="10">
        <f>SUMPRODUCT(($M$5:$V$5&lt;=B25)*($M$5:$V$5+$M$6:$V$6&gt;B25)*$M$7:$V$7)*(1+$D$3)^(D25-1)</f>
        <v>0</v>
      </c>
      <c r="R25" s="10">
        <f>IF(D25&lt;=$J$5,$J$4*12,0)+IF(D25&lt;=$J$7,$J$6*12,0)</f>
        <v>11400</v>
      </c>
      <c r="S25" s="10">
        <f>SUM(P25:R25)</f>
        <v>105560</v>
      </c>
      <c r="T25" s="10">
        <f>$J$3*(1+$D$3)^(D25-1)</f>
        <v>8148</v>
      </c>
      <c r="U25" s="10">
        <f>S25+T25</f>
        <v>113708</v>
      </c>
      <c r="V25" s="10">
        <f>O25-U25</f>
        <v>70809</v>
      </c>
      <c r="W25" s="10">
        <f>MAX(0,V25)</f>
        <v>70809</v>
      </c>
      <c r="X25" s="10">
        <f>W25</f>
        <v>70809</v>
      </c>
      <c r="Y25" s="10">
        <f>SUMPRODUCT(($M$3:$V$3=B25)*($M$14:$V$14=1)*$M$4:$V$4)*(1+$D$3)^(D25-1)</f>
        <v>0</v>
      </c>
      <c r="Z25" s="10">
        <f>SUMPRODUCT(($M$3:$V$3=B25)*($M$14:$V$14=2)*$M$4:$V$4)*(1+$D$3)^(D25-1)</f>
        <v>0</v>
      </c>
      <c r="AA25" s="10">
        <f>SUMPRODUCT(($M$3:$V$3=B25)*($M$14:$V$14=3)*$M$4:$V$4)*(1+$D$3)^(D25-1)</f>
        <v>0</v>
      </c>
      <c r="AB25" s="10">
        <f>SUM(Y25:AA25)</f>
        <v>0</v>
      </c>
      <c r="AC25" s="10">
        <f>MIN(0,V25)</f>
        <v>0</v>
      </c>
      <c r="AD25" s="10">
        <f>-SUMIF($M$10:$V$10,B25,$M$11:$V$11)*(1+$D$3)^(D25-1)</f>
        <v>0</v>
      </c>
      <c r="AE25" s="10">
        <f>IF(B25=$M$12,-$M$13*(1+$D$3)^(D25-1),0)</f>
        <v>0</v>
      </c>
      <c r="AF25" s="10">
        <f>SUM(AC25:AE25)</f>
        <v>0</v>
      </c>
      <c r="AG25" s="10">
        <f>AJ24</f>
        <v>1033447</v>
      </c>
      <c r="AH25" s="10">
        <f>AG25*$D$7</f>
        <v>77508</v>
      </c>
      <c r="AI25" s="10">
        <f>MAX(0,-(AG25+AH25+X25+AB25+AF25))</f>
        <v>0</v>
      </c>
      <c r="AJ25" s="10">
        <f>AG25+AH25+X25+AB25+AF25+AI25</f>
        <v>1181764</v>
      </c>
      <c r="AK25" s="10">
        <f>AJ25/(1+$D$3)^D25</f>
        <v>837512</v>
      </c>
      <c r="AL25" s="4">
        <f>IF(AG25&lt;=0,0,-AF25/AG25)</f>
        <v>0</v>
      </c>
    </row>
    <row r="26">
      <c r="B26" s="9">
        <f>B25+1</f>
        <v>2035</v>
      </c>
      <c r="C26" s="9">
        <f>C25+1</f>
        <v>54</v>
      </c>
      <c r="D26" s="9">
        <f>D25+1</f>
        <v>10</v>
      </c>
      <c r="E26" t="str">
        <f>IF(D26&lt;=$G$7,"Acumulación","Retiro")</f>
        <v>Acumulación</v>
      </c>
      <c r="F26" s="10">
        <f>IF(D26&lt;=$G$8,$G$1*12*(1+$D$3)^(D26-1),0)</f>
        <v>158037</v>
      </c>
      <c r="G26" s="10">
        <f>IF(AND($G$2&gt;0,D26&gt;=$G$3),$G$2*12*(1+$D$3)^(D26-1),0)</f>
        <v>15051</v>
      </c>
      <c r="H26" s="10">
        <f>SUMPRODUCT(($M$9:$V$9&gt;=B26)*$M$8:$V$8)*12*(1+$D$3)^(D26-1)</f>
        <v>0</v>
      </c>
      <c r="I26" s="10">
        <f>IF(AND($G$4&gt;0,D26&gt;=$G$6),$G$4*12*(1+$D$3)^($G$6-1)*(1+$D$4)^(D26-$G$6),0)</f>
        <v>0</v>
      </c>
      <c r="J26" s="10">
        <f>'Fondos de pensión'!T28</f>
        <v>0</v>
      </c>
      <c r="K26" s="10">
        <f>SUM(F26:J26)</f>
        <v>173088</v>
      </c>
      <c r="L26" s="10">
        <f>SUMIF($M$1:$V$1,B26,$M$2:$V$2)*(1+$D$3)^(D26-1)</f>
        <v>0</v>
      </c>
      <c r="M26" s="10">
        <f>'Fondos de pensión'!S28</f>
        <v>0</v>
      </c>
      <c r="N26" s="10">
        <f>SUM(L26:M26)</f>
        <v>0</v>
      </c>
      <c r="O26" s="10">
        <f>K26+N26</f>
        <v>173088</v>
      </c>
      <c r="P26" s="10">
        <f>$J$1*12*(1+$D$3)^(D26-1)*IF(D26&gt;$G$7,$J$2,1)</f>
        <v>97832</v>
      </c>
      <c r="Q26" s="10">
        <f>SUMPRODUCT(($M$5:$V$5&lt;=B26)*($M$5:$V$5+$M$6:$V$6&gt;B26)*$M$7:$V$7)*(1+$D$3)^(D26-1)</f>
        <v>0</v>
      </c>
      <c r="R26" s="10">
        <f>IF(D26&lt;=$J$5,$J$4*12,0)+IF(D26&lt;=$J$7,$J$6*12,0)</f>
        <v>11400</v>
      </c>
      <c r="S26" s="10">
        <f>SUM(P26:R26)</f>
        <v>109232</v>
      </c>
      <c r="T26" s="10">
        <f>$J$3*(1+$D$3)^(D26-1)</f>
        <v>8466</v>
      </c>
      <c r="U26" s="10">
        <f>S26+T26</f>
        <v>117698</v>
      </c>
      <c r="V26" s="10">
        <f>O26-U26</f>
        <v>55389</v>
      </c>
      <c r="W26" s="10">
        <f>MAX(0,V26)</f>
        <v>55389</v>
      </c>
      <c r="X26" s="10">
        <f>W26</f>
        <v>55389</v>
      </c>
      <c r="Y26" s="10">
        <f>SUMPRODUCT(($M$3:$V$3=B26)*($M$14:$V$14=1)*$M$4:$V$4)*(1+$D$3)^(D26-1)</f>
        <v>126994</v>
      </c>
      <c r="Z26" s="10">
        <f>SUMPRODUCT(($M$3:$V$3=B26)*($M$14:$V$14=2)*$M$4:$V$4)*(1+$D$3)^(D26-1)</f>
        <v>0</v>
      </c>
      <c r="AA26" s="10">
        <f>SUMPRODUCT(($M$3:$V$3=B26)*($M$14:$V$14=3)*$M$4:$V$4)*(1+$D$3)^(D26-1)</f>
        <v>211656</v>
      </c>
      <c r="AB26" s="10">
        <f>SUM(Y26:AA26)</f>
        <v>338650</v>
      </c>
      <c r="AC26" s="10">
        <f>MIN(0,V26)</f>
        <v>0</v>
      </c>
      <c r="AD26" s="10">
        <f>-SUMIF($M$10:$V$10,B26,$M$11:$V$11)*(1+$D$3)^(D26-1)</f>
        <v>0</v>
      </c>
      <c r="AE26" s="10">
        <f>IF(B26=$M$12,-$M$13*(1+$D$3)^(D26-1),0)</f>
        <v>0</v>
      </c>
      <c r="AF26" s="10">
        <f>SUM(AC26:AE26)</f>
        <v>0</v>
      </c>
      <c r="AG26" s="10">
        <f>AJ25</f>
        <v>1181764</v>
      </c>
      <c r="AH26" s="10">
        <f>AG26*$D$7</f>
        <v>88632</v>
      </c>
      <c r="AI26" s="10">
        <f>MAX(0,-(AG26+AH26+X26+AB26+AF26))</f>
        <v>0</v>
      </c>
      <c r="AJ26" s="10">
        <f>AG26+AH26+X26+AB26+AF26+AI26</f>
        <v>1664436</v>
      </c>
      <c r="AK26" s="10">
        <f>AJ26/(1+$D$3)^D26</f>
        <v>1135302</v>
      </c>
      <c r="AL26" s="4">
        <f>IF(AG26&lt;=0,0,-AF26/AG26)</f>
        <v>0</v>
      </c>
    </row>
    <row r="27">
      <c r="B27" s="9">
        <f>B26+1</f>
        <v>2036</v>
      </c>
      <c r="C27" s="9">
        <f>C26+1</f>
        <v>55</v>
      </c>
      <c r="D27" s="9">
        <f>D26+1</f>
        <v>11</v>
      </c>
      <c r="E27" t="str">
        <f>IF(D27&lt;=$G$7,"Acumulación","Retiro")</f>
        <v>Acumulación</v>
      </c>
      <c r="F27" s="10">
        <f>IF(D27&lt;=$G$8,$G$1*12*(1+$D$3)^(D27-1),0)</f>
        <v>164200</v>
      </c>
      <c r="G27" s="10">
        <f>IF(AND($G$2&gt;0,D27&gt;=$G$3),$G$2*12*(1+$D$3)^(D27-1),0)</f>
        <v>15638</v>
      </c>
      <c r="H27" s="10">
        <f>SUMPRODUCT(($M$9:$V$9&gt;=B27)*$M$8:$V$8)*12*(1+$D$3)^(D27-1)</f>
        <v>0</v>
      </c>
      <c r="I27" s="10">
        <f>IF(AND($G$4&gt;0,D27&gt;=$G$6),$G$4*12*(1+$D$3)^($G$6-1)*(1+$D$4)^(D27-$G$6),0)</f>
        <v>0</v>
      </c>
      <c r="J27" s="10">
        <f>'Fondos de pensión'!T29</f>
        <v>0</v>
      </c>
      <c r="K27" s="10">
        <f>SUM(F27:J27)</f>
        <v>179838</v>
      </c>
      <c r="L27" s="10">
        <f>SUMIF($M$1:$V$1,B27,$M$2:$V$2)*(1+$D$3)^(D27-1)</f>
        <v>0</v>
      </c>
      <c r="M27" s="10">
        <f>'Fondos de pensión'!S29</f>
        <v>0</v>
      </c>
      <c r="N27" s="10">
        <f>SUM(L27:M27)</f>
        <v>0</v>
      </c>
      <c r="O27" s="10">
        <f>K27+N27</f>
        <v>179838</v>
      </c>
      <c r="P27" s="10">
        <f>$J$1*12*(1+$D$3)^(D27-1)*IF(D27&gt;$G$7,$J$2,1)</f>
        <v>101648</v>
      </c>
      <c r="Q27" s="10">
        <f>SUMPRODUCT(($M$5:$V$5&lt;=B27)*($M$5:$V$5+$M$6:$V$6&gt;B27)*$M$7:$V$7)*(1+$D$3)^(D27-1)</f>
        <v>0</v>
      </c>
      <c r="R27" s="10">
        <f>IF(D27&lt;=$J$5,$J$4*12,0)+IF(D27&lt;=$J$7,$J$6*12,0)</f>
        <v>11400</v>
      </c>
      <c r="S27" s="10">
        <f>SUM(P27:R27)</f>
        <v>113048</v>
      </c>
      <c r="T27" s="10">
        <f>$J$3*(1+$D$3)^(D27-1)</f>
        <v>8796</v>
      </c>
      <c r="U27" s="10">
        <f>S27+T27</f>
        <v>121844</v>
      </c>
      <c r="V27" s="10">
        <f>O27-U27</f>
        <v>57994</v>
      </c>
      <c r="W27" s="10">
        <f>MAX(0,V27)</f>
        <v>57994</v>
      </c>
      <c r="X27" s="10">
        <f>W27</f>
        <v>57994</v>
      </c>
      <c r="Y27" s="10">
        <f>SUMPRODUCT(($M$3:$V$3=B27)*($M$14:$V$14=1)*$M$4:$V$4)*(1+$D$3)^(D27-1)</f>
        <v>0</v>
      </c>
      <c r="Z27" s="10">
        <f>SUMPRODUCT(($M$3:$V$3=B27)*($M$14:$V$14=2)*$M$4:$V$4)*(1+$D$3)^(D27-1)</f>
        <v>0</v>
      </c>
      <c r="AA27" s="10">
        <f>SUMPRODUCT(($M$3:$V$3=B27)*($M$14:$V$14=3)*$M$4:$V$4)*(1+$D$3)^(D27-1)</f>
        <v>0</v>
      </c>
      <c r="AB27" s="10">
        <f>SUM(Y27:AA27)</f>
        <v>0</v>
      </c>
      <c r="AC27" s="10">
        <f>MIN(0,V27)</f>
        <v>0</v>
      </c>
      <c r="AD27" s="10">
        <f>-SUMIF($M$10:$V$10,B27,$M$11:$V$11)*(1+$D$3)^(D27-1)</f>
        <v>0</v>
      </c>
      <c r="AE27" s="10">
        <f>IF(B27=$M$12,-$M$13*(1+$D$3)^(D27-1),0)</f>
        <v>0</v>
      </c>
      <c r="AF27" s="10">
        <f>SUM(AC27:AE27)</f>
        <v>0</v>
      </c>
      <c r="AG27" s="10">
        <f>AJ26</f>
        <v>1664436</v>
      </c>
      <c r="AH27" s="10">
        <f>AG27*$D$7</f>
        <v>124833</v>
      </c>
      <c r="AI27" s="10">
        <f>MAX(0,-(AG27+AH27+X27+AB27+AF27))</f>
        <v>0</v>
      </c>
      <c r="AJ27" s="10">
        <f>AG27+AH27+X27+AB27+AF27+AI27</f>
        <v>1847262</v>
      </c>
      <c r="AK27" s="10">
        <f>AJ27/(1+$D$3)^D27</f>
        <v>1212712</v>
      </c>
      <c r="AL27" s="4">
        <f>IF(AG27&lt;=0,0,-AF27/AG27)</f>
        <v>0</v>
      </c>
    </row>
    <row r="28">
      <c r="B28" s="9">
        <f>B27+1</f>
        <v>2037</v>
      </c>
      <c r="C28" s="9">
        <f>C27+1</f>
        <v>56</v>
      </c>
      <c r="D28" s="9">
        <f>D27+1</f>
        <v>12</v>
      </c>
      <c r="E28" t="str">
        <f>IF(D28&lt;=$G$7,"Acumulación","Retiro")</f>
        <v>Acumulación</v>
      </c>
      <c r="F28" s="10">
        <f>IF(D28&lt;=$G$8,$G$1*12*(1+$D$3)^(D28-1),0)</f>
        <v>170604</v>
      </c>
      <c r="G28" s="10">
        <f>IF(AND($G$2&gt;0,D28&gt;=$G$3),$G$2*12*(1+$D$3)^(D28-1),0)</f>
        <v>16248</v>
      </c>
      <c r="H28" s="10">
        <f>SUMPRODUCT(($M$9:$V$9&gt;=B28)*$M$8:$V$8)*12*(1+$D$3)^(D28-1)</f>
        <v>0</v>
      </c>
      <c r="I28" s="10">
        <f>IF(AND($G$4&gt;0,D28&gt;=$G$6),$G$4*12*(1+$D$3)^($G$6-1)*(1+$D$4)^(D28-$G$6),0)</f>
        <v>0</v>
      </c>
      <c r="J28" s="10">
        <f>'Fondos de pensión'!T30</f>
        <v>0</v>
      </c>
      <c r="K28" s="10">
        <f>SUM(F28:J28)</f>
        <v>186852</v>
      </c>
      <c r="L28" s="10">
        <f>SUMIF($M$1:$V$1,B28,$M$2:$V$2)*(1+$D$3)^(D28-1)</f>
        <v>0</v>
      </c>
      <c r="M28" s="10">
        <f>'Fondos de pensión'!S30</f>
        <v>0</v>
      </c>
      <c r="N28" s="10">
        <f>SUM(L28:M28)</f>
        <v>0</v>
      </c>
      <c r="O28" s="10">
        <f>K28+N28</f>
        <v>186852</v>
      </c>
      <c r="P28" s="10">
        <f>$J$1*12*(1+$D$3)^(D28-1)*IF(D28&gt;$G$7,$J$2,1)</f>
        <v>105612</v>
      </c>
      <c r="Q28" s="10">
        <f>SUMPRODUCT(($M$5:$V$5&lt;=B28)*($M$5:$V$5+$M$6:$V$6&gt;B28)*$M$7:$V$7)*(1+$D$3)^(D28-1)</f>
        <v>0</v>
      </c>
      <c r="R28" s="10">
        <f>IF(D28&lt;=$J$5,$J$4*12,0)+IF(D28&lt;=$J$7,$J$6*12,0)</f>
        <v>11400</v>
      </c>
      <c r="S28" s="10">
        <f>SUM(P28:R28)</f>
        <v>117012</v>
      </c>
      <c r="T28" s="10">
        <f>$J$3*(1+$D$3)^(D28-1)</f>
        <v>9139</v>
      </c>
      <c r="U28" s="10">
        <f>S28+T28</f>
        <v>126151</v>
      </c>
      <c r="V28" s="10">
        <f>O28-U28</f>
        <v>60700</v>
      </c>
      <c r="W28" s="10">
        <f>MAX(0,V28)</f>
        <v>60700</v>
      </c>
      <c r="X28" s="10">
        <f>W28</f>
        <v>60700</v>
      </c>
      <c r="Y28" s="10">
        <f>SUMPRODUCT(($M$3:$V$3=B28)*($M$14:$V$14=1)*$M$4:$V$4)*(1+$D$3)^(D28-1)</f>
        <v>0</v>
      </c>
      <c r="Z28" s="10">
        <f>SUMPRODUCT(($M$3:$V$3=B28)*($M$14:$V$14=2)*$M$4:$V$4)*(1+$D$3)^(D28-1)</f>
        <v>0</v>
      </c>
      <c r="AA28" s="10">
        <f>SUMPRODUCT(($M$3:$V$3=B28)*($M$14:$V$14=3)*$M$4:$V$4)*(1+$D$3)^(D28-1)</f>
        <v>0</v>
      </c>
      <c r="AB28" s="10">
        <f>SUM(Y28:AA28)</f>
        <v>0</v>
      </c>
      <c r="AC28" s="10">
        <f>MIN(0,V28)</f>
        <v>0</v>
      </c>
      <c r="AD28" s="10">
        <f>-SUMIF($M$10:$V$10,B28,$M$11:$V$11)*(1+$D$3)^(D28-1)</f>
        <v>0</v>
      </c>
      <c r="AE28" s="10">
        <f>IF(B28=$M$12,-$M$13*(1+$D$3)^(D28-1),0)</f>
        <v>0</v>
      </c>
      <c r="AF28" s="10">
        <f>SUM(AC28:AE28)</f>
        <v>0</v>
      </c>
      <c r="AG28" s="10">
        <f>AJ27</f>
        <v>1847262</v>
      </c>
      <c r="AH28" s="10">
        <f>AG28*$D$7</f>
        <v>138545</v>
      </c>
      <c r="AI28" s="10">
        <f>MAX(0,-(AG28+AH28+X28+AB28+AF28))</f>
        <v>0</v>
      </c>
      <c r="AJ28" s="10">
        <f>AG28+AH28+X28+AB28+AF28+AI28</f>
        <v>2046508</v>
      </c>
      <c r="AK28" s="10">
        <f>AJ28/(1+$D$3)^D28</f>
        <v>1293084</v>
      </c>
      <c r="AL28" s="4">
        <f>IF(AG28&lt;=0,0,-AF28/AG28)</f>
        <v>0</v>
      </c>
    </row>
    <row r="29">
      <c r="B29" s="9">
        <f>B28+1</f>
        <v>2038</v>
      </c>
      <c r="C29" s="9">
        <f>C28+1</f>
        <v>57</v>
      </c>
      <c r="D29" s="9">
        <f>D28+1</f>
        <v>13</v>
      </c>
      <c r="E29" t="str">
        <f>IF(D29&lt;=$G$7,"Acumulación","Retiro")</f>
        <v>Acumulación</v>
      </c>
      <c r="F29" s="10">
        <f>IF(D29&lt;=$G$8,$G$1*12*(1+$D$3)^(D29-1),0)</f>
        <v>177257</v>
      </c>
      <c r="G29" s="10">
        <f>IF(AND($G$2&gt;0,D29&gt;=$G$3),$G$2*12*(1+$D$3)^(D29-1),0)</f>
        <v>16882</v>
      </c>
      <c r="H29" s="10">
        <f>SUMPRODUCT(($M$9:$V$9&gt;=B29)*$M$8:$V$8)*12*(1+$D$3)^(D29-1)</f>
        <v>0</v>
      </c>
      <c r="I29" s="10">
        <f>IF(AND($G$4&gt;0,D29&gt;=$G$6),$G$4*12*(1+$D$3)^($G$6-1)*(1+$D$4)^(D29-$G$6),0)</f>
        <v>0</v>
      </c>
      <c r="J29" s="10">
        <f>'Fondos de pensión'!T31</f>
        <v>0</v>
      </c>
      <c r="K29" s="10">
        <f>SUM(F29:J29)</f>
        <v>194139</v>
      </c>
      <c r="L29" s="10">
        <f>SUMIF($M$1:$V$1,B29,$M$2:$V$2)*(1+$D$3)^(D29-1)</f>
        <v>0</v>
      </c>
      <c r="M29" s="10">
        <f>'Fondos de pensión'!S31</f>
        <v>13843</v>
      </c>
      <c r="N29" s="10">
        <f>SUM(L29:M29)</f>
        <v>13843</v>
      </c>
      <c r="O29" s="10">
        <f>K29+N29</f>
        <v>207982</v>
      </c>
      <c r="P29" s="10">
        <f>$J$1*12*(1+$D$3)^(D29-1)*IF(D29&gt;$G$7,$J$2,1)</f>
        <v>109731</v>
      </c>
      <c r="Q29" s="10">
        <f>SUMPRODUCT(($M$5:$V$5&lt;=B29)*($M$5:$V$5+$M$6:$V$6&gt;B29)*$M$7:$V$7)*(1+$D$3)^(D29-1)</f>
        <v>0</v>
      </c>
      <c r="R29" s="10">
        <f>IF(D29&lt;=$J$5,$J$4*12,0)+IF(D29&lt;=$J$7,$J$6*12,0)</f>
        <v>11400</v>
      </c>
      <c r="S29" s="10">
        <f>SUM(P29:R29)</f>
        <v>121131</v>
      </c>
      <c r="T29" s="10">
        <f>$J$3*(1+$D$3)^(D29-1)</f>
        <v>9496</v>
      </c>
      <c r="U29" s="10">
        <f>S29+T29</f>
        <v>130627</v>
      </c>
      <c r="V29" s="10">
        <f>O29-U29</f>
        <v>77355</v>
      </c>
      <c r="W29" s="10">
        <f>MAX(0,V29)</f>
        <v>77355</v>
      </c>
      <c r="X29" s="10">
        <f>W29</f>
        <v>77355</v>
      </c>
      <c r="Y29" s="10">
        <f>SUMPRODUCT(($M$3:$V$3=B29)*($M$14:$V$14=1)*$M$4:$V$4)*(1+$D$3)^(D29-1)</f>
        <v>0</v>
      </c>
      <c r="Z29" s="10">
        <f>SUMPRODUCT(($M$3:$V$3=B29)*($M$14:$V$14=2)*$M$4:$V$4)*(1+$D$3)^(D29-1)</f>
        <v>0</v>
      </c>
      <c r="AA29" s="10">
        <f>SUMPRODUCT(($M$3:$V$3=B29)*($M$14:$V$14=3)*$M$4:$V$4)*(1+$D$3)^(D29-1)</f>
        <v>0</v>
      </c>
      <c r="AB29" s="10">
        <f>SUM(Y29:AA29)</f>
        <v>0</v>
      </c>
      <c r="AC29" s="10">
        <f>MIN(0,V29)</f>
        <v>0</v>
      </c>
      <c r="AD29" s="10">
        <f>-SUMIF($M$10:$V$10,B29,$M$11:$V$11)*(1+$D$3)^(D29-1)</f>
        <v>0</v>
      </c>
      <c r="AE29" s="10">
        <f>IF(B29=$M$12,-$M$13*(1+$D$3)^(D29-1),0)</f>
        <v>0</v>
      </c>
      <c r="AF29" s="10">
        <f>SUM(AC29:AE29)</f>
        <v>0</v>
      </c>
      <c r="AG29" s="10">
        <f>AJ28</f>
        <v>2046508</v>
      </c>
      <c r="AH29" s="10">
        <f>AG29*$D$7</f>
        <v>153488</v>
      </c>
      <c r="AI29" s="10">
        <f>MAX(0,-(AG29+AH29+X29+AB29+AF29))</f>
        <v>0</v>
      </c>
      <c r="AJ29" s="10">
        <f>AG29+AH29+X29+AB29+AF29+AI29</f>
        <v>2277351</v>
      </c>
      <c r="AK29" s="10">
        <f>AJ29/(1+$D$3)^D29</f>
        <v>1384930</v>
      </c>
      <c r="AL29" s="4">
        <f>IF(AG29&lt;=0,0,-AF29/AG29)</f>
        <v>0</v>
      </c>
    </row>
    <row r="30">
      <c r="B30" s="9">
        <f>B29+1</f>
        <v>2039</v>
      </c>
      <c r="C30" s="9">
        <f>C29+1</f>
        <v>58</v>
      </c>
      <c r="D30" s="9">
        <f>D29+1</f>
        <v>14</v>
      </c>
      <c r="E30" t="str">
        <f>IF(D30&lt;=$G$7,"Acumulación","Retiro")</f>
        <v>Acumulación</v>
      </c>
      <c r="F30" s="10">
        <f>IF(D30&lt;=$G$8,$G$1*12*(1+$D$3)^(D30-1),0)</f>
        <v>184171</v>
      </c>
      <c r="G30" s="10">
        <f>IF(AND($G$2&gt;0,D30&gt;=$G$3),$G$2*12*(1+$D$3)^(D30-1),0)</f>
        <v>17540</v>
      </c>
      <c r="H30" s="10">
        <f>SUMPRODUCT(($M$9:$V$9&gt;=B30)*$M$8:$V$8)*12*(1+$D$3)^(D30-1)</f>
        <v>0</v>
      </c>
      <c r="I30" s="10">
        <f>IF(AND($G$4&gt;0,D30&gt;=$G$6),$G$4*12*(1+$D$3)^($G$6-1)*(1+$D$4)^(D30-$G$6),0)</f>
        <v>0</v>
      </c>
      <c r="J30" s="10">
        <f>'Fondos de pensión'!T32</f>
        <v>0</v>
      </c>
      <c r="K30" s="10">
        <f>SUM(F30:J30)</f>
        <v>201711</v>
      </c>
      <c r="L30" s="10">
        <f>SUMIF($M$1:$V$1,B30,$M$2:$V$2)*(1+$D$3)^(D30-1)</f>
        <v>0</v>
      </c>
      <c r="M30" s="10">
        <f>'Fondos de pensión'!S32</f>
        <v>0</v>
      </c>
      <c r="N30" s="10">
        <f>SUM(L30:M30)</f>
        <v>0</v>
      </c>
      <c r="O30" s="10">
        <f>K30+N30</f>
        <v>201711</v>
      </c>
      <c r="P30" s="10">
        <f>$J$1*12*(1+$D$3)^(D30-1)*IF(D30&gt;$G$7,$J$2,1)</f>
        <v>114010</v>
      </c>
      <c r="Q30" s="10">
        <f>SUMPRODUCT(($M$5:$V$5&lt;=B30)*($M$5:$V$5+$M$6:$V$6&gt;B30)*$M$7:$V$7)*(1+$D$3)^(D30-1)</f>
        <v>0</v>
      </c>
      <c r="R30" s="10">
        <f>IF(D30&lt;=$J$5,$J$4*12,0)+IF(D30&lt;=$J$7,$J$6*12,0)</f>
        <v>11400</v>
      </c>
      <c r="S30" s="10">
        <f>SUM(P30:R30)</f>
        <v>125410</v>
      </c>
      <c r="T30" s="10">
        <f>$J$3*(1+$D$3)^(D30-1)</f>
        <v>9866</v>
      </c>
      <c r="U30" s="10">
        <f>S30+T30</f>
        <v>135277</v>
      </c>
      <c r="V30" s="10">
        <f>O30-U30</f>
        <v>66434</v>
      </c>
      <c r="W30" s="10">
        <f>MAX(0,V30)</f>
        <v>66434</v>
      </c>
      <c r="X30" s="10">
        <f>W30</f>
        <v>66434</v>
      </c>
      <c r="Y30" s="10">
        <f>SUMPRODUCT(($M$3:$V$3=B30)*($M$14:$V$14=1)*$M$4:$V$4)*(1+$D$3)^(D30-1)</f>
        <v>0</v>
      </c>
      <c r="Z30" s="10">
        <f>SUMPRODUCT(($M$3:$V$3=B30)*($M$14:$V$14=2)*$M$4:$V$4)*(1+$D$3)^(D30-1)</f>
        <v>0</v>
      </c>
      <c r="AA30" s="10">
        <f>SUMPRODUCT(($M$3:$V$3=B30)*($M$14:$V$14=3)*$M$4:$V$4)*(1+$D$3)^(D30-1)</f>
        <v>0</v>
      </c>
      <c r="AB30" s="10">
        <f>SUM(Y30:AA30)</f>
        <v>0</v>
      </c>
      <c r="AC30" s="10">
        <f>MIN(0,V30)</f>
        <v>0</v>
      </c>
      <c r="AD30" s="10">
        <f>-SUMIF($M$10:$V$10,B30,$M$11:$V$11)*(1+$D$3)^(D30-1)</f>
        <v>0</v>
      </c>
      <c r="AE30" s="10">
        <f>IF(B30=$M$12,-$M$13*(1+$D$3)^(D30-1),0)</f>
        <v>0</v>
      </c>
      <c r="AF30" s="10">
        <f>SUM(AC30:AE30)</f>
        <v>0</v>
      </c>
      <c r="AG30" s="10">
        <f>AJ29</f>
        <v>2277351</v>
      </c>
      <c r="AH30" s="10">
        <f>AG30*$D$7</f>
        <v>170801</v>
      </c>
      <c r="AI30" s="10">
        <f>MAX(0,-(AG30+AH30+X30+AB30+AF30))</f>
        <v>0</v>
      </c>
      <c r="AJ30" s="10">
        <f>AG30+AH30+X30+AB30+AF30+AI30</f>
        <v>2514586</v>
      </c>
      <c r="AK30" s="10">
        <f>AJ30/(1+$D$3)^D30</f>
        <v>1471800</v>
      </c>
      <c r="AL30" s="4">
        <f>IF(AG30&lt;=0,0,-AF30/AG30)</f>
        <v>0</v>
      </c>
    </row>
    <row r="31">
      <c r="B31" s="9">
        <f>B30+1</f>
        <v>2040</v>
      </c>
      <c r="C31" s="9">
        <f>C30+1</f>
        <v>59</v>
      </c>
      <c r="D31" s="9">
        <f>D30+1</f>
        <v>15</v>
      </c>
      <c r="E31" t="str">
        <f>IF(D31&lt;=$G$7,"Acumulación","Retiro")</f>
        <v>Acumulación</v>
      </c>
      <c r="F31" s="10">
        <f>IF(D31&lt;=$G$8,$G$1*12*(1+$D$3)^(D31-1),0)</f>
        <v>191353</v>
      </c>
      <c r="G31" s="10">
        <f>IF(AND($G$2&gt;0,D31&gt;=$G$3),$G$2*12*(1+$D$3)^(D31-1),0)</f>
        <v>18224</v>
      </c>
      <c r="H31" s="10">
        <f>SUMPRODUCT(($M$9:$V$9&gt;=B31)*$M$8:$V$8)*12*(1+$D$3)^(D31-1)</f>
        <v>0</v>
      </c>
      <c r="I31" s="10">
        <f>IF(AND($G$4&gt;0,D31&gt;=$G$6),$G$4*12*(1+$D$3)^($G$6-1)*(1+$D$4)^(D31-$G$6),0)</f>
        <v>0</v>
      </c>
      <c r="J31" s="10">
        <f>'Fondos de pensión'!T33</f>
        <v>0</v>
      </c>
      <c r="K31" s="10">
        <f>SUM(F31:J31)</f>
        <v>209577</v>
      </c>
      <c r="L31" s="10">
        <f>SUMIF($M$1:$V$1,B31,$M$2:$V$2)*(1+$D$3)^(D31-1)</f>
        <v>0</v>
      </c>
      <c r="M31" s="10">
        <f>'Fondos de pensión'!S33</f>
        <v>0</v>
      </c>
      <c r="N31" s="10">
        <f>SUM(L31:M31)</f>
        <v>0</v>
      </c>
      <c r="O31" s="10">
        <f>K31+N31</f>
        <v>209577</v>
      </c>
      <c r="P31" s="10">
        <f>$J$1*12*(1+$D$3)^(D31-1)*IF(D31&gt;$G$7,$J$2,1)</f>
        <v>118457</v>
      </c>
      <c r="Q31" s="10">
        <f>SUMPRODUCT(($M$5:$V$5&lt;=B31)*($M$5:$V$5+$M$6:$V$6&gt;B31)*$M$7:$V$7)*(1+$D$3)^(D31-1)</f>
        <v>0</v>
      </c>
      <c r="R31" s="10">
        <f>IF(D31&lt;=$J$5,$J$4*12,0)+IF(D31&lt;=$J$7,$J$6*12,0)</f>
        <v>0</v>
      </c>
      <c r="S31" s="10">
        <f>SUM(P31:R31)</f>
        <v>118457</v>
      </c>
      <c r="T31" s="10">
        <f>$J$3*(1+$D$3)^(D31-1)</f>
        <v>10251</v>
      </c>
      <c r="U31" s="10">
        <f>S31+T31</f>
        <v>128708</v>
      </c>
      <c r="V31" s="10">
        <f>O31-U31</f>
        <v>80869</v>
      </c>
      <c r="W31" s="10">
        <f>MAX(0,V31)</f>
        <v>80869</v>
      </c>
      <c r="X31" s="10">
        <f>W31</f>
        <v>80869</v>
      </c>
      <c r="Y31" s="10">
        <f>SUMPRODUCT(($M$3:$V$3=B31)*($M$14:$V$14=1)*$M$4:$V$4)*(1+$D$3)^(D31-1)</f>
        <v>0</v>
      </c>
      <c r="Z31" s="10">
        <f>SUMPRODUCT(($M$3:$V$3=B31)*($M$14:$V$14=2)*$M$4:$V$4)*(1+$D$3)^(D31-1)</f>
        <v>0</v>
      </c>
      <c r="AA31" s="10">
        <f>SUMPRODUCT(($M$3:$V$3=B31)*($M$14:$V$14=3)*$M$4:$V$4)*(1+$D$3)^(D31-1)</f>
        <v>0</v>
      </c>
      <c r="AB31" s="10">
        <f>SUM(Y31:AA31)</f>
        <v>0</v>
      </c>
      <c r="AC31" s="10">
        <f>MIN(0,V31)</f>
        <v>0</v>
      </c>
      <c r="AD31" s="10">
        <f>-SUMIF($M$10:$V$10,B31,$M$11:$V$11)*(1+$D$3)^(D31-1)</f>
        <v>0</v>
      </c>
      <c r="AE31" s="10">
        <f>IF(B31=$M$12,-$M$13*(1+$D$3)^(D31-1),0)</f>
        <v>0</v>
      </c>
      <c r="AF31" s="10">
        <f>SUM(AC31:AE31)</f>
        <v>0</v>
      </c>
      <c r="AG31" s="10">
        <f>AJ30</f>
        <v>2514586</v>
      </c>
      <c r="AH31" s="10">
        <f>AG31*$D$7</f>
        <v>188594</v>
      </c>
      <c r="AI31" s="10">
        <f>MAX(0,-(AG31+AH31+X31+AB31+AF31))</f>
        <v>0</v>
      </c>
      <c r="AJ31" s="10">
        <f>AG31+AH31+X31+AB31+AF31+AI31</f>
        <v>2784049</v>
      </c>
      <c r="AK31" s="10">
        <f>AJ31/(1+$D$3)^D31</f>
        <v>1568353</v>
      </c>
      <c r="AL31" s="4">
        <f>IF(AG31&lt;=0,0,-AF31/AG31)</f>
        <v>0</v>
      </c>
    </row>
    <row r="32">
      <c r="B32" s="9">
        <f>B31+1</f>
        <v>2041</v>
      </c>
      <c r="C32" s="9">
        <f>C31+1</f>
        <v>60</v>
      </c>
      <c r="D32" s="9">
        <f>D31+1</f>
        <v>16</v>
      </c>
      <c r="E32" t="str">
        <f>IF(D32&lt;=$G$7,"Acumulación","Retiro")</f>
        <v>Retiro</v>
      </c>
      <c r="F32" s="10">
        <f>IF(D32&lt;=$G$8,$G$1*12*(1+$D$3)^(D32-1),0)</f>
        <v>0</v>
      </c>
      <c r="G32" s="10">
        <f>IF(AND($G$2&gt;0,D32&gt;=$G$3),$G$2*12*(1+$D$3)^(D32-1),0)</f>
        <v>18935</v>
      </c>
      <c r="H32" s="10">
        <f>SUMPRODUCT(($M$9:$V$9&gt;=B32)*$M$8:$V$8)*12*(1+$D$3)^(D32-1)</f>
        <v>0</v>
      </c>
      <c r="I32" s="10">
        <f>IF(AND($G$4&gt;0,D32&gt;=$G$6),$G$4*12*(1+$D$3)^($G$6-1)*(1+$D$4)^(D32-$G$6),0)</f>
        <v>0</v>
      </c>
      <c r="J32" s="10">
        <f>'Fondos de pensión'!T34</f>
        <v>0</v>
      </c>
      <c r="K32" s="10">
        <f>SUM(F32:J32)</f>
        <v>18935</v>
      </c>
      <c r="L32" s="10">
        <f>SUMIF($M$1:$V$1,B32,$M$2:$V$2)*(1+$D$3)^(D32-1)</f>
        <v>0</v>
      </c>
      <c r="M32" s="10">
        <f>'Fondos de pensión'!S34</f>
        <v>119532</v>
      </c>
      <c r="N32" s="10">
        <f>SUM(L32:M32)</f>
        <v>119532</v>
      </c>
      <c r="O32" s="10">
        <f>K32+N32</f>
        <v>138467</v>
      </c>
      <c r="P32" s="10">
        <f>$J$1*12*(1+$D$3)^(D32-1)*IF(D32&gt;$G$7,$J$2,1)</f>
        <v>110769</v>
      </c>
      <c r="Q32" s="10">
        <f>SUMPRODUCT(($M$5:$V$5&lt;=B32)*($M$5:$V$5+$M$6:$V$6&gt;B32)*$M$7:$V$7)*(1+$D$3)^(D32-1)</f>
        <v>0</v>
      </c>
      <c r="R32" s="10">
        <f>IF(D32&lt;=$J$5,$J$4*12,0)+IF(D32&lt;=$J$7,$J$6*12,0)</f>
        <v>0</v>
      </c>
      <c r="S32" s="10">
        <f>SUM(P32:R32)</f>
        <v>110769</v>
      </c>
      <c r="T32" s="10">
        <f>$J$3*(1+$D$3)^(D32-1)</f>
        <v>10651</v>
      </c>
      <c r="U32" s="10">
        <f>S32+T32</f>
        <v>121420</v>
      </c>
      <c r="V32" s="10">
        <f>O32-U32</f>
        <v>17047</v>
      </c>
      <c r="W32" s="10">
        <f>MAX(0,V32)</f>
        <v>17047</v>
      </c>
      <c r="X32" s="10">
        <f>W32</f>
        <v>17047</v>
      </c>
      <c r="Y32" s="10">
        <f>SUMPRODUCT(($M$3:$V$3=B32)*($M$14:$V$14=1)*$M$4:$V$4)*(1+$D$3)^(D32-1)</f>
        <v>0</v>
      </c>
      <c r="Z32" s="10">
        <f>SUMPRODUCT(($M$3:$V$3=B32)*($M$14:$V$14=2)*$M$4:$V$4)*(1+$D$3)^(D32-1)</f>
        <v>0</v>
      </c>
      <c r="AA32" s="10">
        <f>SUMPRODUCT(($M$3:$V$3=B32)*($M$14:$V$14=3)*$M$4:$V$4)*(1+$D$3)^(D32-1)</f>
        <v>0</v>
      </c>
      <c r="AB32" s="10">
        <f>SUM(Y32:AA32)</f>
        <v>0</v>
      </c>
      <c r="AC32" s="10">
        <f>MIN(0,V32)</f>
        <v>0</v>
      </c>
      <c r="AD32" s="10">
        <f>-SUMIF($M$10:$V$10,B32,$M$11:$V$11)*(1+$D$3)^(D32-1)</f>
        <v>0</v>
      </c>
      <c r="AE32" s="10">
        <f>IF(B32=$M$12,-$M$13*(1+$D$3)^(D32-1),0)</f>
        <v>0</v>
      </c>
      <c r="AF32" s="10">
        <f>SUM(AC32:AE32)</f>
        <v>0</v>
      </c>
      <c r="AG32" s="10">
        <f>AJ31</f>
        <v>2784049</v>
      </c>
      <c r="AH32" s="10">
        <f>AG32*$D$7</f>
        <v>208804</v>
      </c>
      <c r="AI32" s="10">
        <f>MAX(0,-(AG32+AH32+X32+AB32+AF32))</f>
        <v>0</v>
      </c>
      <c r="AJ32" s="10">
        <f>AG32+AH32+X32+AB32+AF32+AI32</f>
        <v>3009900</v>
      </c>
      <c r="AK32" s="10">
        <f>AJ32/(1+$D$3)^D32</f>
        <v>1631937</v>
      </c>
      <c r="AL32" s="4">
        <f>IF(AG32&lt;=0,0,-AF32/AG32)</f>
        <v>0</v>
      </c>
    </row>
    <row r="33">
      <c r="B33" s="9">
        <f>B32+1</f>
        <v>2042</v>
      </c>
      <c r="C33" s="9">
        <f>C32+1</f>
        <v>61</v>
      </c>
      <c r="D33" s="9">
        <f>D32+1</f>
        <v>17</v>
      </c>
      <c r="E33" t="str">
        <f>IF(D33&lt;=$G$7,"Acumulación","Retiro")</f>
        <v>Retiro</v>
      </c>
      <c r="F33" s="10">
        <f>IF(D33&lt;=$G$8,$G$1*12*(1+$D$3)^(D33-1),0)</f>
        <v>0</v>
      </c>
      <c r="G33" s="10">
        <f>IF(AND($G$2&gt;0,D33&gt;=$G$3),$G$2*12*(1+$D$3)^(D33-1),0)</f>
        <v>19673</v>
      </c>
      <c r="H33" s="10">
        <f>SUMPRODUCT(($M$9:$V$9&gt;=B33)*$M$8:$V$8)*12*(1+$D$3)^(D33-1)</f>
        <v>0</v>
      </c>
      <c r="I33" s="10">
        <f>IF(AND($G$4&gt;0,D33&gt;=$G$6),$G$4*12*(1+$D$3)^($G$6-1)*(1+$D$4)^(D33-$G$6),0)</f>
        <v>0</v>
      </c>
      <c r="J33" s="10">
        <f>'Fondos de pensión'!T35</f>
        <v>0</v>
      </c>
      <c r="K33" s="10">
        <f>SUM(F33:J33)</f>
        <v>19673</v>
      </c>
      <c r="L33" s="10">
        <f>SUMIF($M$1:$V$1,B33,$M$2:$V$2)*(1+$D$3)^(D33-1)</f>
        <v>0</v>
      </c>
      <c r="M33" s="10">
        <f>'Fondos de pensión'!S35</f>
        <v>0</v>
      </c>
      <c r="N33" s="10">
        <f>SUM(L33:M33)</f>
        <v>0</v>
      </c>
      <c r="O33" s="10">
        <f>K33+N33</f>
        <v>19673</v>
      </c>
      <c r="P33" s="10">
        <f>$J$1*12*(1+$D$3)^(D33-1)*IF(D33&gt;$G$7,$J$2,1)</f>
        <v>115089</v>
      </c>
      <c r="Q33" s="10">
        <f>SUMPRODUCT(($M$5:$V$5&lt;=B33)*($M$5:$V$5+$M$6:$V$6&gt;B33)*$M$7:$V$7)*(1+$D$3)^(D33-1)</f>
        <v>0</v>
      </c>
      <c r="R33" s="10">
        <f>IF(D33&lt;=$J$5,$J$4*12,0)+IF(D33&lt;=$J$7,$J$6*12,0)</f>
        <v>0</v>
      </c>
      <c r="S33" s="10">
        <f>SUM(P33:R33)</f>
        <v>115089</v>
      </c>
      <c r="T33" s="10">
        <f>$J$3*(1+$D$3)^(D33-1)</f>
        <v>11066</v>
      </c>
      <c r="U33" s="10">
        <f>S33+T33</f>
        <v>126155</v>
      </c>
      <c r="V33" s="10">
        <f>O33-U33</f>
        <v>-106482</v>
      </c>
      <c r="W33" s="10">
        <f>MAX(0,V33)</f>
        <v>0</v>
      </c>
      <c r="X33" s="10">
        <f>W33</f>
        <v>0</v>
      </c>
      <c r="Y33" s="10">
        <f>SUMPRODUCT(($M$3:$V$3=B33)*($M$14:$V$14=1)*$M$4:$V$4)*(1+$D$3)^(D33-1)</f>
        <v>0</v>
      </c>
      <c r="Z33" s="10">
        <f>SUMPRODUCT(($M$3:$V$3=B33)*($M$14:$V$14=2)*$M$4:$V$4)*(1+$D$3)^(D33-1)</f>
        <v>0</v>
      </c>
      <c r="AA33" s="10">
        <f>SUMPRODUCT(($M$3:$V$3=B33)*($M$14:$V$14=3)*$M$4:$V$4)*(1+$D$3)^(D33-1)</f>
        <v>0</v>
      </c>
      <c r="AB33" s="10">
        <f>SUM(Y33:AA33)</f>
        <v>0</v>
      </c>
      <c r="AC33" s="10">
        <f>MIN(0,V33)</f>
        <v>-106482</v>
      </c>
      <c r="AD33" s="10">
        <f>-SUMIF($M$10:$V$10,B33,$M$11:$V$11)*(1+$D$3)^(D33-1)</f>
        <v>0</v>
      </c>
      <c r="AE33" s="10">
        <f>IF(B33=$M$12,-$M$13*(1+$D$3)^(D33-1),0)</f>
        <v>0</v>
      </c>
      <c r="AF33" s="10">
        <f>SUM(AC33:AE33)</f>
        <v>-106482</v>
      </c>
      <c r="AG33" s="10">
        <f>AJ32</f>
        <v>3009900</v>
      </c>
      <c r="AH33" s="10">
        <f>AG33*$D$7</f>
        <v>225743</v>
      </c>
      <c r="AI33" s="10">
        <f>MAX(0,-(AG33+AH33+X33+AB33+AF33))</f>
        <v>0</v>
      </c>
      <c r="AJ33" s="10">
        <f>AG33+AH33+X33+AB33+AF33+AI33</f>
        <v>3129161</v>
      </c>
      <c r="AK33" s="10">
        <f>AJ33/(1+$D$3)^D33</f>
        <v>1632915</v>
      </c>
      <c r="AL33" s="4">
        <f>IF(AG33&lt;=0,0,-AF33/AG33)</f>
        <v>0.0353771873416107</v>
      </c>
    </row>
    <row r="34">
      <c r="B34" s="9">
        <f>B33+1</f>
        <v>2043</v>
      </c>
      <c r="C34" s="9">
        <f>C33+1</f>
        <v>62</v>
      </c>
      <c r="D34" s="9">
        <f>D33+1</f>
        <v>18</v>
      </c>
      <c r="E34" t="str">
        <f>IF(D34&lt;=$G$7,"Acumulación","Retiro")</f>
        <v>Retiro</v>
      </c>
      <c r="F34" s="10">
        <f>IF(D34&lt;=$G$8,$G$1*12*(1+$D$3)^(D34-1),0)</f>
        <v>0</v>
      </c>
      <c r="G34" s="10">
        <f>IF(AND($G$2&gt;0,D34&gt;=$G$3),$G$2*12*(1+$D$3)^(D34-1),0)</f>
        <v>20441</v>
      </c>
      <c r="H34" s="10">
        <f>SUMPRODUCT(($M$9:$V$9&gt;=B34)*$M$8:$V$8)*12*(1+$D$3)^(D34-1)</f>
        <v>0</v>
      </c>
      <c r="I34" s="10">
        <f>IF(AND($G$4&gt;0,D34&gt;=$G$6),$G$4*12*(1+$D$3)^($G$6-1)*(1+$D$4)^(D34-$G$6),0)</f>
        <v>0</v>
      </c>
      <c r="J34" s="10">
        <f>'Fondos de pensión'!T36</f>
        <v>0</v>
      </c>
      <c r="K34" s="10">
        <f>SUM(F34:J34)</f>
        <v>20441</v>
      </c>
      <c r="L34" s="10">
        <f>SUMIF($M$1:$V$1,B34,$M$2:$V$2)*(1+$D$3)^(D34-1)</f>
        <v>0</v>
      </c>
      <c r="M34" s="10">
        <f>'Fondos de pensión'!S36</f>
        <v>0</v>
      </c>
      <c r="N34" s="10">
        <f>SUM(L34:M34)</f>
        <v>0</v>
      </c>
      <c r="O34" s="10">
        <f>K34+N34</f>
        <v>20441</v>
      </c>
      <c r="P34" s="10">
        <f>$J$1*12*(1+$D$3)^(D34-1)*IF(D34&gt;$G$7,$J$2,1)</f>
        <v>119577</v>
      </c>
      <c r="Q34" s="10">
        <f>SUMPRODUCT(($M$5:$V$5&lt;=B34)*($M$5:$V$5+$M$6:$V$6&gt;B34)*$M$7:$V$7)*(1+$D$3)^(D34-1)</f>
        <v>0</v>
      </c>
      <c r="R34" s="10">
        <f>IF(D34&lt;=$J$5,$J$4*12,0)+IF(D34&lt;=$J$7,$J$6*12,0)</f>
        <v>0</v>
      </c>
      <c r="S34" s="10">
        <f>SUM(P34:R34)</f>
        <v>119577</v>
      </c>
      <c r="T34" s="10">
        <f>$J$3*(1+$D$3)^(D34-1)</f>
        <v>11498</v>
      </c>
      <c r="U34" s="10">
        <f>S34+T34</f>
        <v>131075</v>
      </c>
      <c r="V34" s="10">
        <f>O34-U34</f>
        <v>-110635</v>
      </c>
      <c r="W34" s="10">
        <f>MAX(0,V34)</f>
        <v>0</v>
      </c>
      <c r="X34" s="10">
        <f>W34</f>
        <v>0</v>
      </c>
      <c r="Y34" s="10">
        <f>SUMPRODUCT(($M$3:$V$3=B34)*($M$14:$V$14=1)*$M$4:$V$4)*(1+$D$3)^(D34-1)</f>
        <v>0</v>
      </c>
      <c r="Z34" s="10">
        <f>SUMPRODUCT(($M$3:$V$3=B34)*($M$14:$V$14=2)*$M$4:$V$4)*(1+$D$3)^(D34-1)</f>
        <v>0</v>
      </c>
      <c r="AA34" s="10">
        <f>SUMPRODUCT(($M$3:$V$3=B34)*($M$14:$V$14=3)*$M$4:$V$4)*(1+$D$3)^(D34-1)</f>
        <v>0</v>
      </c>
      <c r="AB34" s="10">
        <f>SUM(Y34:AA34)</f>
        <v>0</v>
      </c>
      <c r="AC34" s="10">
        <f>MIN(0,V34)</f>
        <v>-110635</v>
      </c>
      <c r="AD34" s="10">
        <f>-SUMIF($M$10:$V$10,B34,$M$11:$V$11)*(1+$D$3)^(D34-1)</f>
        <v>0</v>
      </c>
      <c r="AE34" s="10">
        <f>IF(B34=$M$12,-$M$13*(1+$D$3)^(D34-1),0)</f>
        <v>0</v>
      </c>
      <c r="AF34" s="10">
        <f>SUM(AC34:AE34)</f>
        <v>-110635</v>
      </c>
      <c r="AG34" s="10">
        <f>AJ33</f>
        <v>3129161</v>
      </c>
      <c r="AH34" s="10">
        <f>AG34*$D$7</f>
        <v>234687</v>
      </c>
      <c r="AI34" s="10">
        <f>MAX(0,-(AG34+AH34+X34+AB34+AF34))</f>
        <v>0</v>
      </c>
      <c r="AJ34" s="10">
        <f>AG34+AH34+X34+AB34+AF34+AI34</f>
        <v>3253213</v>
      </c>
      <c r="AK34" s="10">
        <f>AJ34/(1+$D$3)^D34</f>
        <v>1633927</v>
      </c>
      <c r="AL34" s="4">
        <f>IF(AG34&lt;=0,0,-AF34/AG34)</f>
        <v>0.03535599373194161</v>
      </c>
    </row>
    <row r="35">
      <c r="B35" s="9">
        <f>B34+1</f>
        <v>2044</v>
      </c>
      <c r="C35" s="9">
        <f>C34+1</f>
        <v>63</v>
      </c>
      <c r="D35" s="9">
        <f>D34+1</f>
        <v>19</v>
      </c>
      <c r="E35" t="str">
        <f>IF(D35&lt;=$G$7,"Acumulación","Retiro")</f>
        <v>Retiro</v>
      </c>
      <c r="F35" s="10">
        <f>IF(D35&lt;=$G$8,$G$1*12*(1+$D$3)^(D35-1),0)</f>
        <v>0</v>
      </c>
      <c r="G35" s="10">
        <f>IF(AND($G$2&gt;0,D35&gt;=$G$3),$G$2*12*(1+$D$3)^(D35-1),0)</f>
        <v>21238</v>
      </c>
      <c r="H35" s="10">
        <f>SUMPRODUCT(($M$9:$V$9&gt;=B35)*$M$8:$V$8)*12*(1+$D$3)^(D35-1)</f>
        <v>0</v>
      </c>
      <c r="I35" s="10">
        <f>IF(AND($G$4&gt;0,D35&gt;=$G$6),$G$4*12*(1+$D$3)^($G$6-1)*(1+$D$4)^(D35-$G$6),0)</f>
        <v>0</v>
      </c>
      <c r="J35" s="10">
        <f>'Fondos de pensión'!T37</f>
        <v>0</v>
      </c>
      <c r="K35" s="10">
        <f>SUM(F35:J35)</f>
        <v>21238</v>
      </c>
      <c r="L35" s="10">
        <f>SUMIF($M$1:$V$1,B35,$M$2:$V$2)*(1+$D$3)^(D35-1)</f>
        <v>0</v>
      </c>
      <c r="M35" s="10">
        <f>'Fondos de pensión'!S37</f>
        <v>0</v>
      </c>
      <c r="N35" s="10">
        <f>SUM(L35:M35)</f>
        <v>0</v>
      </c>
      <c r="O35" s="10">
        <f>K35+N35</f>
        <v>21238</v>
      </c>
      <c r="P35" s="10">
        <f>$J$1*12*(1+$D$3)^(D35-1)*IF(D35&gt;$G$7,$J$2,1)</f>
        <v>124241</v>
      </c>
      <c r="Q35" s="10">
        <f>SUMPRODUCT(($M$5:$V$5&lt;=B35)*($M$5:$V$5+$M$6:$V$6&gt;B35)*$M$7:$V$7)*(1+$D$3)^(D35-1)</f>
        <v>0</v>
      </c>
      <c r="R35" s="10">
        <f>IF(D35&lt;=$J$5,$J$4*12,0)+IF(D35&lt;=$J$7,$J$6*12,0)</f>
        <v>0</v>
      </c>
      <c r="S35" s="10">
        <f>SUM(P35:R35)</f>
        <v>124241</v>
      </c>
      <c r="T35" s="10">
        <f>$J$3*(1+$D$3)^(D35-1)</f>
        <v>11946</v>
      </c>
      <c r="U35" s="10">
        <f>S35+T35</f>
        <v>136187</v>
      </c>
      <c r="V35" s="10">
        <f>O35-U35</f>
        <v>-114949</v>
      </c>
      <c r="W35" s="10">
        <f>MAX(0,V35)</f>
        <v>0</v>
      </c>
      <c r="X35" s="10">
        <f>W35</f>
        <v>0</v>
      </c>
      <c r="Y35" s="10">
        <f>SUMPRODUCT(($M$3:$V$3=B35)*($M$14:$V$14=1)*$M$4:$V$4)*(1+$D$3)^(D35-1)</f>
        <v>0</v>
      </c>
      <c r="Z35" s="10">
        <f>SUMPRODUCT(($M$3:$V$3=B35)*($M$14:$V$14=2)*$M$4:$V$4)*(1+$D$3)^(D35-1)</f>
        <v>0</v>
      </c>
      <c r="AA35" s="10">
        <f>SUMPRODUCT(($M$3:$V$3=B35)*($M$14:$V$14=3)*$M$4:$V$4)*(1+$D$3)^(D35-1)</f>
        <v>0</v>
      </c>
      <c r="AB35" s="10">
        <f>SUM(Y35:AA35)</f>
        <v>0</v>
      </c>
      <c r="AC35" s="10">
        <f>MIN(0,V35)</f>
        <v>-114949</v>
      </c>
      <c r="AD35" s="10">
        <f>-SUMIF($M$10:$V$10,B35,$M$11:$V$11)*(1+$D$3)^(D35-1)</f>
        <v>0</v>
      </c>
      <c r="AE35" s="10">
        <f>IF(B35=$M$12,-$M$13*(1+$D$3)^(D35-1),0)</f>
        <v>0</v>
      </c>
      <c r="AF35" s="10">
        <f>SUM(AC35:AE35)</f>
        <v>-114949</v>
      </c>
      <c r="AG35" s="10">
        <f>AJ34</f>
        <v>3253213</v>
      </c>
      <c r="AH35" s="10">
        <f>AG35*$D$7</f>
        <v>243991</v>
      </c>
      <c r="AI35" s="10">
        <f>MAX(0,-(AG35+AH35+X35+AB35+AF35))</f>
        <v>0</v>
      </c>
      <c r="AJ35" s="10">
        <f>AG35+AH35+X35+AB35+AF35+AI35</f>
        <v>3382255</v>
      </c>
      <c r="AK35" s="10">
        <f>AJ35/(1+$D$3)^D35</f>
        <v>1634974</v>
      </c>
      <c r="AL35" s="4">
        <f>IF(AG35&lt;=0,0,-AF35/AG35)</f>
        <v>0.03533409250282901</v>
      </c>
    </row>
    <row r="36">
      <c r="B36" s="9">
        <f>B35+1</f>
        <v>2045</v>
      </c>
      <c r="C36" s="9">
        <f>C35+1</f>
        <v>64</v>
      </c>
      <c r="D36" s="9">
        <f>D35+1</f>
        <v>20</v>
      </c>
      <c r="E36" t="str">
        <f>IF(D36&lt;=$G$7,"Acumulación","Retiro")</f>
        <v>Retiro</v>
      </c>
      <c r="F36" s="10">
        <f>IF(D36&lt;=$G$8,$G$1*12*(1+$D$3)^(D36-1),0)</f>
        <v>0</v>
      </c>
      <c r="G36" s="10">
        <f>IF(AND($G$2&gt;0,D36&gt;=$G$3),$G$2*12*(1+$D$3)^(D36-1),0)</f>
        <v>22066</v>
      </c>
      <c r="H36" s="10">
        <f>SUMPRODUCT(($M$9:$V$9&gt;=B36)*$M$8:$V$8)*12*(1+$D$3)^(D36-1)</f>
        <v>0</v>
      </c>
      <c r="I36" s="10">
        <f>IF(AND($G$4&gt;0,D36&gt;=$G$6),$G$4*12*(1+$D$3)^($G$6-1)*(1+$D$4)^(D36-$G$6),0)</f>
        <v>0</v>
      </c>
      <c r="J36" s="10">
        <f>'Fondos de pensión'!T38</f>
        <v>0</v>
      </c>
      <c r="K36" s="10">
        <f>SUM(F36:J36)</f>
        <v>22066</v>
      </c>
      <c r="L36" s="10">
        <f>SUMIF($M$1:$V$1,B36,$M$2:$V$2)*(1+$D$3)^(D36-1)</f>
        <v>0</v>
      </c>
      <c r="M36" s="10">
        <f>'Fondos de pensión'!S38</f>
        <v>0</v>
      </c>
      <c r="N36" s="10">
        <f>SUM(L36:M36)</f>
        <v>0</v>
      </c>
      <c r="O36" s="10">
        <f>K36+N36</f>
        <v>22066</v>
      </c>
      <c r="P36" s="10">
        <f>$J$1*12*(1+$D$3)^(D36-1)*IF(D36&gt;$G$7,$J$2,1)</f>
        <v>129086</v>
      </c>
      <c r="Q36" s="10">
        <f>SUMPRODUCT(($M$5:$V$5&lt;=B36)*($M$5:$V$5+$M$6:$V$6&gt;B36)*$M$7:$V$7)*(1+$D$3)^(D36-1)</f>
        <v>0</v>
      </c>
      <c r="R36" s="10">
        <f>IF(D36&lt;=$J$5,$J$4*12,0)+IF(D36&lt;=$J$7,$J$6*12,0)</f>
        <v>0</v>
      </c>
      <c r="S36" s="10">
        <f>SUM(P36:R36)</f>
        <v>129086</v>
      </c>
      <c r="T36" s="10">
        <f>$J$3*(1+$D$3)^(D36-1)</f>
        <v>12412</v>
      </c>
      <c r="U36" s="10">
        <f>S36+T36</f>
        <v>141498</v>
      </c>
      <c r="V36" s="10">
        <f>O36-U36</f>
        <v>-119432</v>
      </c>
      <c r="W36" s="10">
        <f>MAX(0,V36)</f>
        <v>0</v>
      </c>
      <c r="X36" s="10">
        <f>W36</f>
        <v>0</v>
      </c>
      <c r="Y36" s="10">
        <f>SUMPRODUCT(($M$3:$V$3=B36)*($M$14:$V$14=1)*$M$4:$V$4)*(1+$D$3)^(D36-1)</f>
        <v>0</v>
      </c>
      <c r="Z36" s="10">
        <f>SUMPRODUCT(($M$3:$V$3=B36)*($M$14:$V$14=2)*$M$4:$V$4)*(1+$D$3)^(D36-1)</f>
        <v>0</v>
      </c>
      <c r="AA36" s="10">
        <f>SUMPRODUCT(($M$3:$V$3=B36)*($M$14:$V$14=3)*$M$4:$V$4)*(1+$D$3)^(D36-1)</f>
        <v>0</v>
      </c>
      <c r="AB36" s="10">
        <f>SUM(Y36:AA36)</f>
        <v>0</v>
      </c>
      <c r="AC36" s="10">
        <f>MIN(0,V36)</f>
        <v>-119432</v>
      </c>
      <c r="AD36" s="10">
        <f>-SUMIF($M$10:$V$10,B36,$M$11:$V$11)*(1+$D$3)^(D36-1)</f>
        <v>0</v>
      </c>
      <c r="AE36" s="10">
        <f>IF(B36=$M$12,-$M$13*(1+$D$3)^(D36-1),0)</f>
        <v>0</v>
      </c>
      <c r="AF36" s="10">
        <f>SUM(AC36:AE36)</f>
        <v>-119432</v>
      </c>
      <c r="AG36" s="10">
        <f>AJ35</f>
        <v>3382255</v>
      </c>
      <c r="AH36" s="10">
        <f>AG36*$D$7</f>
        <v>253669</v>
      </c>
      <c r="AI36" s="10">
        <f>MAX(0,-(AG36+AH36+X36+AB36+AF36))</f>
        <v>0</v>
      </c>
      <c r="AJ36" s="10">
        <f>AG36+AH36+X36+AB36+AF36+AI36</f>
        <v>3516492</v>
      </c>
      <c r="AK36" s="10">
        <f>AJ36/(1+$D$3)^D36</f>
        <v>1636058</v>
      </c>
      <c r="AL36" s="4">
        <f>IF(AG36&lt;=0,0,-AF36/AG36)</f>
        <v>0.035311460966165456</v>
      </c>
    </row>
    <row r="37">
      <c r="B37" s="9">
        <f>B36+1</f>
        <v>2046</v>
      </c>
      <c r="C37" s="9">
        <f>C36+1</f>
        <v>65</v>
      </c>
      <c r="D37" s="9">
        <f>D36+1</f>
        <v>21</v>
      </c>
      <c r="E37" t="str">
        <f>IF(D37&lt;=$G$7,"Acumulación","Retiro")</f>
        <v>Retiro</v>
      </c>
      <c r="F37" s="10">
        <f>IF(D37&lt;=$G$8,$G$1*12*(1+$D$3)^(D37-1),0)</f>
        <v>0</v>
      </c>
      <c r="G37" s="10">
        <f>IF(AND($G$2&gt;0,D37&gt;=$G$3),$G$2*12*(1+$D$3)^(D37-1),0)</f>
        <v>22927</v>
      </c>
      <c r="H37" s="10">
        <f>SUMPRODUCT(($M$9:$V$9&gt;=B37)*$M$8:$V$8)*12*(1+$D$3)^(D37-1)</f>
        <v>0</v>
      </c>
      <c r="I37" s="10">
        <f>IF(AND($G$4&gt;0,D37&gt;=$G$6),$G$4*12*(1+$D$3)^($G$6-1)*(1+$D$4)^(D37-$G$6),0)</f>
        <v>37256</v>
      </c>
      <c r="J37" s="10">
        <f>'Fondos de pensión'!T39</f>
        <v>25747</v>
      </c>
      <c r="K37" s="10">
        <f>SUM(F37:J37)</f>
        <v>85930</v>
      </c>
      <c r="L37" s="10">
        <f>SUMIF($M$1:$V$1,B37,$M$2:$V$2)*(1+$D$3)^(D37-1)</f>
        <v>0</v>
      </c>
      <c r="M37" s="10">
        <f>'Fondos de pensión'!S39</f>
        <v>0</v>
      </c>
      <c r="N37" s="10">
        <f>SUM(L37:M37)</f>
        <v>0</v>
      </c>
      <c r="O37" s="10">
        <f>K37+N37</f>
        <v>85930</v>
      </c>
      <c r="P37" s="10">
        <f>$J$1*12*(1+$D$3)^(D37-1)*IF(D37&gt;$G$7,$J$2,1)</f>
        <v>134121</v>
      </c>
      <c r="Q37" s="10">
        <f>SUMPRODUCT(($M$5:$V$5&lt;=B37)*($M$5:$V$5+$M$6:$V$6&gt;B37)*$M$7:$V$7)*(1+$D$3)^(D37-1)</f>
        <v>0</v>
      </c>
      <c r="R37" s="10">
        <f>IF(D37&lt;=$J$5,$J$4*12,0)+IF(D37&lt;=$J$7,$J$6*12,0)</f>
        <v>0</v>
      </c>
      <c r="S37" s="10">
        <f>SUM(P37:R37)</f>
        <v>134121</v>
      </c>
      <c r="T37" s="10">
        <f>$J$3*(1+$D$3)^(D37-1)</f>
        <v>12896</v>
      </c>
      <c r="U37" s="10">
        <f>S37+T37</f>
        <v>147017</v>
      </c>
      <c r="V37" s="10">
        <f>O37-U37</f>
        <v>-61087</v>
      </c>
      <c r="W37" s="10">
        <f>MAX(0,V37)</f>
        <v>0</v>
      </c>
      <c r="X37" s="10">
        <f>W37</f>
        <v>0</v>
      </c>
      <c r="Y37" s="10">
        <f>SUMPRODUCT(($M$3:$V$3=B37)*($M$14:$V$14=1)*$M$4:$V$4)*(1+$D$3)^(D37-1)</f>
        <v>0</v>
      </c>
      <c r="Z37" s="10">
        <f>SUMPRODUCT(($M$3:$V$3=B37)*($M$14:$V$14=2)*$M$4:$V$4)*(1+$D$3)^(D37-1)</f>
        <v>0</v>
      </c>
      <c r="AA37" s="10">
        <f>SUMPRODUCT(($M$3:$V$3=B37)*($M$14:$V$14=3)*$M$4:$V$4)*(1+$D$3)^(D37-1)</f>
        <v>0</v>
      </c>
      <c r="AB37" s="10">
        <f>SUM(Y37:AA37)</f>
        <v>0</v>
      </c>
      <c r="AC37" s="10">
        <f>MIN(0,V37)</f>
        <v>-61087</v>
      </c>
      <c r="AD37" s="10">
        <f>-SUMIF($M$10:$V$10,B37,$M$11:$V$11)*(1+$D$3)^(D37-1)</f>
        <v>0</v>
      </c>
      <c r="AE37" s="10">
        <f>IF(B37=$M$12,-$M$13*(1+$D$3)^(D37-1),0)</f>
        <v>0</v>
      </c>
      <c r="AF37" s="10">
        <f>SUM(AC37:AE37)</f>
        <v>-61087</v>
      </c>
      <c r="AG37" s="10">
        <f>AJ36</f>
        <v>3516492</v>
      </c>
      <c r="AH37" s="10">
        <f>AG37*$D$7</f>
        <v>263737</v>
      </c>
      <c r="AI37" s="10">
        <f>MAX(0,-(AG37+AH37+X37+AB37+AF37))</f>
        <v>0</v>
      </c>
      <c r="AJ37" s="10">
        <f>AG37+AH37+X37+AB37+AF37+AI37</f>
        <v>3719142</v>
      </c>
      <c r="AK37" s="10">
        <f>AJ37/(1+$D$3)^D37</f>
        <v>1665391</v>
      </c>
      <c r="AL37" s="4">
        <f>IF(AG37&lt;=0,0,-AF37/AG37)</f>
        <v>0.017371600595390137</v>
      </c>
    </row>
    <row r="38">
      <c r="B38" s="9">
        <f>B37+1</f>
        <v>2047</v>
      </c>
      <c r="C38" s="9">
        <f>C37+1</f>
        <v>66</v>
      </c>
      <c r="D38" s="9">
        <f>D37+1</f>
        <v>22</v>
      </c>
      <c r="E38" t="str">
        <f>IF(D38&lt;=$G$7,"Acumulación","Retiro")</f>
        <v>Retiro</v>
      </c>
      <c r="F38" s="10">
        <f>IF(D38&lt;=$G$8,$G$1*12*(1+$D$3)^(D38-1),0)</f>
        <v>0</v>
      </c>
      <c r="G38" s="10">
        <f>IF(AND($G$2&gt;0,D38&gt;=$G$3),$G$2*12*(1+$D$3)^(D38-1),0)</f>
        <v>23821</v>
      </c>
      <c r="H38" s="10">
        <f>SUMPRODUCT(($M$9:$V$9&gt;=B38)*$M$8:$V$8)*12*(1+$D$3)^(D38-1)</f>
        <v>0</v>
      </c>
      <c r="I38" s="10">
        <f>IF(AND($G$4&gt;0,D38&gt;=$G$6),$G$4*12*(1+$D$3)^($G$6-1)*(1+$D$4)^(D38-$G$6),0)</f>
        <v>37628</v>
      </c>
      <c r="J38" s="10">
        <f>'Fondos de pensión'!T40</f>
        <v>25747</v>
      </c>
      <c r="K38" s="10">
        <f>SUM(F38:J38)</f>
        <v>87196</v>
      </c>
      <c r="L38" s="10">
        <f>SUMIF($M$1:$V$1,B38,$M$2:$V$2)*(1+$D$3)^(D38-1)</f>
        <v>0</v>
      </c>
      <c r="M38" s="10">
        <f>'Fondos de pensión'!S40</f>
        <v>0</v>
      </c>
      <c r="N38" s="10">
        <f>SUM(L38:M38)</f>
        <v>0</v>
      </c>
      <c r="O38" s="10">
        <f>K38+N38</f>
        <v>87196</v>
      </c>
      <c r="P38" s="10">
        <f>$J$1*12*(1+$D$3)^(D38-1)*IF(D38&gt;$G$7,$J$2,1)</f>
        <v>139351</v>
      </c>
      <c r="Q38" s="10">
        <f>SUMPRODUCT(($M$5:$V$5&lt;=B38)*($M$5:$V$5+$M$6:$V$6&gt;B38)*$M$7:$V$7)*(1+$D$3)^(D38-1)</f>
        <v>0</v>
      </c>
      <c r="R38" s="10">
        <f>IF(D38&lt;=$J$5,$J$4*12,0)+IF(D38&lt;=$J$7,$J$6*12,0)</f>
        <v>0</v>
      </c>
      <c r="S38" s="10">
        <f>SUM(P38:R38)</f>
        <v>139351</v>
      </c>
      <c r="T38" s="10">
        <f>$J$3*(1+$D$3)^(D38-1)</f>
        <v>13399</v>
      </c>
      <c r="U38" s="10">
        <f>S38+T38</f>
        <v>152750</v>
      </c>
      <c r="V38" s="10">
        <f>O38-U38</f>
        <v>-65554</v>
      </c>
      <c r="W38" s="10">
        <f>MAX(0,V38)</f>
        <v>0</v>
      </c>
      <c r="X38" s="10">
        <f>W38</f>
        <v>0</v>
      </c>
      <c r="Y38" s="10">
        <f>SUMPRODUCT(($M$3:$V$3=B38)*($M$14:$V$14=1)*$M$4:$V$4)*(1+$D$3)^(D38-1)</f>
        <v>0</v>
      </c>
      <c r="Z38" s="10">
        <f>SUMPRODUCT(($M$3:$V$3=B38)*($M$14:$V$14=2)*$M$4:$V$4)*(1+$D$3)^(D38-1)</f>
        <v>0</v>
      </c>
      <c r="AA38" s="10">
        <f>SUMPRODUCT(($M$3:$V$3=B38)*($M$14:$V$14=3)*$M$4:$V$4)*(1+$D$3)^(D38-1)</f>
        <v>0</v>
      </c>
      <c r="AB38" s="10">
        <f>SUM(Y38:AA38)</f>
        <v>0</v>
      </c>
      <c r="AC38" s="10">
        <f>MIN(0,V38)</f>
        <v>-65554</v>
      </c>
      <c r="AD38" s="10">
        <f>-SUMIF($M$10:$V$10,B38,$M$11:$V$11)*(1+$D$3)^(D38-1)</f>
        <v>0</v>
      </c>
      <c r="AE38" s="10">
        <f>IF(B38=$M$12,-$M$13*(1+$D$3)^(D38-1),0)</f>
        <v>0</v>
      </c>
      <c r="AF38" s="10">
        <f>SUM(AC38:AE38)</f>
        <v>-65554</v>
      </c>
      <c r="AG38" s="10">
        <f>AJ37</f>
        <v>3719142</v>
      </c>
      <c r="AH38" s="10">
        <f>AG38*$D$7</f>
        <v>278936</v>
      </c>
      <c r="AI38" s="10">
        <f>MAX(0,-(AG38+AH38+X38+AB38+AF38))</f>
        <v>0</v>
      </c>
      <c r="AJ38" s="10">
        <f>AG38+AH38+X38+AB38+AF38+AI38</f>
        <v>3932523</v>
      </c>
      <c r="AK38" s="10">
        <f>AJ38/(1+$D$3)^D38</f>
        <v>1694842</v>
      </c>
      <c r="AL38" s="4">
        <f>IF(AG38&lt;=0,0,-AF38/AG38)</f>
        <v>0.01762612448468289</v>
      </c>
    </row>
    <row r="39">
      <c r="B39" s="9">
        <f>B38+1</f>
        <v>2048</v>
      </c>
      <c r="C39" s="9">
        <f>C38+1</f>
        <v>67</v>
      </c>
      <c r="D39" s="9">
        <f>D38+1</f>
        <v>23</v>
      </c>
      <c r="E39" t="str">
        <f>IF(D39&lt;=$G$7,"Acumulación","Retiro")</f>
        <v>Retiro</v>
      </c>
      <c r="F39" s="10">
        <f>IF(D39&lt;=$G$8,$G$1*12*(1+$D$3)^(D39-1),0)</f>
        <v>0</v>
      </c>
      <c r="G39" s="10">
        <f>IF(AND($G$2&gt;0,D39&gt;=$G$3),$G$2*12*(1+$D$3)^(D39-1),0)</f>
        <v>24750</v>
      </c>
      <c r="H39" s="10">
        <f>SUMPRODUCT(($M$9:$V$9&gt;=B39)*$M$8:$V$8)*12*(1+$D$3)^(D39-1)</f>
        <v>0</v>
      </c>
      <c r="I39" s="10">
        <f>IF(AND($G$4&gt;0,D39&gt;=$G$6),$G$4*12*(1+$D$3)^($G$6-1)*(1+$D$4)^(D39-$G$6),0)</f>
        <v>38005</v>
      </c>
      <c r="J39" s="10">
        <f>'Fondos de pensión'!T41</f>
        <v>25747</v>
      </c>
      <c r="K39" s="10">
        <f>SUM(F39:J39)</f>
        <v>88502</v>
      </c>
      <c r="L39" s="10">
        <f>SUMIF($M$1:$V$1,B39,$M$2:$V$2)*(1+$D$3)^(D39-1)</f>
        <v>0</v>
      </c>
      <c r="M39" s="10">
        <f>'Fondos de pensión'!S41</f>
        <v>0</v>
      </c>
      <c r="N39" s="10">
        <f>SUM(L39:M39)</f>
        <v>0</v>
      </c>
      <c r="O39" s="10">
        <f>K39+N39</f>
        <v>88502</v>
      </c>
      <c r="P39" s="10">
        <f>$J$1*12*(1+$D$3)^(D39-1)*IF(D39&gt;$G$7,$J$2,1)</f>
        <v>144786</v>
      </c>
      <c r="Q39" s="10">
        <f>SUMPRODUCT(($M$5:$V$5&lt;=B39)*($M$5:$V$5+$M$6:$V$6&gt;B39)*$M$7:$V$7)*(1+$D$3)^(D39-1)</f>
        <v>0</v>
      </c>
      <c r="R39" s="10">
        <f>IF(D39&lt;=$J$5,$J$4*12,0)+IF(D39&lt;=$J$7,$J$6*12,0)</f>
        <v>0</v>
      </c>
      <c r="S39" s="10">
        <f>SUM(P39:R39)</f>
        <v>144786</v>
      </c>
      <c r="T39" s="10">
        <f>$J$3*(1+$D$3)^(D39-1)</f>
        <v>13922</v>
      </c>
      <c r="U39" s="10">
        <f>S39+T39</f>
        <v>158708</v>
      </c>
      <c r="V39" s="10">
        <f>O39-U39</f>
        <v>-70206</v>
      </c>
      <c r="W39" s="10">
        <f>MAX(0,V39)</f>
        <v>0</v>
      </c>
      <c r="X39" s="10">
        <f>W39</f>
        <v>0</v>
      </c>
      <c r="Y39" s="10">
        <f>SUMPRODUCT(($M$3:$V$3=B39)*($M$14:$V$14=1)*$M$4:$V$4)*(1+$D$3)^(D39-1)</f>
        <v>0</v>
      </c>
      <c r="Z39" s="10">
        <f>SUMPRODUCT(($M$3:$V$3=B39)*($M$14:$V$14=2)*$M$4:$V$4)*(1+$D$3)^(D39-1)</f>
        <v>0</v>
      </c>
      <c r="AA39" s="10">
        <f>SUMPRODUCT(($M$3:$V$3=B39)*($M$14:$V$14=3)*$M$4:$V$4)*(1+$D$3)^(D39-1)</f>
        <v>0</v>
      </c>
      <c r="AB39" s="10">
        <f>SUM(Y39:AA39)</f>
        <v>0</v>
      </c>
      <c r="AC39" s="10">
        <f>MIN(0,V39)</f>
        <v>-70206</v>
      </c>
      <c r="AD39" s="10">
        <f>-SUMIF($M$10:$V$10,B39,$M$11:$V$11)*(1+$D$3)^(D39-1)</f>
        <v>0</v>
      </c>
      <c r="AE39" s="10">
        <f>IF(B39=$M$12,-$M$13*(1+$D$3)^(D39-1),0)</f>
        <v>0</v>
      </c>
      <c r="AF39" s="10">
        <f>SUM(AC39:AE39)</f>
        <v>-70206</v>
      </c>
      <c r="AG39" s="10">
        <f>AJ38</f>
        <v>3932523</v>
      </c>
      <c r="AH39" s="10">
        <f>AG39*$D$7</f>
        <v>294939</v>
      </c>
      <c r="AI39" s="10">
        <f>MAX(0,-(AG39+AH39+X39+AB39+AF39))</f>
        <v>0</v>
      </c>
      <c r="AJ39" s="10">
        <f>AG39+AH39+X39+AB39+AF39+AI39</f>
        <v>4157256</v>
      </c>
      <c r="AK39" s="10">
        <f>AJ39/(1+$D$3)^D39</f>
        <v>1724444</v>
      </c>
      <c r="AL39" s="4">
        <f>IF(AG39&lt;=0,0,-AF39/AG39)</f>
        <v>0.01785266791091656</v>
      </c>
    </row>
    <row r="40">
      <c r="B40" s="9">
        <f>B39+1</f>
        <v>2049</v>
      </c>
      <c r="C40" s="9">
        <f>C39+1</f>
        <v>68</v>
      </c>
      <c r="D40" s="9">
        <f>D39+1</f>
        <v>24</v>
      </c>
      <c r="E40" t="str">
        <f>IF(D40&lt;=$G$7,"Acumulación","Retiro")</f>
        <v>Retiro</v>
      </c>
      <c r="F40" s="10">
        <f>IF(D40&lt;=$G$8,$G$1*12*(1+$D$3)^(D40-1),0)</f>
        <v>0</v>
      </c>
      <c r="G40" s="10">
        <f>IF(AND($G$2&gt;0,D40&gt;=$G$3),$G$2*12*(1+$D$3)^(D40-1),0)</f>
        <v>25715</v>
      </c>
      <c r="H40" s="10">
        <f>SUMPRODUCT(($M$9:$V$9&gt;=B40)*$M$8:$V$8)*12*(1+$D$3)^(D40-1)</f>
        <v>0</v>
      </c>
      <c r="I40" s="10">
        <f>IF(AND($G$4&gt;0,D40&gt;=$G$6),$G$4*12*(1+$D$3)^($G$6-1)*(1+$D$4)^(D40-$G$6),0)</f>
        <v>38385</v>
      </c>
      <c r="J40" s="10">
        <f>'Fondos de pensión'!T42</f>
        <v>25747</v>
      </c>
      <c r="K40" s="10">
        <f>SUM(F40:J40)</f>
        <v>89847</v>
      </c>
      <c r="L40" s="10">
        <f>SUMIF($M$1:$V$1,B40,$M$2:$V$2)*(1+$D$3)^(D40-1)</f>
        <v>0</v>
      </c>
      <c r="M40" s="10">
        <f>'Fondos de pensión'!S42</f>
        <v>0</v>
      </c>
      <c r="N40" s="10">
        <f>SUM(L40:M40)</f>
        <v>0</v>
      </c>
      <c r="O40" s="10">
        <f>K40+N40</f>
        <v>89847</v>
      </c>
      <c r="P40" s="10">
        <f>$J$1*12*(1+$D$3)^(D40-1)*IF(D40&gt;$G$7,$J$2,1)</f>
        <v>150433</v>
      </c>
      <c r="Q40" s="10">
        <f>SUMPRODUCT(($M$5:$V$5&lt;=B40)*($M$5:$V$5+$M$6:$V$6&gt;B40)*$M$7:$V$7)*(1+$D$3)^(D40-1)</f>
        <v>0</v>
      </c>
      <c r="R40" s="10">
        <f>IF(D40&lt;=$J$5,$J$4*12,0)+IF(D40&lt;=$J$7,$J$6*12,0)</f>
        <v>0</v>
      </c>
      <c r="S40" s="10">
        <f>SUM(P40:R40)</f>
        <v>150433</v>
      </c>
      <c r="T40" s="10">
        <f>$J$3*(1+$D$3)^(D40-1)</f>
        <v>14465</v>
      </c>
      <c r="U40" s="10">
        <f>S40+T40</f>
        <v>164897</v>
      </c>
      <c r="V40" s="10">
        <f>O40-U40</f>
        <v>-75050</v>
      </c>
      <c r="W40" s="10">
        <f>MAX(0,V40)</f>
        <v>0</v>
      </c>
      <c r="X40" s="10">
        <f>W40</f>
        <v>0</v>
      </c>
      <c r="Y40" s="10">
        <f>SUMPRODUCT(($M$3:$V$3=B40)*($M$14:$V$14=1)*$M$4:$V$4)*(1+$D$3)^(D40-1)</f>
        <v>0</v>
      </c>
      <c r="Z40" s="10">
        <f>SUMPRODUCT(($M$3:$V$3=B40)*($M$14:$V$14=2)*$M$4:$V$4)*(1+$D$3)^(D40-1)</f>
        <v>0</v>
      </c>
      <c r="AA40" s="10">
        <f>SUMPRODUCT(($M$3:$V$3=B40)*($M$14:$V$14=3)*$M$4:$V$4)*(1+$D$3)^(D40-1)</f>
        <v>0</v>
      </c>
      <c r="AB40" s="10">
        <f>SUM(Y40:AA40)</f>
        <v>0</v>
      </c>
      <c r="AC40" s="10">
        <f>MIN(0,V40)</f>
        <v>-75050</v>
      </c>
      <c r="AD40" s="10">
        <f>-SUMIF($M$10:$V$10,B40,$M$11:$V$11)*(1+$D$3)^(D40-1)</f>
        <v>0</v>
      </c>
      <c r="AE40" s="10">
        <f>IF(B40=$M$12,-$M$13*(1+$D$3)^(D40-1),0)</f>
        <v>0</v>
      </c>
      <c r="AF40" s="10">
        <f>SUM(AC40:AE40)</f>
        <v>-75050</v>
      </c>
      <c r="AG40" s="10">
        <f>AJ39</f>
        <v>4157256</v>
      </c>
      <c r="AH40" s="10">
        <f>AG40*$D$7</f>
        <v>311794</v>
      </c>
      <c r="AI40" s="10">
        <f>MAX(0,-(AG40+AH40+X40+AB40+AF40))</f>
        <v>0</v>
      </c>
      <c r="AJ40" s="10">
        <f>AG40+AH40+X40+AB40+AF40+AI40</f>
        <v>4394000</v>
      </c>
      <c r="AK40" s="10">
        <f>AJ40/(1+$D$3)^D40</f>
        <v>1754232</v>
      </c>
      <c r="AL40" s="4">
        <f>IF(AG40&lt;=0,0,-AF40/AG40)</f>
        <v>0.01805285506840928</v>
      </c>
    </row>
    <row r="41">
      <c r="B41" s="9">
        <f>B40+1</f>
        <v>2050</v>
      </c>
      <c r="C41" s="9">
        <f>C40+1</f>
        <v>69</v>
      </c>
      <c r="D41" s="9">
        <f>D40+1</f>
        <v>25</v>
      </c>
      <c r="E41" t="str">
        <f>IF(D41&lt;=$G$7,"Acumulación","Retiro")</f>
        <v>Retiro</v>
      </c>
      <c r="F41" s="10">
        <f>IF(D41&lt;=$G$8,$G$1*12*(1+$D$3)^(D41-1),0)</f>
        <v>0</v>
      </c>
      <c r="G41" s="10">
        <f>IF(AND($G$2&gt;0,D41&gt;=$G$3),$G$2*12*(1+$D$3)^(D41-1),0)</f>
        <v>26718</v>
      </c>
      <c r="H41" s="10">
        <f>SUMPRODUCT(($M$9:$V$9&gt;=B41)*$M$8:$V$8)*12*(1+$D$3)^(D41-1)</f>
        <v>0</v>
      </c>
      <c r="I41" s="10">
        <f>IF(AND($G$4&gt;0,D41&gt;=$G$6),$G$4*12*(1+$D$3)^($G$6-1)*(1+$D$4)^(D41-$G$6),0)</f>
        <v>38768</v>
      </c>
      <c r="J41" s="10">
        <f>'Fondos de pensión'!T43</f>
        <v>25747</v>
      </c>
      <c r="K41" s="10">
        <f>SUM(F41:J41)</f>
        <v>91234</v>
      </c>
      <c r="L41" s="10">
        <f>SUMIF($M$1:$V$1,B41,$M$2:$V$2)*(1+$D$3)^(D41-1)</f>
        <v>0</v>
      </c>
      <c r="M41" s="10">
        <f>'Fondos de pensión'!S43</f>
        <v>0</v>
      </c>
      <c r="N41" s="10">
        <f>SUM(L41:M41)</f>
        <v>0</v>
      </c>
      <c r="O41" s="10">
        <f>K41+N41</f>
        <v>91234</v>
      </c>
      <c r="P41" s="10">
        <f>$J$1*12*(1+$D$3)^(D41-1)*IF(D41&gt;$G$7,$J$2,1)</f>
        <v>156300</v>
      </c>
      <c r="Q41" s="10">
        <f>SUMPRODUCT(($M$5:$V$5&lt;=B41)*($M$5:$V$5+$M$6:$V$6&gt;B41)*$M$7:$V$7)*(1+$D$3)^(D41-1)</f>
        <v>0</v>
      </c>
      <c r="R41" s="10">
        <f>IF(D41&lt;=$J$5,$J$4*12,0)+IF(D41&lt;=$J$7,$J$6*12,0)</f>
        <v>0</v>
      </c>
      <c r="S41" s="10">
        <f>SUM(P41:R41)</f>
        <v>156300</v>
      </c>
      <c r="T41" s="10">
        <f>$J$3*(1+$D$3)^(D41-1)</f>
        <v>15029</v>
      </c>
      <c r="U41" s="10">
        <f>S41+T41</f>
        <v>171328</v>
      </c>
      <c r="V41" s="10">
        <f>O41-U41</f>
        <v>-80095</v>
      </c>
      <c r="W41" s="10">
        <f>MAX(0,V41)</f>
        <v>0</v>
      </c>
      <c r="X41" s="10">
        <f>W41</f>
        <v>0</v>
      </c>
      <c r="Y41" s="10">
        <f>SUMPRODUCT(($M$3:$V$3=B41)*($M$14:$V$14=1)*$M$4:$V$4)*(1+$D$3)^(D41-1)</f>
        <v>0</v>
      </c>
      <c r="Z41" s="10">
        <f>SUMPRODUCT(($M$3:$V$3=B41)*($M$14:$V$14=2)*$M$4:$V$4)*(1+$D$3)^(D41-1)</f>
        <v>0</v>
      </c>
      <c r="AA41" s="10">
        <f>SUMPRODUCT(($M$3:$V$3=B41)*($M$14:$V$14=3)*$M$4:$V$4)*(1+$D$3)^(D41-1)</f>
        <v>0</v>
      </c>
      <c r="AB41" s="10">
        <f>SUM(Y41:AA41)</f>
        <v>0</v>
      </c>
      <c r="AC41" s="10">
        <f>MIN(0,V41)</f>
        <v>-80095</v>
      </c>
      <c r="AD41" s="10">
        <f>-SUMIF($M$10:$V$10,B41,$M$11:$V$11)*(1+$D$3)^(D41-1)</f>
        <v>0</v>
      </c>
      <c r="AE41" s="10">
        <f>IF(B41=$M$12,-$M$13*(1+$D$3)^(D41-1),0)</f>
        <v>0</v>
      </c>
      <c r="AF41" s="10">
        <f>SUM(AC41:AE41)</f>
        <v>-80095</v>
      </c>
      <c r="AG41" s="10">
        <f>AJ40</f>
        <v>4394000</v>
      </c>
      <c r="AH41" s="10">
        <f>AG41*$D$7</f>
        <v>329550</v>
      </c>
      <c r="AI41" s="10">
        <f>MAX(0,-(AG41+AH41+X41+AB41+AF41))</f>
        <v>0</v>
      </c>
      <c r="AJ41" s="10">
        <f>AG41+AH41+X41+AB41+AF41+AI41</f>
        <v>4643456</v>
      </c>
      <c r="AK41" s="10">
        <f>AJ41/(1+$D$3)^D41</f>
        <v>1784237</v>
      </c>
      <c r="AL41" s="4">
        <f>IF(AG41&lt;=0,0,-AF41/AG41)</f>
        <v>0.018228176713538453</v>
      </c>
    </row>
    <row r="42">
      <c r="B42" s="9">
        <f>B41+1</f>
        <v>2051</v>
      </c>
      <c r="C42" s="9">
        <f>C41+1</f>
        <v>70</v>
      </c>
      <c r="D42" s="9">
        <f>D41+1</f>
        <v>26</v>
      </c>
      <c r="E42" t="str">
        <f>IF(D42&lt;=$G$7,"Acumulación","Retiro")</f>
        <v>Retiro</v>
      </c>
      <c r="F42" s="10">
        <f>IF(D42&lt;=$G$8,$G$1*12*(1+$D$3)^(D42-1),0)</f>
        <v>0</v>
      </c>
      <c r="G42" s="10">
        <f>IF(AND($G$2&gt;0,D42&gt;=$G$3),$G$2*12*(1+$D$3)^(D42-1),0)</f>
        <v>27760</v>
      </c>
      <c r="H42" s="10">
        <f>SUMPRODUCT(($M$9:$V$9&gt;=B42)*$M$8:$V$8)*12*(1+$D$3)^(D42-1)</f>
        <v>0</v>
      </c>
      <c r="I42" s="10">
        <f>IF(AND($G$4&gt;0,D42&gt;=$G$6),$G$4*12*(1+$D$3)^($G$6-1)*(1+$D$4)^(D42-$G$6),0)</f>
        <v>39156</v>
      </c>
      <c r="J42" s="10">
        <f>'Fondos de pensión'!T44</f>
        <v>25747</v>
      </c>
      <c r="K42" s="10">
        <f>SUM(F42:J42)</f>
        <v>92663</v>
      </c>
      <c r="L42" s="10">
        <f>SUMIF($M$1:$V$1,B42,$M$2:$V$2)*(1+$D$3)^(D42-1)</f>
        <v>0</v>
      </c>
      <c r="M42" s="10">
        <f>'Fondos de pensión'!S44</f>
        <v>0</v>
      </c>
      <c r="N42" s="10">
        <f>SUM(L42:M42)</f>
        <v>0</v>
      </c>
      <c r="O42" s="10">
        <f>K42+N42</f>
        <v>92663</v>
      </c>
      <c r="P42" s="10">
        <f>$J$1*12*(1+$D$3)^(D42-1)*IF(D42&gt;$G$7,$J$2,1)</f>
        <v>162395</v>
      </c>
      <c r="Q42" s="10">
        <f>SUMPRODUCT(($M$5:$V$5&lt;=B42)*($M$5:$V$5+$M$6:$V$6&gt;B42)*$M$7:$V$7)*(1+$D$3)^(D42-1)</f>
        <v>0</v>
      </c>
      <c r="R42" s="10">
        <f>IF(D42&lt;=$J$5,$J$4*12,0)+IF(D42&lt;=$J$7,$J$6*12,0)</f>
        <v>0</v>
      </c>
      <c r="S42" s="10">
        <f>SUM(P42:R42)</f>
        <v>162395</v>
      </c>
      <c r="T42" s="10">
        <f>$J$3*(1+$D$3)^(D42-1)</f>
        <v>15615</v>
      </c>
      <c r="U42" s="10">
        <f>S42+T42</f>
        <v>178010</v>
      </c>
      <c r="V42" s="10">
        <f>O42-U42</f>
        <v>-85347</v>
      </c>
      <c r="W42" s="10">
        <f>MAX(0,V42)</f>
        <v>0</v>
      </c>
      <c r="X42" s="10">
        <f>W42</f>
        <v>0</v>
      </c>
      <c r="Y42" s="10">
        <f>SUMPRODUCT(($M$3:$V$3=B42)*($M$14:$V$14=1)*$M$4:$V$4)*(1+$D$3)^(D42-1)</f>
        <v>0</v>
      </c>
      <c r="Z42" s="10">
        <f>SUMPRODUCT(($M$3:$V$3=B42)*($M$14:$V$14=2)*$M$4:$V$4)*(1+$D$3)^(D42-1)</f>
        <v>0</v>
      </c>
      <c r="AA42" s="10">
        <f>SUMPRODUCT(($M$3:$V$3=B42)*($M$14:$V$14=3)*$M$4:$V$4)*(1+$D$3)^(D42-1)</f>
        <v>0</v>
      </c>
      <c r="AB42" s="10">
        <f>SUM(Y42:AA42)</f>
        <v>0</v>
      </c>
      <c r="AC42" s="10">
        <f>MIN(0,V42)</f>
        <v>-85347</v>
      </c>
      <c r="AD42" s="10">
        <f>-SUMIF($M$10:$V$10,B42,$M$11:$V$11)*(1+$D$3)^(D42-1)</f>
        <v>0</v>
      </c>
      <c r="AE42" s="10">
        <f>IF(B42=$M$12,-$M$13*(1+$D$3)^(D42-1),0)</f>
        <v>0</v>
      </c>
      <c r="AF42" s="10">
        <f>SUM(AC42:AE42)</f>
        <v>-85347</v>
      </c>
      <c r="AG42" s="10">
        <f>AJ41</f>
        <v>4643456</v>
      </c>
      <c r="AH42" s="10">
        <f>AG42*$D$7</f>
        <v>348259</v>
      </c>
      <c r="AI42" s="10">
        <f>MAX(0,-(AG42+AH42+X42+AB42+AF42))</f>
        <v>0</v>
      </c>
      <c r="AJ42" s="10">
        <f>AG42+AH42+X42+AB42+AF42+AI42</f>
        <v>4906368</v>
      </c>
      <c r="AK42" s="10">
        <f>AJ42/(1+$D$3)^D42</f>
        <v>1814495</v>
      </c>
      <c r="AL42" s="4">
        <f>IF(AG42&lt;=0,0,-AF42/AG42)</f>
        <v>0.018380004809473605</v>
      </c>
    </row>
    <row r="43">
      <c r="B43" s="9">
        <f>B42+1</f>
        <v>2052</v>
      </c>
      <c r="C43" s="9">
        <f>C42+1</f>
        <v>71</v>
      </c>
      <c r="D43" s="9">
        <f>D42+1</f>
        <v>27</v>
      </c>
      <c r="E43" t="str">
        <f>IF(D43&lt;=$G$7,"Acumulación","Retiro")</f>
        <v>Retiro</v>
      </c>
      <c r="F43" s="10">
        <f>IF(D43&lt;=$G$8,$G$1*12*(1+$D$3)^(D43-1),0)</f>
        <v>0</v>
      </c>
      <c r="G43" s="10">
        <f>IF(AND($G$2&gt;0,D43&gt;=$G$3),$G$2*12*(1+$D$3)^(D43-1),0)</f>
        <v>28843</v>
      </c>
      <c r="H43" s="10">
        <f>SUMPRODUCT(($M$9:$V$9&gt;=B43)*$M$8:$V$8)*12*(1+$D$3)^(D43-1)</f>
        <v>0</v>
      </c>
      <c r="I43" s="10">
        <f>IF(AND($G$4&gt;0,D43&gt;=$G$6),$G$4*12*(1+$D$3)^($G$6-1)*(1+$D$4)^(D43-$G$6),0)</f>
        <v>39548</v>
      </c>
      <c r="J43" s="10">
        <f>'Fondos de pensión'!T45</f>
        <v>25747</v>
      </c>
      <c r="K43" s="10">
        <f>SUM(F43:J43)</f>
        <v>94138</v>
      </c>
      <c r="L43" s="10">
        <f>SUMIF($M$1:$V$1,B43,$M$2:$V$2)*(1+$D$3)^(D43-1)</f>
        <v>0</v>
      </c>
      <c r="M43" s="10">
        <f>'Fondos de pensión'!S45</f>
        <v>0</v>
      </c>
      <c r="N43" s="10">
        <f>SUM(L43:M43)</f>
        <v>0</v>
      </c>
      <c r="O43" s="10">
        <f>K43+N43</f>
        <v>94138</v>
      </c>
      <c r="P43" s="10">
        <f>$J$1*12*(1+$D$3)^(D43-1)*IF(D43&gt;$G$7,$J$2,1)</f>
        <v>168729</v>
      </c>
      <c r="Q43" s="10">
        <f>SUMPRODUCT(($M$5:$V$5&lt;=B43)*($M$5:$V$5+$M$6:$V$6&gt;B43)*$M$7:$V$7)*(1+$D$3)^(D43-1)</f>
        <v>0</v>
      </c>
      <c r="R43" s="10">
        <f>IF(D43&lt;=$J$5,$J$4*12,0)+IF(D43&lt;=$J$7,$J$6*12,0)</f>
        <v>0</v>
      </c>
      <c r="S43" s="10">
        <f>SUM(P43:R43)</f>
        <v>168729</v>
      </c>
      <c r="T43" s="10">
        <f>$J$3*(1+$D$3)^(D43-1)</f>
        <v>16224</v>
      </c>
      <c r="U43" s="10">
        <f>S43+T43</f>
        <v>184953</v>
      </c>
      <c r="V43" s="10">
        <f>O43-U43</f>
        <v>-90815</v>
      </c>
      <c r="W43" s="10">
        <f>MAX(0,V43)</f>
        <v>0</v>
      </c>
      <c r="X43" s="10">
        <f>W43</f>
        <v>0</v>
      </c>
      <c r="Y43" s="10">
        <f>SUMPRODUCT(($M$3:$V$3=B43)*($M$14:$V$14=1)*$M$4:$V$4)*(1+$D$3)^(D43-1)</f>
        <v>0</v>
      </c>
      <c r="Z43" s="10">
        <f>SUMPRODUCT(($M$3:$V$3=B43)*($M$14:$V$14=2)*$M$4:$V$4)*(1+$D$3)^(D43-1)</f>
        <v>0</v>
      </c>
      <c r="AA43" s="10">
        <f>SUMPRODUCT(($M$3:$V$3=B43)*($M$14:$V$14=3)*$M$4:$V$4)*(1+$D$3)^(D43-1)</f>
        <v>0</v>
      </c>
      <c r="AB43" s="10">
        <f>SUM(Y43:AA43)</f>
        <v>0</v>
      </c>
      <c r="AC43" s="10">
        <f>MIN(0,V43)</f>
        <v>-90815</v>
      </c>
      <c r="AD43" s="10">
        <f>-SUMIF($M$10:$V$10,B43,$M$11:$V$11)*(1+$D$3)^(D43-1)</f>
        <v>0</v>
      </c>
      <c r="AE43" s="10">
        <f>IF(B43=$M$12,-$M$13*(1+$D$3)^(D43-1),0)</f>
        <v>0</v>
      </c>
      <c r="AF43" s="10">
        <f>SUM(AC43:AE43)</f>
        <v>-90815</v>
      </c>
      <c r="AG43" s="10">
        <f>AJ42</f>
        <v>4906368</v>
      </c>
      <c r="AH43" s="10">
        <f>AG43*$D$7</f>
        <v>367978</v>
      </c>
      <c r="AI43" s="10">
        <f>MAX(0,-(AG43+AH43+X43+AB43+AF43))</f>
        <v>0</v>
      </c>
      <c r="AJ43" s="10">
        <f>AG43+AH43+X43+AB43+AF43+AI43</f>
        <v>5183531</v>
      </c>
      <c r="AK43" s="10">
        <f>AJ43/(1+$D$3)^D43</f>
        <v>1845040</v>
      </c>
      <c r="AL43" s="4">
        <f>IF(AG43&lt;=0,0,-AF43/AG43)</f>
        <v>0.018509605377641923</v>
      </c>
    </row>
    <row r="44">
      <c r="B44" s="9">
        <f>B43+1</f>
        <v>2053</v>
      </c>
      <c r="C44" s="9">
        <f>C43+1</f>
        <v>72</v>
      </c>
      <c r="D44" s="9">
        <f>D43+1</f>
        <v>28</v>
      </c>
      <c r="E44" t="str">
        <f>IF(D44&lt;=$G$7,"Acumulación","Retiro")</f>
        <v>Retiro</v>
      </c>
      <c r="F44" s="10">
        <f>IF(D44&lt;=$G$8,$G$1*12*(1+$D$3)^(D44-1),0)</f>
        <v>0</v>
      </c>
      <c r="G44" s="10">
        <f>IF(AND($G$2&gt;0,D44&gt;=$G$3),$G$2*12*(1+$D$3)^(D44-1),0)</f>
        <v>29967</v>
      </c>
      <c r="H44" s="10">
        <f>SUMPRODUCT(($M$9:$V$9&gt;=B44)*$M$8:$V$8)*12*(1+$D$3)^(D44-1)</f>
        <v>0</v>
      </c>
      <c r="I44" s="10">
        <f>IF(AND($G$4&gt;0,D44&gt;=$G$6),$G$4*12*(1+$D$3)^($G$6-1)*(1+$D$4)^(D44-$G$6),0)</f>
        <v>39943</v>
      </c>
      <c r="J44" s="10">
        <f>'Fondos de pensión'!T46</f>
        <v>25747</v>
      </c>
      <c r="K44" s="10">
        <f>SUM(F44:J44)</f>
        <v>95658</v>
      </c>
      <c r="L44" s="10">
        <f>SUMIF($M$1:$V$1,B44,$M$2:$V$2)*(1+$D$3)^(D44-1)</f>
        <v>0</v>
      </c>
      <c r="M44" s="10">
        <f>'Fondos de pensión'!S46</f>
        <v>0</v>
      </c>
      <c r="N44" s="10">
        <f>SUM(L44:M44)</f>
        <v>0</v>
      </c>
      <c r="O44" s="10">
        <f>K44+N44</f>
        <v>95658</v>
      </c>
      <c r="P44" s="10">
        <f>$J$1*12*(1+$D$3)^(D44-1)*IF(D44&gt;$G$7,$J$2,1)</f>
        <v>175309</v>
      </c>
      <c r="Q44" s="10">
        <f>SUMPRODUCT(($M$5:$V$5&lt;=B44)*($M$5:$V$5+$M$6:$V$6&gt;B44)*$M$7:$V$7)*(1+$D$3)^(D44-1)</f>
        <v>0</v>
      </c>
      <c r="R44" s="10">
        <f>IF(D44&lt;=$J$5,$J$4*12,0)+IF(D44&lt;=$J$7,$J$6*12,0)</f>
        <v>0</v>
      </c>
      <c r="S44" s="10">
        <f>SUM(P44:R44)</f>
        <v>175309</v>
      </c>
      <c r="T44" s="10">
        <f>$J$3*(1+$D$3)^(D44-1)</f>
        <v>16857</v>
      </c>
      <c r="U44" s="10">
        <f>S44+T44</f>
        <v>192166</v>
      </c>
      <c r="V44" s="10">
        <f>O44-U44</f>
        <v>-96508</v>
      </c>
      <c r="W44" s="10">
        <f>MAX(0,V44)</f>
        <v>0</v>
      </c>
      <c r="X44" s="10">
        <f>W44</f>
        <v>0</v>
      </c>
      <c r="Y44" s="10">
        <f>SUMPRODUCT(($M$3:$V$3=B44)*($M$14:$V$14=1)*$M$4:$V$4)*(1+$D$3)^(D44-1)</f>
        <v>0</v>
      </c>
      <c r="Z44" s="10">
        <f>SUMPRODUCT(($M$3:$V$3=B44)*($M$14:$V$14=2)*$M$4:$V$4)*(1+$D$3)^(D44-1)</f>
        <v>0</v>
      </c>
      <c r="AA44" s="10">
        <f>SUMPRODUCT(($M$3:$V$3=B44)*($M$14:$V$14=3)*$M$4:$V$4)*(1+$D$3)^(D44-1)</f>
        <v>0</v>
      </c>
      <c r="AB44" s="10">
        <f>SUM(Y44:AA44)</f>
        <v>0</v>
      </c>
      <c r="AC44" s="10">
        <f>MIN(0,V44)</f>
        <v>-96508</v>
      </c>
      <c r="AD44" s="10">
        <f>-SUMIF($M$10:$V$10,B44,$M$11:$V$11)*(1+$D$3)^(D44-1)</f>
        <v>0</v>
      </c>
      <c r="AE44" s="10">
        <f>IF(B44=$M$12,-$M$13*(1+$D$3)^(D44-1),0)</f>
        <v>0</v>
      </c>
      <c r="AF44" s="10">
        <f>SUM(AC44:AE44)</f>
        <v>-96508</v>
      </c>
      <c r="AG44" s="10">
        <f>AJ43</f>
        <v>5183531</v>
      </c>
      <c r="AH44" s="10">
        <f>AG44*$D$7</f>
        <v>388765</v>
      </c>
      <c r="AI44" s="10">
        <f>MAX(0,-(AG44+AH44+X44+AB44+AF44))</f>
        <v>0</v>
      </c>
      <c r="AJ44" s="10">
        <f>AG44+AH44+X44+AB44+AF44+AI44</f>
        <v>5475788</v>
      </c>
      <c r="AK44" s="10">
        <f>AJ44/(1+$D$3)^D44</f>
        <v>1875907</v>
      </c>
      <c r="AL44" s="4">
        <f>IF(AG44&lt;=0,0,-AF44/AG44)</f>
        <v>0.01861814980624692</v>
      </c>
    </row>
    <row r="45">
      <c r="B45" s="9">
        <f>B44+1</f>
        <v>2054</v>
      </c>
      <c r="C45" s="9">
        <f>C44+1</f>
        <v>73</v>
      </c>
      <c r="D45" s="9">
        <f>D44+1</f>
        <v>29</v>
      </c>
      <c r="E45" t="str">
        <f>IF(D45&lt;=$G$7,"Acumulación","Retiro")</f>
        <v>Retiro</v>
      </c>
      <c r="F45" s="10">
        <f>IF(D45&lt;=$G$8,$G$1*12*(1+$D$3)^(D45-1),0)</f>
        <v>0</v>
      </c>
      <c r="G45" s="10">
        <f>IF(AND($G$2&gt;0,D45&gt;=$G$3),$G$2*12*(1+$D$3)^(D45-1),0)</f>
        <v>31136</v>
      </c>
      <c r="H45" s="10">
        <f>SUMPRODUCT(($M$9:$V$9&gt;=B45)*$M$8:$V$8)*12*(1+$D$3)^(D45-1)</f>
        <v>0</v>
      </c>
      <c r="I45" s="10">
        <f>IF(AND($G$4&gt;0,D45&gt;=$G$6),$G$4*12*(1+$D$3)^($G$6-1)*(1+$D$4)^(D45-$G$6),0)</f>
        <v>40343</v>
      </c>
      <c r="J45" s="10">
        <f>'Fondos de pensión'!T47</f>
        <v>25747</v>
      </c>
      <c r="K45" s="10">
        <f>SUM(F45:J45)</f>
        <v>97226</v>
      </c>
      <c r="L45" s="10">
        <f>SUMIF($M$1:$V$1,B45,$M$2:$V$2)*(1+$D$3)^(D45-1)</f>
        <v>0</v>
      </c>
      <c r="M45" s="10">
        <f>'Fondos de pensión'!S47</f>
        <v>0</v>
      </c>
      <c r="N45" s="10">
        <f>SUM(L45:M45)</f>
        <v>0</v>
      </c>
      <c r="O45" s="10">
        <f>K45+N45</f>
        <v>97226</v>
      </c>
      <c r="P45" s="10">
        <f>$J$1*12*(1+$D$3)^(D45-1)*IF(D45&gt;$G$7,$J$2,1)</f>
        <v>182146</v>
      </c>
      <c r="Q45" s="10">
        <f>SUMPRODUCT(($M$5:$V$5&lt;=B45)*($M$5:$V$5+$M$6:$V$6&gt;B45)*$M$7:$V$7)*(1+$D$3)^(D45-1)</f>
        <v>0</v>
      </c>
      <c r="R45" s="10">
        <f>IF(D45&lt;=$J$5,$J$4*12,0)+IF(D45&lt;=$J$7,$J$6*12,0)</f>
        <v>0</v>
      </c>
      <c r="S45" s="10">
        <f>SUM(P45:R45)</f>
        <v>182146</v>
      </c>
      <c r="T45" s="10">
        <f>$J$3*(1+$D$3)^(D45-1)</f>
        <v>17514</v>
      </c>
      <c r="U45" s="10">
        <f>S45+T45</f>
        <v>199660</v>
      </c>
      <c r="V45" s="10">
        <f>O45-U45</f>
        <v>-102434</v>
      </c>
      <c r="W45" s="10">
        <f>MAX(0,V45)</f>
        <v>0</v>
      </c>
      <c r="X45" s="10">
        <f>W45</f>
        <v>0</v>
      </c>
      <c r="Y45" s="10">
        <f>SUMPRODUCT(($M$3:$V$3=B45)*($M$14:$V$14=1)*$M$4:$V$4)*(1+$D$3)^(D45-1)</f>
        <v>0</v>
      </c>
      <c r="Z45" s="10">
        <f>SUMPRODUCT(($M$3:$V$3=B45)*($M$14:$V$14=2)*$M$4:$V$4)*(1+$D$3)^(D45-1)</f>
        <v>0</v>
      </c>
      <c r="AA45" s="10">
        <f>SUMPRODUCT(($M$3:$V$3=B45)*($M$14:$V$14=3)*$M$4:$V$4)*(1+$D$3)^(D45-1)</f>
        <v>0</v>
      </c>
      <c r="AB45" s="10">
        <f>SUM(Y45:AA45)</f>
        <v>0</v>
      </c>
      <c r="AC45" s="10">
        <f>MIN(0,V45)</f>
        <v>-102434</v>
      </c>
      <c r="AD45" s="10">
        <f>-SUMIF($M$10:$V$10,B45,$M$11:$V$11)*(1+$D$3)^(D45-1)</f>
        <v>0</v>
      </c>
      <c r="AE45" s="10">
        <f>IF(B45=$M$12,-$M$13*(1+$D$3)^(D45-1),0)</f>
        <v>0</v>
      </c>
      <c r="AF45" s="10">
        <f>SUM(AC45:AE45)</f>
        <v>-102434</v>
      </c>
      <c r="AG45" s="10">
        <f>AJ44</f>
        <v>5475788</v>
      </c>
      <c r="AH45" s="10">
        <f>AG45*$D$7</f>
        <v>410684</v>
      </c>
      <c r="AI45" s="10">
        <f>MAX(0,-(AG45+AH45+X45+AB45+AF45))</f>
        <v>0</v>
      </c>
      <c r="AJ45" s="10">
        <f>AG45+AH45+X45+AB45+AF45+AI45</f>
        <v>5784038</v>
      </c>
      <c r="AK45" s="10">
        <f>AJ45/(1+$D$3)^D45</f>
        <v>1907130</v>
      </c>
      <c r="AL45" s="4">
        <f>IF(AG45&lt;=0,0,-AF45/AG45)</f>
        <v>0.01870672482647535</v>
      </c>
    </row>
    <row r="46">
      <c r="B46" s="9">
        <f>B45+1</f>
        <v>2055</v>
      </c>
      <c r="C46" s="9">
        <f>C45+1</f>
        <v>74</v>
      </c>
      <c r="D46" s="9">
        <f>D45+1</f>
        <v>30</v>
      </c>
      <c r="E46" t="str">
        <f>IF(D46&lt;=$G$7,"Acumulación","Retiro")</f>
        <v>Retiro</v>
      </c>
      <c r="F46" s="10">
        <f>IF(D46&lt;=$G$8,$G$1*12*(1+$D$3)^(D46-1),0)</f>
        <v>0</v>
      </c>
      <c r="G46" s="10">
        <f>IF(AND($G$2&gt;0,D46&gt;=$G$3),$G$2*12*(1+$D$3)^(D46-1),0)</f>
        <v>32350</v>
      </c>
      <c r="H46" s="10">
        <f>SUMPRODUCT(($M$9:$V$9&gt;=B46)*$M$8:$V$8)*12*(1+$D$3)^(D46-1)</f>
        <v>0</v>
      </c>
      <c r="I46" s="10">
        <f>IF(AND($G$4&gt;0,D46&gt;=$G$6),$G$4*12*(1+$D$3)^($G$6-1)*(1+$D$4)^(D46-$G$6),0)</f>
        <v>40746</v>
      </c>
      <c r="J46" s="10">
        <f>'Fondos de pensión'!T48</f>
        <v>25747</v>
      </c>
      <c r="K46" s="10">
        <f>SUM(F46:J46)</f>
        <v>98844</v>
      </c>
      <c r="L46" s="10">
        <f>SUMIF($M$1:$V$1,B46,$M$2:$V$2)*(1+$D$3)^(D46-1)</f>
        <v>0</v>
      </c>
      <c r="M46" s="10">
        <f>'Fondos de pensión'!S48</f>
        <v>0</v>
      </c>
      <c r="N46" s="10">
        <f>SUM(L46:M46)</f>
        <v>0</v>
      </c>
      <c r="O46" s="10">
        <f>K46+N46</f>
        <v>98844</v>
      </c>
      <c r="P46" s="10">
        <f>$J$1*12*(1+$D$3)^(D46-1)*IF(D46&gt;$G$7,$J$2,1)</f>
        <v>189250</v>
      </c>
      <c r="Q46" s="10">
        <f>SUMPRODUCT(($M$5:$V$5&lt;=B46)*($M$5:$V$5+$M$6:$V$6&gt;B46)*$M$7:$V$7)*(1+$D$3)^(D46-1)</f>
        <v>0</v>
      </c>
      <c r="R46" s="10">
        <f>IF(D46&lt;=$J$5,$J$4*12,0)+IF(D46&lt;=$J$7,$J$6*12,0)</f>
        <v>0</v>
      </c>
      <c r="S46" s="10">
        <f>SUM(P46:R46)</f>
        <v>189250</v>
      </c>
      <c r="T46" s="10">
        <f>$J$3*(1+$D$3)^(D46-1)</f>
        <v>18197</v>
      </c>
      <c r="U46" s="10">
        <f>S46+T46</f>
        <v>207447</v>
      </c>
      <c r="V46" s="10">
        <f>O46-U46</f>
        <v>-108603</v>
      </c>
      <c r="W46" s="10">
        <f>MAX(0,V46)</f>
        <v>0</v>
      </c>
      <c r="X46" s="10">
        <f>W46</f>
        <v>0</v>
      </c>
      <c r="Y46" s="10">
        <f>SUMPRODUCT(($M$3:$V$3=B46)*($M$14:$V$14=1)*$M$4:$V$4)*(1+$D$3)^(D46-1)</f>
        <v>0</v>
      </c>
      <c r="Z46" s="10">
        <f>SUMPRODUCT(($M$3:$V$3=B46)*($M$14:$V$14=2)*$M$4:$V$4)*(1+$D$3)^(D46-1)</f>
        <v>0</v>
      </c>
      <c r="AA46" s="10">
        <f>SUMPRODUCT(($M$3:$V$3=B46)*($M$14:$V$14=3)*$M$4:$V$4)*(1+$D$3)^(D46-1)</f>
        <v>0</v>
      </c>
      <c r="AB46" s="10">
        <f>SUM(Y46:AA46)</f>
        <v>0</v>
      </c>
      <c r="AC46" s="10">
        <f>MIN(0,V46)</f>
        <v>-108603</v>
      </c>
      <c r="AD46" s="10">
        <f>-SUMIF($M$10:$V$10,B46,$M$11:$V$11)*(1+$D$3)^(D46-1)</f>
        <v>0</v>
      </c>
      <c r="AE46" s="10">
        <f>IF(B46=$M$12,-$M$13*(1+$D$3)^(D46-1),0)</f>
        <v>0</v>
      </c>
      <c r="AF46" s="10">
        <f>SUM(AC46:AE46)</f>
        <v>-108603</v>
      </c>
      <c r="AG46" s="10">
        <f>AJ45</f>
        <v>5784038</v>
      </c>
      <c r="AH46" s="10">
        <f>AG46*$D$7</f>
        <v>433803</v>
      </c>
      <c r="AI46" s="10">
        <f>MAX(0,-(AG46+AH46+X46+AB46+AF46))</f>
        <v>0</v>
      </c>
      <c r="AJ46" s="10">
        <f>AG46+AH46+X46+AB46+AF46+AI46</f>
        <v>6109238</v>
      </c>
      <c r="AK46" s="10">
        <f>AJ46/(1+$D$3)^D46</f>
        <v>1938745</v>
      </c>
      <c r="AL46" s="4">
        <f>IF(AG46&lt;=0,0,-AF46/AG46)</f>
        <v>0.01877634133425709</v>
      </c>
    </row>
    <row r="47">
      <c r="B47" s="9">
        <f>B46+1</f>
        <v>2056</v>
      </c>
      <c r="C47" s="9">
        <f>C46+1</f>
        <v>75</v>
      </c>
      <c r="D47" s="9">
        <f>D46+1</f>
        <v>31</v>
      </c>
      <c r="E47" t="str">
        <f>IF(D47&lt;=$G$7,"Acumulación","Retiro")</f>
        <v>Retiro</v>
      </c>
      <c r="F47" s="10">
        <f>IF(D47&lt;=$G$8,$G$1*12*(1+$D$3)^(D47-1),0)</f>
        <v>0</v>
      </c>
      <c r="G47" s="10">
        <f>IF(AND($G$2&gt;0,D47&gt;=$G$3),$G$2*12*(1+$D$3)^(D47-1),0)</f>
        <v>33612</v>
      </c>
      <c r="H47" s="10">
        <f>SUMPRODUCT(($M$9:$V$9&gt;=B47)*$M$8:$V$8)*12*(1+$D$3)^(D47-1)</f>
        <v>0</v>
      </c>
      <c r="I47" s="10">
        <f>IF(AND($G$4&gt;0,D47&gt;=$G$6),$G$4*12*(1+$D$3)^($G$6-1)*(1+$D$4)^(D47-$G$6),0)</f>
        <v>41154</v>
      </c>
      <c r="J47" s="10">
        <f>'Fondos de pensión'!T49</f>
        <v>25747</v>
      </c>
      <c r="K47" s="10">
        <f>SUM(F47:J47)</f>
        <v>100513</v>
      </c>
      <c r="L47" s="10">
        <f>SUMIF($M$1:$V$1,B47,$M$2:$V$2)*(1+$D$3)^(D47-1)</f>
        <v>0</v>
      </c>
      <c r="M47" s="10">
        <f>'Fondos de pensión'!S49</f>
        <v>0</v>
      </c>
      <c r="N47" s="10">
        <f>SUM(L47:M47)</f>
        <v>0</v>
      </c>
      <c r="O47" s="10">
        <f>K47+N47</f>
        <v>100513</v>
      </c>
      <c r="P47" s="10">
        <f>$J$1*12*(1+$D$3)^(D47-1)*IF(D47&gt;$G$7,$J$2,1)</f>
        <v>196631</v>
      </c>
      <c r="Q47" s="10">
        <f>SUMPRODUCT(($M$5:$V$5&lt;=B47)*($M$5:$V$5+$M$6:$V$6&gt;B47)*$M$7:$V$7)*(1+$D$3)^(D47-1)</f>
        <v>0</v>
      </c>
      <c r="R47" s="10">
        <f>IF(D47&lt;=$J$5,$J$4*12,0)+IF(D47&lt;=$J$7,$J$6*12,0)</f>
        <v>0</v>
      </c>
      <c r="S47" s="10">
        <f>SUM(P47:R47)</f>
        <v>196631</v>
      </c>
      <c r="T47" s="10">
        <f>$J$3*(1+$D$3)^(D47-1)</f>
        <v>18907</v>
      </c>
      <c r="U47" s="10">
        <f>S47+T47</f>
        <v>215537</v>
      </c>
      <c r="V47" s="10">
        <f>O47-U47</f>
        <v>-115024</v>
      </c>
      <c r="W47" s="10">
        <f>MAX(0,V47)</f>
        <v>0</v>
      </c>
      <c r="X47" s="10">
        <f>W47</f>
        <v>0</v>
      </c>
      <c r="Y47" s="10">
        <f>SUMPRODUCT(($M$3:$V$3=B47)*($M$14:$V$14=1)*$M$4:$V$4)*(1+$D$3)^(D47-1)</f>
        <v>0</v>
      </c>
      <c r="Z47" s="10">
        <f>SUMPRODUCT(($M$3:$V$3=B47)*($M$14:$V$14=2)*$M$4:$V$4)*(1+$D$3)^(D47-1)</f>
        <v>0</v>
      </c>
      <c r="AA47" s="10">
        <f>SUMPRODUCT(($M$3:$V$3=B47)*($M$14:$V$14=3)*$M$4:$V$4)*(1+$D$3)^(D47-1)</f>
        <v>0</v>
      </c>
      <c r="AB47" s="10">
        <f>SUM(Y47:AA47)</f>
        <v>0</v>
      </c>
      <c r="AC47" s="10">
        <f>MIN(0,V47)</f>
        <v>-115024</v>
      </c>
      <c r="AD47" s="10">
        <f>-SUMIF($M$10:$V$10,B47,$M$11:$V$11)*(1+$D$3)^(D47-1)</f>
        <v>0</v>
      </c>
      <c r="AE47" s="10">
        <f>IF(B47=$M$12,-$M$13*(1+$D$3)^(D47-1),0)</f>
        <v>0</v>
      </c>
      <c r="AF47" s="10">
        <f>SUM(AC47:AE47)</f>
        <v>-115024</v>
      </c>
      <c r="AG47" s="10">
        <f>AJ46</f>
        <v>6109238</v>
      </c>
      <c r="AH47" s="10">
        <f>AG47*$D$7</f>
        <v>458193</v>
      </c>
      <c r="AI47" s="10">
        <f>MAX(0,-(AG47+AH47+X47+AB47+AF47))</f>
        <v>0</v>
      </c>
      <c r="AJ47" s="10">
        <f>AG47+AH47+X47+AB47+AF47+AI47</f>
        <v>6452406</v>
      </c>
      <c r="AK47" s="10">
        <f>AJ47/(1+$D$3)^D47</f>
        <v>1970787</v>
      </c>
      <c r="AL47" s="4">
        <f>IF(AG47&lt;=0,0,-AF47/AG47)</f>
        <v>0.01882794220827832</v>
      </c>
    </row>
    <row r="48">
      <c r="B48" s="9">
        <f>B47+1</f>
        <v>2057</v>
      </c>
      <c r="C48" s="9">
        <f>C47+1</f>
        <v>76</v>
      </c>
      <c r="D48" s="9">
        <f>D47+1</f>
        <v>32</v>
      </c>
      <c r="E48" t="str">
        <f>IF(D48&lt;=$G$7,"Acumulación","Retiro")</f>
        <v>Retiro</v>
      </c>
      <c r="F48" s="10">
        <f>IF(D48&lt;=$G$8,$G$1*12*(1+$D$3)^(D48-1),0)</f>
        <v>0</v>
      </c>
      <c r="G48" s="10">
        <f>IF(AND($G$2&gt;0,D48&gt;=$G$3),$G$2*12*(1+$D$3)^(D48-1),0)</f>
        <v>34923</v>
      </c>
      <c r="H48" s="10">
        <f>SUMPRODUCT(($M$9:$V$9&gt;=B48)*$M$8:$V$8)*12*(1+$D$3)^(D48-1)</f>
        <v>0</v>
      </c>
      <c r="I48" s="10">
        <f>IF(AND($G$4&gt;0,D48&gt;=$G$6),$G$4*12*(1+$D$3)^($G$6-1)*(1+$D$4)^(D48-$G$6),0)</f>
        <v>41565</v>
      </c>
      <c r="J48" s="10">
        <f>'Fondos de pensión'!T50</f>
        <v>25747</v>
      </c>
      <c r="K48" s="10">
        <f>SUM(F48:J48)</f>
        <v>102235</v>
      </c>
      <c r="L48" s="10">
        <f>SUMIF($M$1:$V$1,B48,$M$2:$V$2)*(1+$D$3)^(D48-1)</f>
        <v>0</v>
      </c>
      <c r="M48" s="10">
        <f>'Fondos de pensión'!S50</f>
        <v>0</v>
      </c>
      <c r="N48" s="10">
        <f>SUM(L48:M48)</f>
        <v>0</v>
      </c>
      <c r="O48" s="10">
        <f>K48+N48</f>
        <v>102235</v>
      </c>
      <c r="P48" s="10">
        <f>$J$1*12*(1+$D$3)^(D48-1)*IF(D48&gt;$G$7,$J$2,1)</f>
        <v>204299</v>
      </c>
      <c r="Q48" s="10">
        <f>SUMPRODUCT(($M$5:$V$5&lt;=B48)*($M$5:$V$5+$M$6:$V$6&gt;B48)*$M$7:$V$7)*(1+$D$3)^(D48-1)</f>
        <v>0</v>
      </c>
      <c r="R48" s="10">
        <f>IF(D48&lt;=$J$5,$J$4*12,0)+IF(D48&lt;=$J$7,$J$6*12,0)</f>
        <v>0</v>
      </c>
      <c r="S48" s="10">
        <f>SUM(P48:R48)</f>
        <v>204299</v>
      </c>
      <c r="T48" s="10">
        <f>$J$3*(1+$D$3)^(D48-1)</f>
        <v>19644</v>
      </c>
      <c r="U48" s="10">
        <f>S48+T48</f>
        <v>223943</v>
      </c>
      <c r="V48" s="10">
        <f>O48-U48</f>
        <v>-121708</v>
      </c>
      <c r="W48" s="10">
        <f>MAX(0,V48)</f>
        <v>0</v>
      </c>
      <c r="X48" s="10">
        <f>W48</f>
        <v>0</v>
      </c>
      <c r="Y48" s="10">
        <f>SUMPRODUCT(($M$3:$V$3=B48)*($M$14:$V$14=1)*$M$4:$V$4)*(1+$D$3)^(D48-1)</f>
        <v>0</v>
      </c>
      <c r="Z48" s="10">
        <f>SUMPRODUCT(($M$3:$V$3=B48)*($M$14:$V$14=2)*$M$4:$V$4)*(1+$D$3)^(D48-1)</f>
        <v>0</v>
      </c>
      <c r="AA48" s="10">
        <f>SUMPRODUCT(($M$3:$V$3=B48)*($M$14:$V$14=3)*$M$4:$V$4)*(1+$D$3)^(D48-1)</f>
        <v>0</v>
      </c>
      <c r="AB48" s="10">
        <f>SUM(Y48:AA48)</f>
        <v>0</v>
      </c>
      <c r="AC48" s="10">
        <f>MIN(0,V48)</f>
        <v>-121708</v>
      </c>
      <c r="AD48" s="10">
        <f>-SUMIF($M$10:$V$10,B48,$M$11:$V$11)*(1+$D$3)^(D48-1)</f>
        <v>0</v>
      </c>
      <c r="AE48" s="10">
        <f>IF(B48=$M$12,-$M$13*(1+$D$3)^(D48-1),0)</f>
        <v>0</v>
      </c>
      <c r="AF48" s="10">
        <f>SUM(AC48:AE48)</f>
        <v>-121708</v>
      </c>
      <c r="AG48" s="10">
        <f>AJ47</f>
        <v>6452406</v>
      </c>
      <c r="AH48" s="10">
        <f>AG48*$D$7</f>
        <v>483930</v>
      </c>
      <c r="AI48" s="10">
        <f>MAX(0,-(AG48+AH48+X48+AB48+AF48))</f>
        <v>0</v>
      </c>
      <c r="AJ48" s="10">
        <f>AG48+AH48+X48+AB48+AF48+AI48</f>
        <v>6814629</v>
      </c>
      <c r="AK48" s="10">
        <f>AJ48/(1+$D$3)^D48</f>
        <v>2003294</v>
      </c>
      <c r="AL48" s="4">
        <f>IF(AG48&lt;=0,0,-AF48/AG48)</f>
        <v>0.01886240925234875</v>
      </c>
    </row>
    <row r="49">
      <c r="B49" s="9">
        <f>B48+1</f>
        <v>2058</v>
      </c>
      <c r="C49" s="9">
        <f>C48+1</f>
        <v>77</v>
      </c>
      <c r="D49" s="9">
        <f>D48+1</f>
        <v>33</v>
      </c>
      <c r="E49" t="str">
        <f>IF(D49&lt;=$G$7,"Acumulación","Retiro")</f>
        <v>Retiro</v>
      </c>
      <c r="F49" s="10">
        <f>IF(D49&lt;=$G$8,$G$1*12*(1+$D$3)^(D49-1),0)</f>
        <v>0</v>
      </c>
      <c r="G49" s="10">
        <f>IF(AND($G$2&gt;0,D49&gt;=$G$3),$G$2*12*(1+$D$3)^(D49-1),0)</f>
        <v>36285</v>
      </c>
      <c r="H49" s="10">
        <f>SUMPRODUCT(($M$9:$V$9&gt;=B49)*$M$8:$V$8)*12*(1+$D$3)^(D49-1)</f>
        <v>0</v>
      </c>
      <c r="I49" s="10">
        <f>IF(AND($G$4&gt;0,D49&gt;=$G$6),$G$4*12*(1+$D$3)^($G$6-1)*(1+$D$4)^(D49-$G$6),0)</f>
        <v>41981</v>
      </c>
      <c r="J49" s="10">
        <f>'Fondos de pensión'!T51</f>
        <v>25747</v>
      </c>
      <c r="K49" s="10">
        <f>SUM(F49:J49)</f>
        <v>104013</v>
      </c>
      <c r="L49" s="10">
        <f>SUMIF($M$1:$V$1,B49,$M$2:$V$2)*(1+$D$3)^(D49-1)</f>
        <v>0</v>
      </c>
      <c r="M49" s="10">
        <f>'Fondos de pensión'!S51</f>
        <v>0</v>
      </c>
      <c r="N49" s="10">
        <f>SUM(L49:M49)</f>
        <v>0</v>
      </c>
      <c r="O49" s="10">
        <f>K49+N49</f>
        <v>104013</v>
      </c>
      <c r="P49" s="10">
        <f>$J$1*12*(1+$D$3)^(D49-1)*IF(D49&gt;$G$7,$J$2,1)</f>
        <v>212267</v>
      </c>
      <c r="Q49" s="10">
        <f>SUMPRODUCT(($M$5:$V$5&lt;=B49)*($M$5:$V$5+$M$6:$V$6&gt;B49)*$M$7:$V$7)*(1+$D$3)^(D49-1)</f>
        <v>0</v>
      </c>
      <c r="R49" s="10">
        <f>IF(D49&lt;=$J$5,$J$4*12,0)+IF(D49&lt;=$J$7,$J$6*12,0)</f>
        <v>0</v>
      </c>
      <c r="S49" s="10">
        <f>SUM(P49:R49)</f>
        <v>212267</v>
      </c>
      <c r="T49" s="10">
        <f>$J$3*(1+$D$3)^(D49-1)</f>
        <v>20410</v>
      </c>
      <c r="U49" s="10">
        <f>S49+T49</f>
        <v>232677</v>
      </c>
      <c r="V49" s="10">
        <f>O49-U49</f>
        <v>-128664</v>
      </c>
      <c r="W49" s="10">
        <f>MAX(0,V49)</f>
        <v>0</v>
      </c>
      <c r="X49" s="10">
        <f>W49</f>
        <v>0</v>
      </c>
      <c r="Y49" s="10">
        <f>SUMPRODUCT(($M$3:$V$3=B49)*($M$14:$V$14=1)*$M$4:$V$4)*(1+$D$3)^(D49-1)</f>
        <v>0</v>
      </c>
      <c r="Z49" s="10">
        <f>SUMPRODUCT(($M$3:$V$3=B49)*($M$14:$V$14=2)*$M$4:$V$4)*(1+$D$3)^(D49-1)</f>
        <v>0</v>
      </c>
      <c r="AA49" s="10">
        <f>SUMPRODUCT(($M$3:$V$3=B49)*($M$14:$V$14=3)*$M$4:$V$4)*(1+$D$3)^(D49-1)</f>
        <v>0</v>
      </c>
      <c r="AB49" s="10">
        <f>SUM(Y49:AA49)</f>
        <v>0</v>
      </c>
      <c r="AC49" s="10">
        <f>MIN(0,V49)</f>
        <v>-128664</v>
      </c>
      <c r="AD49" s="10">
        <f>-SUMIF($M$10:$V$10,B49,$M$11:$V$11)*(1+$D$3)^(D49-1)</f>
        <v>0</v>
      </c>
      <c r="AE49" s="10">
        <f>IF(B49=$M$12,-$M$13*(1+$D$3)^(D49-1),0)</f>
        <v>0</v>
      </c>
      <c r="AF49" s="10">
        <f>SUM(AC49:AE49)</f>
        <v>-128664</v>
      </c>
      <c r="AG49" s="10">
        <f>AJ48</f>
        <v>6814629</v>
      </c>
      <c r="AH49" s="10">
        <f>AG49*$D$7</f>
        <v>511097</v>
      </c>
      <c r="AI49" s="10">
        <f>MAX(0,-(AG49+AH49+X49+AB49+AF49))</f>
        <v>0</v>
      </c>
      <c r="AJ49" s="10">
        <f>AG49+AH49+X49+AB49+AF49+AI49</f>
        <v>7197062</v>
      </c>
      <c r="AK49" s="10">
        <f>AJ49/(1+$D$3)^D49</f>
        <v>2036302</v>
      </c>
      <c r="AL49" s="4">
        <f>IF(AG49&lt;=0,0,-AF49/AG49)</f>
        <v>0.018880569371354138</v>
      </c>
    </row>
    <row r="50">
      <c r="B50" s="9">
        <f>B49+1</f>
        <v>2059</v>
      </c>
      <c r="C50" s="9">
        <f>C49+1</f>
        <v>78</v>
      </c>
      <c r="D50" s="9">
        <f>D49+1</f>
        <v>34</v>
      </c>
      <c r="E50" t="str">
        <f>IF(D50&lt;=$G$7,"Acumulación","Retiro")</f>
        <v>Retiro</v>
      </c>
      <c r="F50" s="10">
        <f>IF(D50&lt;=$G$8,$G$1*12*(1+$D$3)^(D50-1),0)</f>
        <v>0</v>
      </c>
      <c r="G50" s="10">
        <f>IF(AND($G$2&gt;0,D50&gt;=$G$3),$G$2*12*(1+$D$3)^(D50-1),0)</f>
        <v>37700</v>
      </c>
      <c r="H50" s="10">
        <f>SUMPRODUCT(($M$9:$V$9&gt;=B50)*$M$8:$V$8)*12*(1+$D$3)^(D50-1)</f>
        <v>0</v>
      </c>
      <c r="I50" s="10">
        <f>IF(AND($G$4&gt;0,D50&gt;=$G$6),$G$4*12*(1+$D$3)^($G$6-1)*(1+$D$4)^(D50-$G$6),0)</f>
        <v>42400</v>
      </c>
      <c r="J50" s="10">
        <f>'Fondos de pensión'!T52</f>
        <v>25747</v>
      </c>
      <c r="K50" s="10">
        <f>SUM(F50:J50)</f>
        <v>105848</v>
      </c>
      <c r="L50" s="10">
        <f>SUMIF($M$1:$V$1,B50,$M$2:$V$2)*(1+$D$3)^(D50-1)</f>
        <v>0</v>
      </c>
      <c r="M50" s="10">
        <f>'Fondos de pensión'!S52</f>
        <v>0</v>
      </c>
      <c r="N50" s="10">
        <f>SUM(L50:M50)</f>
        <v>0</v>
      </c>
      <c r="O50" s="10">
        <f>K50+N50</f>
        <v>105848</v>
      </c>
      <c r="P50" s="10">
        <f>$J$1*12*(1+$D$3)^(D50-1)*IF(D50&gt;$G$7,$J$2,1)</f>
        <v>220545</v>
      </c>
      <c r="Q50" s="10">
        <f>SUMPRODUCT(($M$5:$V$5&lt;=B50)*($M$5:$V$5+$M$6:$V$6&gt;B50)*$M$7:$V$7)*(1+$D$3)^(D50-1)</f>
        <v>0</v>
      </c>
      <c r="R50" s="10">
        <f>IF(D50&lt;=$J$5,$J$4*12,0)+IF(D50&lt;=$J$7,$J$6*12,0)</f>
        <v>0</v>
      </c>
      <c r="S50" s="10">
        <f>SUM(P50:R50)</f>
        <v>220545</v>
      </c>
      <c r="T50" s="10">
        <f>$J$3*(1+$D$3)^(D50-1)</f>
        <v>21206</v>
      </c>
      <c r="U50" s="10">
        <f>S50+T50</f>
        <v>241751</v>
      </c>
      <c r="V50" s="10">
        <f>O50-U50</f>
        <v>-135904</v>
      </c>
      <c r="W50" s="10">
        <f>MAX(0,V50)</f>
        <v>0</v>
      </c>
      <c r="X50" s="10">
        <f>W50</f>
        <v>0</v>
      </c>
      <c r="Y50" s="10">
        <f>SUMPRODUCT(($M$3:$V$3=B50)*($M$14:$V$14=1)*$M$4:$V$4)*(1+$D$3)^(D50-1)</f>
        <v>0</v>
      </c>
      <c r="Z50" s="10">
        <f>SUMPRODUCT(($M$3:$V$3=B50)*($M$14:$V$14=2)*$M$4:$V$4)*(1+$D$3)^(D50-1)</f>
        <v>0</v>
      </c>
      <c r="AA50" s="10">
        <f>SUMPRODUCT(($M$3:$V$3=B50)*($M$14:$V$14=3)*$M$4:$V$4)*(1+$D$3)^(D50-1)</f>
        <v>0</v>
      </c>
      <c r="AB50" s="10">
        <f>SUM(Y50:AA50)</f>
        <v>0</v>
      </c>
      <c r="AC50" s="10">
        <f>MIN(0,V50)</f>
        <v>-135904</v>
      </c>
      <c r="AD50" s="10">
        <f>-SUMIF($M$10:$V$10,B50,$M$11:$V$11)*(1+$D$3)^(D50-1)</f>
        <v>0</v>
      </c>
      <c r="AE50" s="10">
        <f>IF(B50=$M$12,-$M$13*(1+$D$3)^(D50-1),0)</f>
        <v>0</v>
      </c>
      <c r="AF50" s="10">
        <f>SUM(AC50:AE50)</f>
        <v>-135904</v>
      </c>
      <c r="AG50" s="10">
        <f>AJ49</f>
        <v>7197062</v>
      </c>
      <c r="AH50" s="10">
        <f>AG50*$D$7</f>
        <v>539780</v>
      </c>
      <c r="AI50" s="10">
        <f>MAX(0,-(AG50+AH50+X50+AB50+AF50))</f>
        <v>0</v>
      </c>
      <c r="AJ50" s="10">
        <f>AG50+AH50+X50+AB50+AF50+AI50</f>
        <v>7600938</v>
      </c>
      <c r="AK50" s="10">
        <f>AJ50/(1+$D$3)^D50</f>
        <v>2069848</v>
      </c>
      <c r="AL50" s="4">
        <f>IF(AG50&lt;=0,0,-AF50/AG50)</f>
        <v>0.018883200074220563</v>
      </c>
    </row>
    <row r="51">
      <c r="B51" s="9">
        <f>B50+1</f>
        <v>2060</v>
      </c>
      <c r="C51" s="9">
        <f>C50+1</f>
        <v>79</v>
      </c>
      <c r="D51" s="9">
        <f>D50+1</f>
        <v>35</v>
      </c>
      <c r="E51" t="str">
        <f>IF(D51&lt;=$G$7,"Acumulación","Retiro")</f>
        <v>Retiro</v>
      </c>
      <c r="F51" s="10">
        <f>IF(D51&lt;=$G$8,$G$1*12*(1+$D$3)^(D51-1),0)</f>
        <v>0</v>
      </c>
      <c r="G51" s="10">
        <f>IF(AND($G$2&gt;0,D51&gt;=$G$3),$G$2*12*(1+$D$3)^(D51-1),0)</f>
        <v>39170</v>
      </c>
      <c r="H51" s="10">
        <f>SUMPRODUCT(($M$9:$V$9&gt;=B51)*$M$8:$V$8)*12*(1+$D$3)^(D51-1)</f>
        <v>0</v>
      </c>
      <c r="I51" s="10">
        <f>IF(AND($G$4&gt;0,D51&gt;=$G$6),$G$4*12*(1+$D$3)^($G$6-1)*(1+$D$4)^(D51-$G$6),0)</f>
        <v>42824</v>
      </c>
      <c r="J51" s="10">
        <f>'Fondos de pensión'!T53</f>
        <v>25747</v>
      </c>
      <c r="K51" s="10">
        <f>SUM(F51:J51)</f>
        <v>107742</v>
      </c>
      <c r="L51" s="10">
        <f>SUMIF($M$1:$V$1,B51,$M$2:$V$2)*(1+$D$3)^(D51-1)</f>
        <v>0</v>
      </c>
      <c r="M51" s="10">
        <f>'Fondos de pensión'!S53</f>
        <v>0</v>
      </c>
      <c r="N51" s="10">
        <f>SUM(L51:M51)</f>
        <v>0</v>
      </c>
      <c r="O51" s="10">
        <f>K51+N51</f>
        <v>107742</v>
      </c>
      <c r="P51" s="10">
        <f>$J$1*12*(1+$D$3)^(D51-1)*IF(D51&gt;$G$7,$J$2,1)</f>
        <v>229146</v>
      </c>
      <c r="Q51" s="10">
        <f>SUMPRODUCT(($M$5:$V$5&lt;=B51)*($M$5:$V$5+$M$6:$V$6&gt;B51)*$M$7:$V$7)*(1+$D$3)^(D51-1)</f>
        <v>0</v>
      </c>
      <c r="R51" s="10">
        <f>IF(D51&lt;=$J$5,$J$4*12,0)+IF(D51&lt;=$J$7,$J$6*12,0)</f>
        <v>0</v>
      </c>
      <c r="S51" s="10">
        <f>SUM(P51:R51)</f>
        <v>229146</v>
      </c>
      <c r="T51" s="10">
        <f>$J$3*(1+$D$3)^(D51-1)</f>
        <v>22033</v>
      </c>
      <c r="U51" s="10">
        <f>S51+T51</f>
        <v>251180</v>
      </c>
      <c r="V51" s="10">
        <f>O51-U51</f>
        <v>-143438</v>
      </c>
      <c r="W51" s="10">
        <f>MAX(0,V51)</f>
        <v>0</v>
      </c>
      <c r="X51" s="10">
        <f>W51</f>
        <v>0</v>
      </c>
      <c r="Y51" s="10">
        <f>SUMPRODUCT(($M$3:$V$3=B51)*($M$14:$V$14=1)*$M$4:$V$4)*(1+$D$3)^(D51-1)</f>
        <v>0</v>
      </c>
      <c r="Z51" s="10">
        <f>SUMPRODUCT(($M$3:$V$3=B51)*($M$14:$V$14=2)*$M$4:$V$4)*(1+$D$3)^(D51-1)</f>
        <v>0</v>
      </c>
      <c r="AA51" s="10">
        <f>SUMPRODUCT(($M$3:$V$3=B51)*($M$14:$V$14=3)*$M$4:$V$4)*(1+$D$3)^(D51-1)</f>
        <v>0</v>
      </c>
      <c r="AB51" s="10">
        <f>SUM(Y51:AA51)</f>
        <v>0</v>
      </c>
      <c r="AC51" s="10">
        <f>MIN(0,V51)</f>
        <v>-143438</v>
      </c>
      <c r="AD51" s="10">
        <f>-SUMIF($M$10:$V$10,B51,$M$11:$V$11)*(1+$D$3)^(D51-1)</f>
        <v>0</v>
      </c>
      <c r="AE51" s="10">
        <f>IF(B51=$M$12,-$M$13*(1+$D$3)^(D51-1),0)</f>
        <v>0</v>
      </c>
      <c r="AF51" s="10">
        <f>SUM(AC51:AE51)</f>
        <v>-143438</v>
      </c>
      <c r="AG51" s="10">
        <f>AJ50</f>
        <v>7600938</v>
      </c>
      <c r="AH51" s="10">
        <f>AG51*$D$7</f>
        <v>570070</v>
      </c>
      <c r="AI51" s="10">
        <f>MAX(0,-(AG51+AH51+X51+AB51+AF51))</f>
        <v>0</v>
      </c>
      <c r="AJ51" s="10">
        <f>AG51+AH51+X51+AB51+AF51+AI51</f>
        <v>8027570</v>
      </c>
      <c r="AK51" s="10">
        <f>AJ51/(1+$D$3)^D51</f>
        <v>2103972</v>
      </c>
      <c r="AL51" s="4">
        <f>IF(AG51&lt;=0,0,-AF51/AG51)</f>
        <v>0.018871034384036582</v>
      </c>
    </row>
    <row r="52">
      <c r="B52" s="9">
        <f>B51+1</f>
        <v>2061</v>
      </c>
      <c r="C52" s="9">
        <f>C51+1</f>
        <v>80</v>
      </c>
      <c r="D52" s="9">
        <f>D51+1</f>
        <v>36</v>
      </c>
      <c r="E52" t="str">
        <f>IF(D52&lt;=$G$7,"Acumulación","Retiro")</f>
        <v>Retiro</v>
      </c>
      <c r="F52" s="10">
        <f>IF(D52&lt;=$G$8,$G$1*12*(1+$D$3)^(D52-1),0)</f>
        <v>0</v>
      </c>
      <c r="G52" s="10">
        <f>IF(AND($G$2&gt;0,D52&gt;=$G$3),$G$2*12*(1+$D$3)^(D52-1),0)</f>
        <v>40698</v>
      </c>
      <c r="H52" s="10">
        <f>SUMPRODUCT(($M$9:$V$9&gt;=B52)*$M$8:$V$8)*12*(1+$D$3)^(D52-1)</f>
        <v>0</v>
      </c>
      <c r="I52" s="10">
        <f>IF(AND($G$4&gt;0,D52&gt;=$G$6),$G$4*12*(1+$D$3)^($G$6-1)*(1+$D$4)^(D52-$G$6),0)</f>
        <v>43253</v>
      </c>
      <c r="J52" s="10">
        <f>'Fondos de pensión'!T54</f>
        <v>25747</v>
      </c>
      <c r="K52" s="10">
        <f>SUM(F52:J52)</f>
        <v>109698</v>
      </c>
      <c r="L52" s="10">
        <f>SUMIF($M$1:$V$1,B52,$M$2:$V$2)*(1+$D$3)^(D52-1)</f>
        <v>0</v>
      </c>
      <c r="M52" s="10">
        <f>'Fondos de pensión'!S54</f>
        <v>0</v>
      </c>
      <c r="N52" s="10">
        <f>SUM(L52:M52)</f>
        <v>0</v>
      </c>
      <c r="O52" s="10">
        <f>K52+N52</f>
        <v>109698</v>
      </c>
      <c r="P52" s="10">
        <f>$J$1*12*(1+$D$3)^(D52-1)*IF(D52&gt;$G$7,$J$2,1)</f>
        <v>238083</v>
      </c>
      <c r="Q52" s="10">
        <f>SUMPRODUCT(($M$5:$V$5&lt;=B52)*($M$5:$V$5+$M$6:$V$6&gt;B52)*$M$7:$V$7)*(1+$D$3)^(D52-1)</f>
        <v>0</v>
      </c>
      <c r="R52" s="10">
        <f>IF(D52&lt;=$J$5,$J$4*12,0)+IF(D52&lt;=$J$7,$J$6*12,0)</f>
        <v>0</v>
      </c>
      <c r="S52" s="10">
        <f>SUM(P52:R52)</f>
        <v>238083</v>
      </c>
      <c r="T52" s="10">
        <f>$J$3*(1+$D$3)^(D52-1)</f>
        <v>22893</v>
      </c>
      <c r="U52" s="10">
        <f>S52+T52</f>
        <v>260976</v>
      </c>
      <c r="V52" s="10">
        <f>O52-U52</f>
        <v>-151278</v>
      </c>
      <c r="W52" s="10">
        <f>MAX(0,V52)</f>
        <v>0</v>
      </c>
      <c r="X52" s="10">
        <f>W52</f>
        <v>0</v>
      </c>
      <c r="Y52" s="10">
        <f>SUMPRODUCT(($M$3:$V$3=B52)*($M$14:$V$14=1)*$M$4:$V$4)*(1+$D$3)^(D52-1)</f>
        <v>0</v>
      </c>
      <c r="Z52" s="10">
        <f>SUMPRODUCT(($M$3:$V$3=B52)*($M$14:$V$14=2)*$M$4:$V$4)*(1+$D$3)^(D52-1)</f>
        <v>0</v>
      </c>
      <c r="AA52" s="10">
        <f>SUMPRODUCT(($M$3:$V$3=B52)*($M$14:$V$14=3)*$M$4:$V$4)*(1+$D$3)^(D52-1)</f>
        <v>0</v>
      </c>
      <c r="AB52" s="10">
        <f>SUM(Y52:AA52)</f>
        <v>0</v>
      </c>
      <c r="AC52" s="10">
        <f>MIN(0,V52)</f>
        <v>-151278</v>
      </c>
      <c r="AD52" s="10">
        <f>-SUMIF($M$10:$V$10,B52,$M$11:$V$11)*(1+$D$3)^(D52-1)</f>
        <v>0</v>
      </c>
      <c r="AE52" s="10">
        <f>IF(B52=$M$12,-$M$13*(1+$D$3)^(D52-1),0)</f>
        <v>0</v>
      </c>
      <c r="AF52" s="10">
        <f>SUM(AC52:AE52)</f>
        <v>-151278</v>
      </c>
      <c r="AG52" s="10">
        <f>AJ51</f>
        <v>8027570</v>
      </c>
      <c r="AH52" s="10">
        <f>AG52*$D$7</f>
        <v>602068</v>
      </c>
      <c r="AI52" s="10">
        <f>MAX(0,-(AG52+AH52+X52+AB52+AF52))</f>
        <v>0</v>
      </c>
      <c r="AJ52" s="10">
        <f>AG52+AH52+X52+AB52+AF52+AI52</f>
        <v>8478361</v>
      </c>
      <c r="AK52" s="10">
        <f>AJ52/(1+$D$3)^D52</f>
        <v>2138711</v>
      </c>
      <c r="AL52" s="4">
        <f>IF(AG52&lt;=0,0,-AF52/AG52)</f>
        <v>0.01884476522428856</v>
      </c>
    </row>
    <row r="53">
      <c r="B53" s="9">
        <f>B52+1</f>
        <v>2062</v>
      </c>
      <c r="C53" s="9">
        <f>C52+1</f>
        <v>81</v>
      </c>
      <c r="D53" s="9">
        <f>D52+1</f>
        <v>37</v>
      </c>
      <c r="E53" t="str">
        <f>IF(D53&lt;=$G$7,"Acumulación","Retiro")</f>
        <v>Retiro</v>
      </c>
      <c r="F53" s="10">
        <f>IF(D53&lt;=$G$8,$G$1*12*(1+$D$3)^(D53-1),0)</f>
        <v>0</v>
      </c>
      <c r="G53" s="10">
        <f>IF(AND($G$2&gt;0,D53&gt;=$G$3),$G$2*12*(1+$D$3)^(D53-1),0)</f>
        <v>42285</v>
      </c>
      <c r="H53" s="10">
        <f>SUMPRODUCT(($M$9:$V$9&gt;=B53)*$M$8:$V$8)*12*(1+$D$3)^(D53-1)</f>
        <v>0</v>
      </c>
      <c r="I53" s="10">
        <f>IF(AND($G$4&gt;0,D53&gt;=$G$6),$G$4*12*(1+$D$3)^($G$6-1)*(1+$D$4)^(D53-$G$6),0)</f>
        <v>43685</v>
      </c>
      <c r="J53" s="10">
        <f>'Fondos de pensión'!T55</f>
        <v>25747</v>
      </c>
      <c r="K53" s="10">
        <f>SUM(F53:J53)</f>
        <v>111718</v>
      </c>
      <c r="L53" s="10">
        <f>SUMIF($M$1:$V$1,B53,$M$2:$V$2)*(1+$D$3)^(D53-1)</f>
        <v>0</v>
      </c>
      <c r="M53" s="10">
        <f>'Fondos de pensión'!S55</f>
        <v>0</v>
      </c>
      <c r="N53" s="10">
        <f>SUM(L53:M53)</f>
        <v>0</v>
      </c>
      <c r="O53" s="10">
        <f>K53+N53</f>
        <v>111718</v>
      </c>
      <c r="P53" s="10">
        <f>$J$1*12*(1+$D$3)^(D53-1)*IF(D53&gt;$G$7,$J$2,1)</f>
        <v>247368</v>
      </c>
      <c r="Q53" s="10">
        <f>SUMPRODUCT(($M$5:$V$5&lt;=B53)*($M$5:$V$5+$M$6:$V$6&gt;B53)*$M$7:$V$7)*(1+$D$3)^(D53-1)</f>
        <v>0</v>
      </c>
      <c r="R53" s="10">
        <f>IF(D53&lt;=$J$5,$J$4*12,0)+IF(D53&lt;=$J$7,$J$6*12,0)</f>
        <v>0</v>
      </c>
      <c r="S53" s="10">
        <f>SUM(P53:R53)</f>
        <v>247368</v>
      </c>
      <c r="T53" s="10">
        <f>$J$3*(1+$D$3)^(D53-1)</f>
        <v>23785</v>
      </c>
      <c r="U53" s="10">
        <f>S53+T53</f>
        <v>271154</v>
      </c>
      <c r="V53" s="10">
        <f>O53-U53</f>
        <v>-159436</v>
      </c>
      <c r="W53" s="10">
        <f>MAX(0,V53)</f>
        <v>0</v>
      </c>
      <c r="X53" s="10">
        <f>W53</f>
        <v>0</v>
      </c>
      <c r="Y53" s="10">
        <f>SUMPRODUCT(($M$3:$V$3=B53)*($M$14:$V$14=1)*$M$4:$V$4)*(1+$D$3)^(D53-1)</f>
        <v>0</v>
      </c>
      <c r="Z53" s="10">
        <f>SUMPRODUCT(($M$3:$V$3=B53)*($M$14:$V$14=2)*$M$4:$V$4)*(1+$D$3)^(D53-1)</f>
        <v>0</v>
      </c>
      <c r="AA53" s="10">
        <f>SUMPRODUCT(($M$3:$V$3=B53)*($M$14:$V$14=3)*$M$4:$V$4)*(1+$D$3)^(D53-1)</f>
        <v>0</v>
      </c>
      <c r="AB53" s="10">
        <f>SUM(Y53:AA53)</f>
        <v>0</v>
      </c>
      <c r="AC53" s="10">
        <f>MIN(0,V53)</f>
        <v>-159436</v>
      </c>
      <c r="AD53" s="10">
        <f>-SUMIF($M$10:$V$10,B53,$M$11:$V$11)*(1+$D$3)^(D53-1)</f>
        <v>0</v>
      </c>
      <c r="AE53" s="10">
        <f>IF(B53=$M$12,-$M$13*(1+$D$3)^(D53-1),0)</f>
        <v>0</v>
      </c>
      <c r="AF53" s="10">
        <f>SUM(AC53:AE53)</f>
        <v>-159436</v>
      </c>
      <c r="AG53" s="10">
        <f>AJ52</f>
        <v>8478361</v>
      </c>
      <c r="AH53" s="10">
        <f>AG53*$D$7</f>
        <v>635877</v>
      </c>
      <c r="AI53" s="10">
        <f>MAX(0,-(AG53+AH53+X53+AB53+AF53))</f>
        <v>0</v>
      </c>
      <c r="AJ53" s="10">
        <f>AG53+AH53+X53+AB53+AF53+AI53</f>
        <v>8954802</v>
      </c>
      <c r="AK53" s="10">
        <f>AJ53/(1+$D$3)^D53</f>
        <v>2174106</v>
      </c>
      <c r="AL53" s="4">
        <f>IF(AG53&lt;=0,0,-AF53/AG53)</f>
        <v>0.018805049340708962</v>
      </c>
    </row>
    <row r="54">
      <c r="B54" s="9">
        <f>B53+1</f>
        <v>2063</v>
      </c>
      <c r="C54" s="9">
        <f>C53+1</f>
        <v>82</v>
      </c>
      <c r="D54" s="9">
        <f>D53+1</f>
        <v>38</v>
      </c>
      <c r="E54" t="str">
        <f>IF(D54&lt;=$G$7,"Acumulación","Retiro")</f>
        <v>Retiro</v>
      </c>
      <c r="F54" s="10">
        <f>IF(D54&lt;=$G$8,$G$1*12*(1+$D$3)^(D54-1),0)</f>
        <v>0</v>
      </c>
      <c r="G54" s="10">
        <f>IF(AND($G$2&gt;0,D54&gt;=$G$3),$G$2*12*(1+$D$3)^(D54-1),0)</f>
        <v>43934</v>
      </c>
      <c r="H54" s="10">
        <f>SUMPRODUCT(($M$9:$V$9&gt;=B54)*$M$8:$V$8)*12*(1+$D$3)^(D54-1)</f>
        <v>0</v>
      </c>
      <c r="I54" s="10">
        <f>IF(AND($G$4&gt;0,D54&gt;=$G$6),$G$4*12*(1+$D$3)^($G$6-1)*(1+$D$4)^(D54-$G$6),0)</f>
        <v>44122</v>
      </c>
      <c r="J54" s="10">
        <f>'Fondos de pensión'!T56</f>
        <v>25747</v>
      </c>
      <c r="K54" s="10">
        <f>SUM(F54:J54)</f>
        <v>113804</v>
      </c>
      <c r="L54" s="10">
        <f>SUMIF($M$1:$V$1,B54,$M$2:$V$2)*(1+$D$3)^(D54-1)</f>
        <v>0</v>
      </c>
      <c r="M54" s="10">
        <f>'Fondos de pensión'!S56</f>
        <v>0</v>
      </c>
      <c r="N54" s="10">
        <f>SUM(L54:M54)</f>
        <v>0</v>
      </c>
      <c r="O54" s="10">
        <f>K54+N54</f>
        <v>113804</v>
      </c>
      <c r="P54" s="10">
        <f>$J$1*12*(1+$D$3)^(D54-1)*IF(D54&gt;$G$7,$J$2,1)</f>
        <v>257016</v>
      </c>
      <c r="Q54" s="10">
        <f>SUMPRODUCT(($M$5:$V$5&lt;=B54)*($M$5:$V$5+$M$6:$V$6&gt;B54)*$M$7:$V$7)*(1+$D$3)^(D54-1)</f>
        <v>0</v>
      </c>
      <c r="R54" s="10">
        <f>IF(D54&lt;=$J$5,$J$4*12,0)+IF(D54&lt;=$J$7,$J$6*12,0)</f>
        <v>0</v>
      </c>
      <c r="S54" s="10">
        <f>SUM(P54:R54)</f>
        <v>257016</v>
      </c>
      <c r="T54" s="10">
        <f>$J$3*(1+$D$3)^(D54-1)</f>
        <v>24713</v>
      </c>
      <c r="U54" s="10">
        <f>S54+T54</f>
        <v>281729</v>
      </c>
      <c r="V54" s="10">
        <f>O54-U54</f>
        <v>-167925</v>
      </c>
      <c r="W54" s="10">
        <f>MAX(0,V54)</f>
        <v>0</v>
      </c>
      <c r="X54" s="10">
        <f>W54</f>
        <v>0</v>
      </c>
      <c r="Y54" s="10">
        <f>SUMPRODUCT(($M$3:$V$3=B54)*($M$14:$V$14=1)*$M$4:$V$4)*(1+$D$3)^(D54-1)</f>
        <v>0</v>
      </c>
      <c r="Z54" s="10">
        <f>SUMPRODUCT(($M$3:$V$3=B54)*($M$14:$V$14=2)*$M$4:$V$4)*(1+$D$3)^(D54-1)</f>
        <v>0</v>
      </c>
      <c r="AA54" s="10">
        <f>SUMPRODUCT(($M$3:$V$3=B54)*($M$14:$V$14=3)*$M$4:$V$4)*(1+$D$3)^(D54-1)</f>
        <v>0</v>
      </c>
      <c r="AB54" s="10">
        <f>SUM(Y54:AA54)</f>
        <v>0</v>
      </c>
      <c r="AC54" s="10">
        <f>MIN(0,V54)</f>
        <v>-167925</v>
      </c>
      <c r="AD54" s="10">
        <f>-SUMIF($M$10:$V$10,B54,$M$11:$V$11)*(1+$D$3)^(D54-1)</f>
        <v>0</v>
      </c>
      <c r="AE54" s="10">
        <f>IF(B54=$M$12,-$M$13*(1+$D$3)^(D54-1),0)</f>
        <v>0</v>
      </c>
      <c r="AF54" s="10">
        <f>SUM(AC54:AE54)</f>
        <v>-167925</v>
      </c>
      <c r="AG54" s="10">
        <f>AJ53</f>
        <v>8954802</v>
      </c>
      <c r="AH54" s="10">
        <f>AG54*$D$7</f>
        <v>671610</v>
      </c>
      <c r="AI54" s="10">
        <f>MAX(0,-(AG54+AH54+X54+AB54+AF54))</f>
        <v>0</v>
      </c>
      <c r="AJ54" s="10">
        <f>AG54+AH54+X54+AB54+AF54+AI54</f>
        <v>9458487</v>
      </c>
      <c r="AK54" s="10">
        <f>AJ54/(1+$D$3)^D54</f>
        <v>2210196</v>
      </c>
      <c r="AL54" s="4">
        <f>IF(AG54&lt;=0,0,-AF54/AG54)</f>
        <v>0.01875251081022765</v>
      </c>
    </row>
    <row r="55">
      <c r="B55" s="9">
        <f>B54+1</f>
        <v>2064</v>
      </c>
      <c r="C55" s="9">
        <f>C54+1</f>
        <v>83</v>
      </c>
      <c r="D55" s="9">
        <f>D54+1</f>
        <v>39</v>
      </c>
      <c r="E55" t="str">
        <f>IF(D55&lt;=$G$7,"Acumulación","Retiro")</f>
        <v>Retiro</v>
      </c>
      <c r="F55" s="10">
        <f>IF(D55&lt;=$G$8,$G$1*12*(1+$D$3)^(D55-1),0)</f>
        <v>0</v>
      </c>
      <c r="G55" s="10">
        <f>IF(AND($G$2&gt;0,D55&gt;=$G$3),$G$2*12*(1+$D$3)^(D55-1),0)</f>
        <v>45648</v>
      </c>
      <c r="H55" s="10">
        <f>SUMPRODUCT(($M$9:$V$9&gt;=B55)*$M$8:$V$8)*12*(1+$D$3)^(D55-1)</f>
        <v>0</v>
      </c>
      <c r="I55" s="10">
        <f>IF(AND($G$4&gt;0,D55&gt;=$G$6),$G$4*12*(1+$D$3)^($G$6-1)*(1+$D$4)^(D55-$G$6),0)</f>
        <v>44563</v>
      </c>
      <c r="J55" s="10">
        <f>'Fondos de pensión'!T57</f>
        <v>25747</v>
      </c>
      <c r="K55" s="10">
        <f>SUM(F55:J55)</f>
        <v>115959</v>
      </c>
      <c r="L55" s="10">
        <f>SUMIF($M$1:$V$1,B55,$M$2:$V$2)*(1+$D$3)^(D55-1)</f>
        <v>0</v>
      </c>
      <c r="M55" s="10">
        <f>'Fondos de pensión'!S57</f>
        <v>0</v>
      </c>
      <c r="N55" s="10">
        <f>SUM(L55:M55)</f>
        <v>0</v>
      </c>
      <c r="O55" s="10">
        <f>K55+N55</f>
        <v>115959</v>
      </c>
      <c r="P55" s="10">
        <f>$J$1*12*(1+$D$3)^(D55-1)*IF(D55&gt;$G$7,$J$2,1)</f>
        <v>267039</v>
      </c>
      <c r="Q55" s="10">
        <f>SUMPRODUCT(($M$5:$V$5&lt;=B55)*($M$5:$V$5+$M$6:$V$6&gt;B55)*$M$7:$V$7)*(1+$D$3)^(D55-1)</f>
        <v>0</v>
      </c>
      <c r="R55" s="10">
        <f>IF(D55&lt;=$J$5,$J$4*12,0)+IF(D55&lt;=$J$7,$J$6*12,0)</f>
        <v>0</v>
      </c>
      <c r="S55" s="10">
        <f>SUM(P55:R55)</f>
        <v>267039</v>
      </c>
      <c r="T55" s="10">
        <f>$J$3*(1+$D$3)^(D55-1)</f>
        <v>25677</v>
      </c>
      <c r="U55" s="10">
        <f>S55+T55</f>
        <v>292716</v>
      </c>
      <c r="V55" s="10">
        <f>O55-U55</f>
        <v>-176758</v>
      </c>
      <c r="W55" s="10">
        <f>MAX(0,V55)</f>
        <v>0</v>
      </c>
      <c r="X55" s="10">
        <f>W55</f>
        <v>0</v>
      </c>
      <c r="Y55" s="10">
        <f>SUMPRODUCT(($M$3:$V$3=B55)*($M$14:$V$14=1)*$M$4:$V$4)*(1+$D$3)^(D55-1)</f>
        <v>0</v>
      </c>
      <c r="Z55" s="10">
        <f>SUMPRODUCT(($M$3:$V$3=B55)*($M$14:$V$14=2)*$M$4:$V$4)*(1+$D$3)^(D55-1)</f>
        <v>0</v>
      </c>
      <c r="AA55" s="10">
        <f>SUMPRODUCT(($M$3:$V$3=B55)*($M$14:$V$14=3)*$M$4:$V$4)*(1+$D$3)^(D55-1)</f>
        <v>0</v>
      </c>
      <c r="AB55" s="10">
        <f>SUM(Y55:AA55)</f>
        <v>0</v>
      </c>
      <c r="AC55" s="10">
        <f>MIN(0,V55)</f>
        <v>-176758</v>
      </c>
      <c r="AD55" s="10">
        <f>-SUMIF($M$10:$V$10,B55,$M$11:$V$11)*(1+$D$3)^(D55-1)</f>
        <v>0</v>
      </c>
      <c r="AE55" s="10">
        <f>IF(B55=$M$12,-$M$13*(1+$D$3)^(D55-1),0)</f>
        <v>0</v>
      </c>
      <c r="AF55" s="10">
        <f>SUM(AC55:AE55)</f>
        <v>-176758</v>
      </c>
      <c r="AG55" s="10">
        <f>AJ54</f>
        <v>9458487</v>
      </c>
      <c r="AH55" s="10">
        <f>AG55*$D$7</f>
        <v>709387</v>
      </c>
      <c r="AI55" s="10">
        <f>MAX(0,-(AG55+AH55+X55+AB55+AF55))</f>
        <v>0</v>
      </c>
      <c r="AJ55" s="10">
        <f>AG55+AH55+X55+AB55+AF55+AI55</f>
        <v>9991115</v>
      </c>
      <c r="AK55" s="10">
        <f>AJ55/(1+$D$3)^D55</f>
        <v>2247024</v>
      </c>
      <c r="AL55" s="4">
        <f>IF(AG55&lt;=0,0,-AF55/AG55)</f>
        <v>0.018687744181716252</v>
      </c>
    </row>
    <row r="56">
      <c r="B56" s="9">
        <f>B55+1</f>
        <v>2065</v>
      </c>
      <c r="C56" s="9">
        <f>C55+1</f>
        <v>84</v>
      </c>
      <c r="D56" s="9">
        <f>D55+1</f>
        <v>40</v>
      </c>
      <c r="E56" t="str">
        <f>IF(D56&lt;=$G$7,"Acumulación","Retiro")</f>
        <v>Retiro</v>
      </c>
      <c r="F56" s="10">
        <f>IF(D56&lt;=$G$8,$G$1*12*(1+$D$3)^(D56-1),0)</f>
        <v>0</v>
      </c>
      <c r="G56" s="10">
        <f>IF(AND($G$2&gt;0,D56&gt;=$G$3),$G$2*12*(1+$D$3)^(D56-1),0)</f>
        <v>47428</v>
      </c>
      <c r="H56" s="10">
        <f>SUMPRODUCT(($M$9:$V$9&gt;=B56)*$M$8:$V$8)*12*(1+$D$3)^(D56-1)</f>
        <v>0</v>
      </c>
      <c r="I56" s="10">
        <f>IF(AND($G$4&gt;0,D56&gt;=$G$6),$G$4*12*(1+$D$3)^($G$6-1)*(1+$D$4)^(D56-$G$6),0)</f>
        <v>45009</v>
      </c>
      <c r="J56" s="10">
        <f>'Fondos de pensión'!T58</f>
        <v>25747</v>
      </c>
      <c r="K56" s="10">
        <f>SUM(F56:J56)</f>
        <v>118184</v>
      </c>
      <c r="L56" s="10">
        <f>SUMIF($M$1:$V$1,B56,$M$2:$V$2)*(1+$D$3)^(D56-1)</f>
        <v>0</v>
      </c>
      <c r="M56" s="10">
        <f>'Fondos de pensión'!S58</f>
        <v>0</v>
      </c>
      <c r="N56" s="10">
        <f>SUM(L56:M56)</f>
        <v>0</v>
      </c>
      <c r="O56" s="10">
        <f>K56+N56</f>
        <v>118184</v>
      </c>
      <c r="P56" s="10">
        <f>$J$1*12*(1+$D$3)^(D56-1)*IF(D56&gt;$G$7,$J$2,1)</f>
        <v>277454</v>
      </c>
      <c r="Q56" s="10">
        <f>SUMPRODUCT(($M$5:$V$5&lt;=B56)*($M$5:$V$5+$M$6:$V$6&gt;B56)*$M$7:$V$7)*(1+$D$3)^(D56-1)</f>
        <v>0</v>
      </c>
      <c r="R56" s="10">
        <f>IF(D56&lt;=$J$5,$J$4*12,0)+IF(D56&lt;=$J$7,$J$6*12,0)</f>
        <v>0</v>
      </c>
      <c r="S56" s="10">
        <f>SUM(P56:R56)</f>
        <v>277454</v>
      </c>
      <c r="T56" s="10">
        <f>$J$3*(1+$D$3)^(D56-1)</f>
        <v>26678</v>
      </c>
      <c r="U56" s="10">
        <f>S56+T56</f>
        <v>304132</v>
      </c>
      <c r="V56" s="10">
        <f>O56-U56</f>
        <v>-185948</v>
      </c>
      <c r="W56" s="10">
        <f>MAX(0,V56)</f>
        <v>0</v>
      </c>
      <c r="X56" s="10">
        <f>W56</f>
        <v>0</v>
      </c>
      <c r="Y56" s="10">
        <f>SUMPRODUCT(($M$3:$V$3=B56)*($M$14:$V$14=1)*$M$4:$V$4)*(1+$D$3)^(D56-1)</f>
        <v>0</v>
      </c>
      <c r="Z56" s="10">
        <f>SUMPRODUCT(($M$3:$V$3=B56)*($M$14:$V$14=2)*$M$4:$V$4)*(1+$D$3)^(D56-1)</f>
        <v>0</v>
      </c>
      <c r="AA56" s="10">
        <f>SUMPRODUCT(($M$3:$V$3=B56)*($M$14:$V$14=3)*$M$4:$V$4)*(1+$D$3)^(D56-1)</f>
        <v>0</v>
      </c>
      <c r="AB56" s="10">
        <f>SUM(Y56:AA56)</f>
        <v>0</v>
      </c>
      <c r="AC56" s="10">
        <f>MIN(0,V56)</f>
        <v>-185948</v>
      </c>
      <c r="AD56" s="10">
        <f>-SUMIF($M$10:$V$10,B56,$M$11:$V$11)*(1+$D$3)^(D56-1)</f>
        <v>0</v>
      </c>
      <c r="AE56" s="10">
        <f>IF(B56=$M$12,-$M$13*(1+$D$3)^(D56-1),0)</f>
        <v>0</v>
      </c>
      <c r="AF56" s="10">
        <f>SUM(AC56:AE56)</f>
        <v>-185948</v>
      </c>
      <c r="AG56" s="10">
        <f>AJ55</f>
        <v>9991115</v>
      </c>
      <c r="AH56" s="10">
        <f>AG56*$D$7</f>
        <v>749334</v>
      </c>
      <c r="AI56" s="10">
        <f>MAX(0,-(AG56+AH56+X56+AB56+AF56))</f>
        <v>0</v>
      </c>
      <c r="AJ56" s="10">
        <f>AG56+AH56+X56+AB56+AF56+AI56</f>
        <v>10554501</v>
      </c>
      <c r="AK56" s="10">
        <f>AJ56/(1+$D$3)^D56</f>
        <v>2284630</v>
      </c>
      <c r="AL56" s="4">
        <f>IF(AG56&lt;=0,0,-AF56/AG56)</f>
        <v>0.018611317287429815</v>
      </c>
    </row>
    <row r="57">
      <c r="B57" s="9">
        <f>B56+1</f>
        <v>2066</v>
      </c>
      <c r="C57" s="9">
        <f>C56+1</f>
        <v>85</v>
      </c>
      <c r="D57" s="9">
        <f>D56+1</f>
        <v>41</v>
      </c>
      <c r="E57" t="str">
        <f>IF(D57&lt;=$G$7,"Acumulación","Retiro")</f>
        <v>Retiro</v>
      </c>
      <c r="F57" s="10">
        <f>IF(D57&lt;=$G$8,$G$1*12*(1+$D$3)^(D57-1),0)</f>
        <v>0</v>
      </c>
      <c r="G57" s="10">
        <f>IF(AND($G$2&gt;0,D57&gt;=$G$3),$G$2*12*(1+$D$3)^(D57-1),0)</f>
        <v>49278</v>
      </c>
      <c r="H57" s="10">
        <f>SUMPRODUCT(($M$9:$V$9&gt;=B57)*$M$8:$V$8)*12*(1+$D$3)^(D57-1)</f>
        <v>0</v>
      </c>
      <c r="I57" s="10">
        <f>IF(AND($G$4&gt;0,D57&gt;=$G$6),$G$4*12*(1+$D$3)^($G$6-1)*(1+$D$4)^(D57-$G$6),0)</f>
        <v>45459</v>
      </c>
      <c r="J57" s="10">
        <f>'Fondos de pensión'!T59</f>
        <v>25747</v>
      </c>
      <c r="K57" s="10">
        <f>SUM(F57:J57)</f>
        <v>120484</v>
      </c>
      <c r="L57" s="10">
        <f>SUMIF($M$1:$V$1,B57,$M$2:$V$2)*(1+$D$3)^(D57-1)</f>
        <v>0</v>
      </c>
      <c r="M57" s="10">
        <f>'Fondos de pensión'!S59</f>
        <v>0</v>
      </c>
      <c r="N57" s="10">
        <f>SUM(L57:M57)</f>
        <v>0</v>
      </c>
      <c r="O57" s="10">
        <f>K57+N57</f>
        <v>120484</v>
      </c>
      <c r="P57" s="10">
        <f>$J$1*12*(1+$D$3)^(D57-1)*IF(D57&gt;$G$7,$J$2,1)</f>
        <v>288275</v>
      </c>
      <c r="Q57" s="10">
        <f>SUMPRODUCT(($M$5:$V$5&lt;=B57)*($M$5:$V$5+$M$6:$V$6&gt;B57)*$M$7:$V$7)*(1+$D$3)^(D57-1)</f>
        <v>0</v>
      </c>
      <c r="R57" s="10">
        <f>IF(D57&lt;=$J$5,$J$4*12,0)+IF(D57&lt;=$J$7,$J$6*12,0)</f>
        <v>0</v>
      </c>
      <c r="S57" s="10">
        <f>SUM(P57:R57)</f>
        <v>288275</v>
      </c>
      <c r="T57" s="10">
        <f>$J$3*(1+$D$3)^(D57-1)</f>
        <v>27719</v>
      </c>
      <c r="U57" s="10">
        <f>S57+T57</f>
        <v>315993</v>
      </c>
      <c r="V57" s="10">
        <f>O57-U57</f>
        <v>-195509</v>
      </c>
      <c r="W57" s="10">
        <f>MAX(0,V57)</f>
        <v>0</v>
      </c>
      <c r="X57" s="10">
        <f>W57</f>
        <v>0</v>
      </c>
      <c r="Y57" s="10">
        <f>SUMPRODUCT(($M$3:$V$3=B57)*($M$14:$V$14=1)*$M$4:$V$4)*(1+$D$3)^(D57-1)</f>
        <v>0</v>
      </c>
      <c r="Z57" s="10">
        <f>SUMPRODUCT(($M$3:$V$3=B57)*($M$14:$V$14=2)*$M$4:$V$4)*(1+$D$3)^(D57-1)</f>
        <v>0</v>
      </c>
      <c r="AA57" s="10">
        <f>SUMPRODUCT(($M$3:$V$3=B57)*($M$14:$V$14=3)*$M$4:$V$4)*(1+$D$3)^(D57-1)</f>
        <v>0</v>
      </c>
      <c r="AB57" s="10">
        <f>SUM(Y57:AA57)</f>
        <v>0</v>
      </c>
      <c r="AC57" s="10">
        <f>MIN(0,V57)</f>
        <v>-195509</v>
      </c>
      <c r="AD57" s="10">
        <f>-SUMIF($M$10:$V$10,B57,$M$11:$V$11)*(1+$D$3)^(D57-1)</f>
        <v>0</v>
      </c>
      <c r="AE57" s="10">
        <f>IF(B57=$M$12,-$M$13*(1+$D$3)^(D57-1),0)</f>
        <v>0</v>
      </c>
      <c r="AF57" s="10">
        <f>SUM(AC57:AE57)</f>
        <v>-195509</v>
      </c>
      <c r="AG57" s="10">
        <f>AJ56</f>
        <v>10554501</v>
      </c>
      <c r="AH57" s="10">
        <f>AG57*$D$7</f>
        <v>791588</v>
      </c>
      <c r="AI57" s="10">
        <f>MAX(0,-(AG57+AH57+X57+AB57+AF57))</f>
        <v>0</v>
      </c>
      <c r="AJ57" s="10">
        <f>AG57+AH57+X57+AB57+AF57+AI57</f>
        <v>11150580</v>
      </c>
      <c r="AK57" s="10">
        <f>AJ57/(1+$D$3)^D57</f>
        <v>2323058</v>
      </c>
      <c r="AL57" s="4">
        <f>IF(AG57&lt;=0,0,-AF57/AG57)</f>
        <v>0.01852377375911849</v>
      </c>
    </row>
    <row r="58">
      <c r="B58" s="9">
        <f>B57+1</f>
        <v>2067</v>
      </c>
      <c r="C58" s="9">
        <f>C57+1</f>
        <v>86</v>
      </c>
      <c r="D58" s="9">
        <f>D57+1</f>
        <v>42</v>
      </c>
      <c r="E58" t="str">
        <f>IF(D58&lt;=$G$7,"Acumulación","Retiro")</f>
        <v>Retiro</v>
      </c>
      <c r="F58" s="10">
        <f>IF(D58&lt;=$G$8,$G$1*12*(1+$D$3)^(D58-1),0)</f>
        <v>0</v>
      </c>
      <c r="G58" s="10">
        <f>IF(AND($G$2&gt;0,D58&gt;=$G$3),$G$2*12*(1+$D$3)^(D58-1),0)</f>
        <v>51200</v>
      </c>
      <c r="H58" s="10">
        <f>SUMPRODUCT(($M$9:$V$9&gt;=B58)*$M$8:$V$8)*12*(1+$D$3)^(D58-1)</f>
        <v>0</v>
      </c>
      <c r="I58" s="10">
        <f>IF(AND($G$4&gt;0,D58&gt;=$G$6),$G$4*12*(1+$D$3)^($G$6-1)*(1+$D$4)^(D58-$G$6),0)</f>
        <v>45914</v>
      </c>
      <c r="J58" s="10">
        <f>'Fondos de pensión'!T60</f>
        <v>25747</v>
      </c>
      <c r="K58" s="10">
        <f>SUM(F58:J58)</f>
        <v>122861</v>
      </c>
      <c r="L58" s="10">
        <f>SUMIF($M$1:$V$1,B58,$M$2:$V$2)*(1+$D$3)^(D58-1)</f>
        <v>0</v>
      </c>
      <c r="M58" s="10">
        <f>'Fondos de pensión'!S60</f>
        <v>0</v>
      </c>
      <c r="N58" s="10">
        <f>SUM(L58:M58)</f>
        <v>0</v>
      </c>
      <c r="O58" s="10">
        <f>K58+N58</f>
        <v>122861</v>
      </c>
      <c r="P58" s="10">
        <f>$J$1*12*(1+$D$3)^(D58-1)*IF(D58&gt;$G$7,$J$2,1)</f>
        <v>299517</v>
      </c>
      <c r="Q58" s="10">
        <f>SUMPRODUCT(($M$5:$V$5&lt;=B58)*($M$5:$V$5+$M$6:$V$6&gt;B58)*$M$7:$V$7)*(1+$D$3)^(D58-1)</f>
        <v>0</v>
      </c>
      <c r="R58" s="10">
        <f>IF(D58&lt;=$J$5,$J$4*12,0)+IF(D58&lt;=$J$7,$J$6*12,0)</f>
        <v>0</v>
      </c>
      <c r="S58" s="10">
        <f>SUM(P58:R58)</f>
        <v>299517</v>
      </c>
      <c r="T58" s="10">
        <f>$J$3*(1+$D$3)^(D58-1)</f>
        <v>28800</v>
      </c>
      <c r="U58" s="10">
        <f>S58+T58</f>
        <v>328317</v>
      </c>
      <c r="V58" s="10">
        <f>O58-U58</f>
        <v>-205457</v>
      </c>
      <c r="W58" s="10">
        <f>MAX(0,V58)</f>
        <v>0</v>
      </c>
      <c r="X58" s="10">
        <f>W58</f>
        <v>0</v>
      </c>
      <c r="Y58" s="10">
        <f>SUMPRODUCT(($M$3:$V$3=B58)*($M$14:$V$14=1)*$M$4:$V$4)*(1+$D$3)^(D58-1)</f>
        <v>0</v>
      </c>
      <c r="Z58" s="10">
        <f>SUMPRODUCT(($M$3:$V$3=B58)*($M$14:$V$14=2)*$M$4:$V$4)*(1+$D$3)^(D58-1)</f>
        <v>0</v>
      </c>
      <c r="AA58" s="10">
        <f>SUMPRODUCT(($M$3:$V$3=B58)*($M$14:$V$14=3)*$M$4:$V$4)*(1+$D$3)^(D58-1)</f>
        <v>0</v>
      </c>
      <c r="AB58" s="10">
        <f>SUM(Y58:AA58)</f>
        <v>0</v>
      </c>
      <c r="AC58" s="10">
        <f>MIN(0,V58)</f>
        <v>-205457</v>
      </c>
      <c r="AD58" s="10">
        <f>-SUMIF($M$10:$V$10,B58,$M$11:$V$11)*(1+$D$3)^(D58-1)</f>
        <v>0</v>
      </c>
      <c r="AE58" s="10">
        <f>IF(B58=$M$12,-$M$13*(1+$D$3)^(D58-1),0)</f>
        <v>0</v>
      </c>
      <c r="AF58" s="10">
        <f>SUM(AC58:AE58)</f>
        <v>-205457</v>
      </c>
      <c r="AG58" s="10">
        <f>AJ57</f>
        <v>11150580</v>
      </c>
      <c r="AH58" s="10">
        <f>AG58*$D$7</f>
        <v>836293</v>
      </c>
      <c r="AI58" s="10">
        <f>MAX(0,-(AG58+AH58+X58+AB58+AF58))</f>
        <v>0</v>
      </c>
      <c r="AJ58" s="10">
        <f>AG58+AH58+X58+AB58+AF58+AI58</f>
        <v>11781417</v>
      </c>
      <c r="AK58" s="10">
        <f>AJ58/(1+$D$3)^D58</f>
        <v>2362352</v>
      </c>
      <c r="AL58" s="4">
        <f>IF(AG58&lt;=0,0,-AF58/AG58)</f>
        <v>0.018425635278570596</v>
      </c>
    </row>
    <row r="59">
      <c r="B59" s="9">
        <f>B58+1</f>
        <v>2068</v>
      </c>
      <c r="C59" s="9">
        <f>C58+1</f>
        <v>87</v>
      </c>
      <c r="D59" s="9">
        <f>D58+1</f>
        <v>43</v>
      </c>
      <c r="E59" t="str">
        <f>IF(D59&lt;=$G$7,"Acumulación","Retiro")</f>
        <v>Retiro</v>
      </c>
      <c r="F59" s="10">
        <f>IF(D59&lt;=$G$8,$G$1*12*(1+$D$3)^(D59-1),0)</f>
        <v>0</v>
      </c>
      <c r="G59" s="10">
        <f>IF(AND($G$2&gt;0,D59&gt;=$G$3),$G$2*12*(1+$D$3)^(D59-1),0)</f>
        <v>53196</v>
      </c>
      <c r="H59" s="10">
        <f>SUMPRODUCT(($M$9:$V$9&gt;=B59)*$M$8:$V$8)*12*(1+$D$3)^(D59-1)</f>
        <v>0</v>
      </c>
      <c r="I59" s="10">
        <f>IF(AND($G$4&gt;0,D59&gt;=$G$6),$G$4*12*(1+$D$3)^($G$6-1)*(1+$D$4)^(D59-$G$6),0)</f>
        <v>46373</v>
      </c>
      <c r="J59" s="10">
        <f>'Fondos de pensión'!T61</f>
        <v>25747</v>
      </c>
      <c r="K59" s="10">
        <f>SUM(F59:J59)</f>
        <v>125317</v>
      </c>
      <c r="L59" s="10">
        <f>SUMIF($M$1:$V$1,B59,$M$2:$V$2)*(1+$D$3)^(D59-1)</f>
        <v>0</v>
      </c>
      <c r="M59" s="10">
        <f>'Fondos de pensión'!S61</f>
        <v>0</v>
      </c>
      <c r="N59" s="10">
        <f>SUM(L59:M59)</f>
        <v>0</v>
      </c>
      <c r="O59" s="10">
        <f>K59+N59</f>
        <v>125317</v>
      </c>
      <c r="P59" s="10">
        <f>$J$1*12*(1+$D$3)^(D59-1)*IF(D59&gt;$G$7,$J$2,1)</f>
        <v>311199</v>
      </c>
      <c r="Q59" s="10">
        <f>SUMPRODUCT(($M$5:$V$5&lt;=B59)*($M$5:$V$5+$M$6:$V$6&gt;B59)*$M$7:$V$7)*(1+$D$3)^(D59-1)</f>
        <v>0</v>
      </c>
      <c r="R59" s="10">
        <f>IF(D59&lt;=$J$5,$J$4*12,0)+IF(D59&lt;=$J$7,$J$6*12,0)</f>
        <v>0</v>
      </c>
      <c r="S59" s="10">
        <f>SUM(P59:R59)</f>
        <v>311199</v>
      </c>
      <c r="T59" s="10">
        <f>$J$3*(1+$D$3)^(D59-1)</f>
        <v>29923</v>
      </c>
      <c r="U59" s="10">
        <f>S59+T59</f>
        <v>341122</v>
      </c>
      <c r="V59" s="10">
        <f>O59-U59</f>
        <v>-215805</v>
      </c>
      <c r="W59" s="10">
        <f>MAX(0,V59)</f>
        <v>0</v>
      </c>
      <c r="X59" s="10">
        <f>W59</f>
        <v>0</v>
      </c>
      <c r="Y59" s="10">
        <f>SUMPRODUCT(($M$3:$V$3=B59)*($M$14:$V$14=1)*$M$4:$V$4)*(1+$D$3)^(D59-1)</f>
        <v>0</v>
      </c>
      <c r="Z59" s="10">
        <f>SUMPRODUCT(($M$3:$V$3=B59)*($M$14:$V$14=2)*$M$4:$V$4)*(1+$D$3)^(D59-1)</f>
        <v>0</v>
      </c>
      <c r="AA59" s="10">
        <f>SUMPRODUCT(($M$3:$V$3=B59)*($M$14:$V$14=3)*$M$4:$V$4)*(1+$D$3)^(D59-1)</f>
        <v>0</v>
      </c>
      <c r="AB59" s="10">
        <f>SUM(Y59:AA59)</f>
        <v>0</v>
      </c>
      <c r="AC59" s="10">
        <f>MIN(0,V59)</f>
        <v>-215805</v>
      </c>
      <c r="AD59" s="10">
        <f>-SUMIF($M$10:$V$10,B59,$M$11:$V$11)*(1+$D$3)^(D59-1)</f>
        <v>0</v>
      </c>
      <c r="AE59" s="10">
        <f>IF(B59=$M$12,-$M$13*(1+$D$3)^(D59-1),0)</f>
        <v>0</v>
      </c>
      <c r="AF59" s="10">
        <f>SUM(AC59:AE59)</f>
        <v>-215805</v>
      </c>
      <c r="AG59" s="10">
        <f>AJ58</f>
        <v>11781417</v>
      </c>
      <c r="AH59" s="10">
        <f>AG59*$D$7</f>
        <v>883606</v>
      </c>
      <c r="AI59" s="10">
        <f>MAX(0,-(AG59+AH59+X59+AB59+AF59))</f>
        <v>0</v>
      </c>
      <c r="AJ59" s="10">
        <f>AG59+AH59+X59+AB59+AF59+AI59</f>
        <v>12449218</v>
      </c>
      <c r="AK59" s="10">
        <f>AJ59/(1+$D$3)^D59</f>
        <v>2402556</v>
      </c>
      <c r="AL59" s="4">
        <f>IF(AG59&lt;=0,0,-AF59/AG59)</f>
        <v>0.018317403588747082</v>
      </c>
    </row>
    <row r="60">
      <c r="B60" s="9">
        <f>B59+1</f>
        <v>2069</v>
      </c>
      <c r="C60" s="9">
        <f>C59+1</f>
        <v>88</v>
      </c>
      <c r="D60" s="9">
        <f>D59+1</f>
        <v>44</v>
      </c>
      <c r="E60" t="str">
        <f>IF(D60&lt;=$G$7,"Acumulación","Retiro")</f>
        <v>Retiro</v>
      </c>
      <c r="F60" s="10">
        <f>IF(D60&lt;=$G$8,$G$1*12*(1+$D$3)^(D60-1),0)</f>
        <v>0</v>
      </c>
      <c r="G60" s="10">
        <f>IF(AND($G$2&gt;0,D60&gt;=$G$3),$G$2*12*(1+$D$3)^(D60-1),0)</f>
        <v>55271</v>
      </c>
      <c r="H60" s="10">
        <f>SUMPRODUCT(($M$9:$V$9&gt;=B60)*$M$8:$V$8)*12*(1+$D$3)^(D60-1)</f>
        <v>0</v>
      </c>
      <c r="I60" s="10">
        <f>IF(AND($G$4&gt;0,D60&gt;=$G$6),$G$4*12*(1+$D$3)^($G$6-1)*(1+$D$4)^(D60-$G$6),0)</f>
        <v>46837</v>
      </c>
      <c r="J60" s="10">
        <f>'Fondos de pensión'!T62</f>
        <v>0</v>
      </c>
      <c r="K60" s="10">
        <f>SUM(F60:J60)</f>
        <v>102108</v>
      </c>
      <c r="L60" s="10">
        <f>SUMIF($M$1:$V$1,B60,$M$2:$V$2)*(1+$D$3)^(D60-1)</f>
        <v>0</v>
      </c>
      <c r="M60" s="10">
        <f>'Fondos de pensión'!S62</f>
        <v>0</v>
      </c>
      <c r="N60" s="10">
        <f>SUM(L60:M60)</f>
        <v>0</v>
      </c>
      <c r="O60" s="10">
        <f>K60+N60</f>
        <v>102108</v>
      </c>
      <c r="P60" s="10">
        <f>$J$1*12*(1+$D$3)^(D60-1)*IF(D60&gt;$G$7,$J$2,1)</f>
        <v>323335</v>
      </c>
      <c r="Q60" s="10">
        <f>SUMPRODUCT(($M$5:$V$5&lt;=B60)*($M$5:$V$5+$M$6:$V$6&gt;B60)*$M$7:$V$7)*(1+$D$3)^(D60-1)</f>
        <v>0</v>
      </c>
      <c r="R60" s="10">
        <f>IF(D60&lt;=$J$5,$J$4*12,0)+IF(D60&lt;=$J$7,$J$6*12,0)</f>
        <v>0</v>
      </c>
      <c r="S60" s="10">
        <f>SUM(P60:R60)</f>
        <v>323335</v>
      </c>
      <c r="T60" s="10">
        <f>$J$3*(1+$D$3)^(D60-1)</f>
        <v>31090</v>
      </c>
      <c r="U60" s="10">
        <f>S60+T60</f>
        <v>354425</v>
      </c>
      <c r="V60" s="10">
        <f>O60-U60</f>
        <v>-252318</v>
      </c>
      <c r="W60" s="10">
        <f>MAX(0,V60)</f>
        <v>0</v>
      </c>
      <c r="X60" s="10">
        <f>W60</f>
        <v>0</v>
      </c>
      <c r="Y60" s="10">
        <f>SUMPRODUCT(($M$3:$V$3=B60)*($M$14:$V$14=1)*$M$4:$V$4)*(1+$D$3)^(D60-1)</f>
        <v>0</v>
      </c>
      <c r="Z60" s="10">
        <f>SUMPRODUCT(($M$3:$V$3=B60)*($M$14:$V$14=2)*$M$4:$V$4)*(1+$D$3)^(D60-1)</f>
        <v>0</v>
      </c>
      <c r="AA60" s="10">
        <f>SUMPRODUCT(($M$3:$V$3=B60)*($M$14:$V$14=3)*$M$4:$V$4)*(1+$D$3)^(D60-1)</f>
        <v>0</v>
      </c>
      <c r="AB60" s="10">
        <f>SUM(Y60:AA60)</f>
        <v>0</v>
      </c>
      <c r="AC60" s="10">
        <f>MIN(0,V60)</f>
        <v>-252318</v>
      </c>
      <c r="AD60" s="10">
        <f>-SUMIF($M$10:$V$10,B60,$M$11:$V$11)*(1+$D$3)^(D60-1)</f>
        <v>0</v>
      </c>
      <c r="AE60" s="10">
        <f>IF(B60=$M$12,-$M$13*(1+$D$3)^(D60-1),0)</f>
        <v>0</v>
      </c>
      <c r="AF60" s="10">
        <f>SUM(AC60:AE60)</f>
        <v>-252318</v>
      </c>
      <c r="AG60" s="10">
        <f>AJ59</f>
        <v>12449218</v>
      </c>
      <c r="AH60" s="10">
        <f>AG60*$D$7</f>
        <v>933691</v>
      </c>
      <c r="AI60" s="10">
        <f>MAX(0,-(AG60+AH60+X60+AB60+AF60))</f>
        <v>0</v>
      </c>
      <c r="AJ60" s="10">
        <f>AG60+AH60+X60+AB60+AF60+AI60</f>
        <v>13130592</v>
      </c>
      <c r="AK60" s="10">
        <f>AJ60/(1+$D$3)^D60</f>
        <v>2438935</v>
      </c>
      <c r="AL60" s="4">
        <f>IF(AG60&lt;=0,0,-AF60/AG60)</f>
        <v>0.02026775733639668</v>
      </c>
    </row>
    <row r="61">
      <c r="B61" s="9">
        <f>B60+1</f>
        <v>2070</v>
      </c>
      <c r="C61" s="9">
        <f>C60+1</f>
        <v>89</v>
      </c>
      <c r="D61" s="9">
        <f>D60+1</f>
        <v>45</v>
      </c>
      <c r="E61" t="str">
        <f>IF(D61&lt;=$G$7,"Acumulación","Retiro")</f>
        <v>Retiro</v>
      </c>
      <c r="F61" s="10">
        <f>IF(D61&lt;=$G$8,$G$1*12*(1+$D$3)^(D61-1),0)</f>
        <v>0</v>
      </c>
      <c r="G61" s="10">
        <f>IF(AND($G$2&gt;0,D61&gt;=$G$3),$G$2*12*(1+$D$3)^(D61-1),0)</f>
        <v>57427</v>
      </c>
      <c r="H61" s="10">
        <f>SUMPRODUCT(($M$9:$V$9&gt;=B61)*$M$8:$V$8)*12*(1+$D$3)^(D61-1)</f>
        <v>0</v>
      </c>
      <c r="I61" s="10">
        <f>IF(AND($G$4&gt;0,D61&gt;=$G$6),$G$4*12*(1+$D$3)^($G$6-1)*(1+$D$4)^(D61-$G$6),0)</f>
        <v>47305</v>
      </c>
      <c r="J61" s="10">
        <f>'Fondos de pensión'!T63</f>
        <v>0</v>
      </c>
      <c r="K61" s="10">
        <f>SUM(F61:J61)</f>
        <v>104731</v>
      </c>
      <c r="L61" s="10">
        <f>SUMIF($M$1:$V$1,B61,$M$2:$V$2)*(1+$D$3)^(D61-1)</f>
        <v>0</v>
      </c>
      <c r="M61" s="10">
        <f>'Fondos de pensión'!S63</f>
        <v>0</v>
      </c>
      <c r="N61" s="10">
        <f>SUM(L61:M61)</f>
        <v>0</v>
      </c>
      <c r="O61" s="10">
        <f>K61+N61</f>
        <v>104731</v>
      </c>
      <c r="P61" s="10">
        <f>$J$1*12*(1+$D$3)^(D61-1)*IF(D61&gt;$G$7,$J$2,1)</f>
        <v>335945</v>
      </c>
      <c r="Q61" s="10">
        <f>SUMPRODUCT(($M$5:$V$5&lt;=B61)*($M$5:$V$5+$M$6:$V$6&gt;B61)*$M$7:$V$7)*(1+$D$3)^(D61-1)</f>
        <v>0</v>
      </c>
      <c r="R61" s="10">
        <f>IF(D61&lt;=$J$5,$J$4*12,0)+IF(D61&lt;=$J$7,$J$6*12,0)</f>
        <v>0</v>
      </c>
      <c r="S61" s="10">
        <f>SUM(P61:R61)</f>
        <v>335945</v>
      </c>
      <c r="T61" s="10">
        <f>$J$3*(1+$D$3)^(D61-1)</f>
        <v>32302</v>
      </c>
      <c r="U61" s="10">
        <f>S61+T61</f>
        <v>368248</v>
      </c>
      <c r="V61" s="10">
        <f>O61-U61</f>
        <v>-263516</v>
      </c>
      <c r="W61" s="10">
        <f>MAX(0,V61)</f>
        <v>0</v>
      </c>
      <c r="X61" s="10">
        <f>W61</f>
        <v>0</v>
      </c>
      <c r="Y61" s="10">
        <f>SUMPRODUCT(($M$3:$V$3=B61)*($M$14:$V$14=1)*$M$4:$V$4)*(1+$D$3)^(D61-1)</f>
        <v>0</v>
      </c>
      <c r="Z61" s="10">
        <f>SUMPRODUCT(($M$3:$V$3=B61)*($M$14:$V$14=2)*$M$4:$V$4)*(1+$D$3)^(D61-1)</f>
        <v>0</v>
      </c>
      <c r="AA61" s="10">
        <f>SUMPRODUCT(($M$3:$V$3=B61)*($M$14:$V$14=3)*$M$4:$V$4)*(1+$D$3)^(D61-1)</f>
        <v>0</v>
      </c>
      <c r="AB61" s="10">
        <f>SUM(Y61:AA61)</f>
        <v>0</v>
      </c>
      <c r="AC61" s="10">
        <f>MIN(0,V61)</f>
        <v>-263516</v>
      </c>
      <c r="AD61" s="10">
        <f>-SUMIF($M$10:$V$10,B61,$M$11:$V$11)*(1+$D$3)^(D61-1)</f>
        <v>0</v>
      </c>
      <c r="AE61" s="10">
        <f>IF(B61=$M$12,-$M$13*(1+$D$3)^(D61-1),0)</f>
        <v>0</v>
      </c>
      <c r="AF61" s="10">
        <f>SUM(AC61:AE61)</f>
        <v>-263516</v>
      </c>
      <c r="AG61" s="10">
        <f>AJ60</f>
        <v>13130592</v>
      </c>
      <c r="AH61" s="10">
        <f>AG61*$D$7</f>
        <v>984794</v>
      </c>
      <c r="AI61" s="10">
        <f>MAX(0,-(AG61+AH61+X61+AB61+AF61))</f>
        <v>0</v>
      </c>
      <c r="AJ61" s="10">
        <f>AG61+AH61+X61+AB61+AF61+AI61</f>
        <v>13851870</v>
      </c>
      <c r="AK61" s="10">
        <f>AJ61/(1+$D$3)^D61</f>
        <v>2476331</v>
      </c>
      <c r="AL61" s="4">
        <f>IF(AG61&lt;=0,0,-AF61/AG61)</f>
        <v>0.020068888566214773</v>
      </c>
    </row>
    <row r="62">
      <c r="B62" s="9">
        <f>B61+1</f>
        <v>2071</v>
      </c>
      <c r="C62" s="9">
        <f>C61+1</f>
        <v>90</v>
      </c>
      <c r="D62" s="9">
        <f>D61+1</f>
        <v>46</v>
      </c>
      <c r="E62" t="str">
        <f>IF(D62&lt;=$G$7,"Acumulación","Retiro")</f>
        <v>Retiro</v>
      </c>
      <c r="F62" s="10">
        <f>IF(D62&lt;=$G$8,$G$1*12*(1+$D$3)^(D62-1),0)</f>
        <v>0</v>
      </c>
      <c r="G62" s="10">
        <f>IF(AND($G$2&gt;0,D62&gt;=$G$3),$G$2*12*(1+$D$3)^(D62-1),0)</f>
        <v>59666</v>
      </c>
      <c r="H62" s="10">
        <f>SUMPRODUCT(($M$9:$V$9&gt;=B62)*$M$8:$V$8)*12*(1+$D$3)^(D62-1)</f>
        <v>0</v>
      </c>
      <c r="I62" s="10">
        <f>IF(AND($G$4&gt;0,D62&gt;=$G$6),$G$4*12*(1+$D$3)^($G$6-1)*(1+$D$4)^(D62-$G$6),0)</f>
        <v>47778</v>
      </c>
      <c r="J62" s="10">
        <f>'Fondos de pensión'!T64</f>
        <v>0</v>
      </c>
      <c r="K62" s="10">
        <f>SUM(F62:J62)</f>
        <v>107444</v>
      </c>
      <c r="L62" s="10">
        <f>SUMIF($M$1:$V$1,B62,$M$2:$V$2)*(1+$D$3)^(D62-1)</f>
        <v>0</v>
      </c>
      <c r="M62" s="10">
        <f>'Fondos de pensión'!S64</f>
        <v>0</v>
      </c>
      <c r="N62" s="10">
        <f>SUM(L62:M62)</f>
        <v>0</v>
      </c>
      <c r="O62" s="10">
        <f>K62+N62</f>
        <v>107444</v>
      </c>
      <c r="P62" s="10">
        <f>$J$1*12*(1+$D$3)^(D62-1)*IF(D62&gt;$G$7,$J$2,1)</f>
        <v>349047</v>
      </c>
      <c r="Q62" s="10">
        <f>SUMPRODUCT(($M$5:$V$5&lt;=B62)*($M$5:$V$5+$M$6:$V$6&gt;B62)*$M$7:$V$7)*(1+$D$3)^(D62-1)</f>
        <v>0</v>
      </c>
      <c r="R62" s="10">
        <f>IF(D62&lt;=$J$5,$J$4*12,0)+IF(D62&lt;=$J$7,$J$6*12,0)</f>
        <v>0</v>
      </c>
      <c r="S62" s="10">
        <f>SUM(P62:R62)</f>
        <v>349047</v>
      </c>
      <c r="T62" s="10">
        <f>$J$3*(1+$D$3)^(D62-1)</f>
        <v>33562</v>
      </c>
      <c r="U62" s="10">
        <f>S62+T62</f>
        <v>382609</v>
      </c>
      <c r="V62" s="10">
        <f>O62-U62</f>
        <v>-275165</v>
      </c>
      <c r="W62" s="10">
        <f>MAX(0,V62)</f>
        <v>0</v>
      </c>
      <c r="X62" s="10">
        <f>W62</f>
        <v>0</v>
      </c>
      <c r="Y62" s="10">
        <f>SUMPRODUCT(($M$3:$V$3=B62)*($M$14:$V$14=1)*$M$4:$V$4)*(1+$D$3)^(D62-1)</f>
        <v>0</v>
      </c>
      <c r="Z62" s="10">
        <f>SUMPRODUCT(($M$3:$V$3=B62)*($M$14:$V$14=2)*$M$4:$V$4)*(1+$D$3)^(D62-1)</f>
        <v>0</v>
      </c>
      <c r="AA62" s="10">
        <f>SUMPRODUCT(($M$3:$V$3=B62)*($M$14:$V$14=3)*$M$4:$V$4)*(1+$D$3)^(D62-1)</f>
        <v>0</v>
      </c>
      <c r="AB62" s="10">
        <f>SUM(Y62:AA62)</f>
        <v>0</v>
      </c>
      <c r="AC62" s="10">
        <f>MIN(0,V62)</f>
        <v>-275165</v>
      </c>
      <c r="AD62" s="10">
        <f>-SUMIF($M$10:$V$10,B62,$M$11:$V$11)*(1+$D$3)^(D62-1)</f>
        <v>0</v>
      </c>
      <c r="AE62" s="10">
        <f>IF(B62=$M$12,-$M$13*(1+$D$3)^(D62-1),0)</f>
        <v>0</v>
      </c>
      <c r="AF62" s="10">
        <f>SUM(AC62:AE62)</f>
        <v>-275165</v>
      </c>
      <c r="AG62" s="10">
        <f>AJ61</f>
        <v>13851870</v>
      </c>
      <c r="AH62" s="10">
        <f>AG62*$D$7</f>
        <v>1038890</v>
      </c>
      <c r="AI62" s="10">
        <f>MAX(0,-(AG62+AH62+X62+AB62+AF62))</f>
        <v>0</v>
      </c>
      <c r="AJ62" s="10">
        <f>AG62+AH62+X62+AB62+AF62+AI62</f>
        <v>14615594</v>
      </c>
      <c r="AK62" s="10">
        <f>AJ62/(1+$D$3)^D62</f>
        <v>2514788</v>
      </c>
      <c r="AL62" s="4">
        <f>IF(AG62&lt;=0,0,-AF62/AG62)</f>
        <v>0.019864853503650234</v>
      </c>
    </row>
    <row r="63">
      <c r="B63" s="9">
        <f>B62+1</f>
        <v>2072</v>
      </c>
      <c r="C63" s="9">
        <f>C62+1</f>
        <v>91</v>
      </c>
      <c r="D63" s="9">
        <f>D62+1</f>
        <v>47</v>
      </c>
      <c r="E63" t="str">
        <f>IF(D63&lt;=$G$7,"Acumulación","Retiro")</f>
        <v>Retiro</v>
      </c>
      <c r="F63" s="10">
        <f>IF(D63&lt;=$G$8,$G$1*12*(1+$D$3)^(D63-1),0)</f>
        <v>0</v>
      </c>
      <c r="G63" s="10">
        <f>IF(AND($G$2&gt;0,D63&gt;=$G$3),$G$2*12*(1+$D$3)^(D63-1),0)</f>
        <v>61993</v>
      </c>
      <c r="H63" s="10">
        <f>SUMPRODUCT(($M$9:$V$9&gt;=B63)*$M$8:$V$8)*12*(1+$D$3)^(D63-1)</f>
        <v>0</v>
      </c>
      <c r="I63" s="10">
        <f>IF(AND($G$4&gt;0,D63&gt;=$G$6),$G$4*12*(1+$D$3)^($G$6-1)*(1+$D$4)^(D63-$G$6),0)</f>
        <v>48256</v>
      </c>
      <c r="J63" s="10">
        <f>'Fondos de pensión'!T65</f>
        <v>0</v>
      </c>
      <c r="K63" s="10">
        <f>SUM(F63:J63)</f>
        <v>110249</v>
      </c>
      <c r="L63" s="10">
        <f>SUMIF($M$1:$V$1,B63,$M$2:$V$2)*(1+$D$3)^(D63-1)</f>
        <v>0</v>
      </c>
      <c r="M63" s="10">
        <f>'Fondos de pensión'!S65</f>
        <v>0</v>
      </c>
      <c r="N63" s="10">
        <f>SUM(L63:M63)</f>
        <v>0</v>
      </c>
      <c r="O63" s="10">
        <f>K63+N63</f>
        <v>110249</v>
      </c>
      <c r="P63" s="10">
        <f>$J$1*12*(1+$D$3)^(D63-1)*IF(D63&gt;$G$7,$J$2,1)</f>
        <v>362660</v>
      </c>
      <c r="Q63" s="10">
        <f>SUMPRODUCT(($M$5:$V$5&lt;=B63)*($M$5:$V$5+$M$6:$V$6&gt;B63)*$M$7:$V$7)*(1+$D$3)^(D63-1)</f>
        <v>0</v>
      </c>
      <c r="R63" s="10">
        <f>IF(D63&lt;=$J$5,$J$4*12,0)+IF(D63&lt;=$J$7,$J$6*12,0)</f>
        <v>0</v>
      </c>
      <c r="S63" s="10">
        <f>SUM(P63:R63)</f>
        <v>362660</v>
      </c>
      <c r="T63" s="10">
        <f>$J$3*(1+$D$3)^(D63-1)</f>
        <v>34871</v>
      </c>
      <c r="U63" s="10">
        <f>S63+T63</f>
        <v>397531</v>
      </c>
      <c r="V63" s="10">
        <f>O63-U63</f>
        <v>-287282</v>
      </c>
      <c r="W63" s="10">
        <f>MAX(0,V63)</f>
        <v>0</v>
      </c>
      <c r="X63" s="10">
        <f>W63</f>
        <v>0</v>
      </c>
      <c r="Y63" s="10">
        <f>SUMPRODUCT(($M$3:$V$3=B63)*($M$14:$V$14=1)*$M$4:$V$4)*(1+$D$3)^(D63-1)</f>
        <v>0</v>
      </c>
      <c r="Z63" s="10">
        <f>SUMPRODUCT(($M$3:$V$3=B63)*($M$14:$V$14=2)*$M$4:$V$4)*(1+$D$3)^(D63-1)</f>
        <v>0</v>
      </c>
      <c r="AA63" s="10">
        <f>SUMPRODUCT(($M$3:$V$3=B63)*($M$14:$V$14=3)*$M$4:$V$4)*(1+$D$3)^(D63-1)</f>
        <v>0</v>
      </c>
      <c r="AB63" s="10">
        <f>SUM(Y63:AA63)</f>
        <v>0</v>
      </c>
      <c r="AC63" s="10">
        <f>MIN(0,V63)</f>
        <v>-287282</v>
      </c>
      <c r="AD63" s="10">
        <f>-SUMIF($M$10:$V$10,B63,$M$11:$V$11)*(1+$D$3)^(D63-1)</f>
        <v>0</v>
      </c>
      <c r="AE63" s="10">
        <f>IF(B63=$M$12,-$M$13*(1+$D$3)^(D63-1),0)</f>
        <v>0</v>
      </c>
      <c r="AF63" s="10">
        <f>SUM(AC63:AE63)</f>
        <v>-287282</v>
      </c>
      <c r="AG63" s="10">
        <f>AJ62</f>
        <v>14615594</v>
      </c>
      <c r="AH63" s="10">
        <f>AG63*$D$7</f>
        <v>1096170</v>
      </c>
      <c r="AI63" s="10">
        <f>MAX(0,-(AG63+AH63+X63+AB63+AF63))</f>
        <v>0</v>
      </c>
      <c r="AJ63" s="10">
        <f>AG63+AH63+X63+AB63+AF63+AI63</f>
        <v>15424482</v>
      </c>
      <c r="AK63" s="10">
        <f>AJ63/(1+$D$3)^D63</f>
        <v>2554347</v>
      </c>
      <c r="AL63" s="4">
        <f>IF(AG63&lt;=0,0,-AF63/AG63)</f>
        <v>0.01965587991313075</v>
      </c>
    </row>
    <row r="64">
      <c r="B64" s="9">
        <f>B63+1</f>
        <v>2073</v>
      </c>
      <c r="C64" s="9">
        <f>C63+1</f>
        <v>92</v>
      </c>
      <c r="D64" s="9">
        <f>D63+1</f>
        <v>48</v>
      </c>
      <c r="E64" t="str">
        <f>IF(D64&lt;=$G$7,"Acumulación","Retiro")</f>
        <v>Retiro</v>
      </c>
      <c r="F64" s="10">
        <f>IF(D64&lt;=$G$8,$G$1*12*(1+$D$3)^(D64-1),0)</f>
        <v>0</v>
      </c>
      <c r="G64" s="10">
        <f>IF(AND($G$2&gt;0,D64&gt;=$G$3),$G$2*12*(1+$D$3)^(D64-1),0)</f>
        <v>64411</v>
      </c>
      <c r="H64" s="10">
        <f>SUMPRODUCT(($M$9:$V$9&gt;=B64)*$M$8:$V$8)*12*(1+$D$3)^(D64-1)</f>
        <v>0</v>
      </c>
      <c r="I64" s="10">
        <f>IF(AND($G$4&gt;0,D64&gt;=$G$6),$G$4*12*(1+$D$3)^($G$6-1)*(1+$D$4)^(D64-$G$6),0)</f>
        <v>48738</v>
      </c>
      <c r="J64" s="10">
        <f>'Fondos de pensión'!T66</f>
        <v>0</v>
      </c>
      <c r="K64" s="10">
        <f>SUM(F64:J64)</f>
        <v>113149</v>
      </c>
      <c r="L64" s="10">
        <f>SUMIF($M$1:$V$1,B64,$M$2:$V$2)*(1+$D$3)^(D64-1)</f>
        <v>0</v>
      </c>
      <c r="M64" s="10">
        <f>'Fondos de pensión'!S66</f>
        <v>0</v>
      </c>
      <c r="N64" s="10">
        <f>SUM(L64:M64)</f>
        <v>0</v>
      </c>
      <c r="O64" s="10">
        <f>K64+N64</f>
        <v>113149</v>
      </c>
      <c r="P64" s="10">
        <f>$J$1*12*(1+$D$3)^(D64-1)*IF(D64&gt;$G$7,$J$2,1)</f>
        <v>376804</v>
      </c>
      <c r="Q64" s="10">
        <f>SUMPRODUCT(($M$5:$V$5&lt;=B64)*($M$5:$V$5+$M$6:$V$6&gt;B64)*$M$7:$V$7)*(1+$D$3)^(D64-1)</f>
        <v>0</v>
      </c>
      <c r="R64" s="10">
        <f>IF(D64&lt;=$J$5,$J$4*12,0)+IF(D64&lt;=$J$7,$J$6*12,0)</f>
        <v>0</v>
      </c>
      <c r="S64" s="10">
        <f>SUM(P64:R64)</f>
        <v>376804</v>
      </c>
      <c r="T64" s="10">
        <f>$J$3*(1+$D$3)^(D64-1)</f>
        <v>36231</v>
      </c>
      <c r="U64" s="10">
        <f>S64+T64</f>
        <v>413035</v>
      </c>
      <c r="V64" s="10">
        <f>O64-U64</f>
        <v>-299886</v>
      </c>
      <c r="W64" s="10">
        <f>MAX(0,V64)</f>
        <v>0</v>
      </c>
      <c r="X64" s="10">
        <f>W64</f>
        <v>0</v>
      </c>
      <c r="Y64" s="10">
        <f>SUMPRODUCT(($M$3:$V$3=B64)*($M$14:$V$14=1)*$M$4:$V$4)*(1+$D$3)^(D64-1)</f>
        <v>0</v>
      </c>
      <c r="Z64" s="10">
        <f>SUMPRODUCT(($M$3:$V$3=B64)*($M$14:$V$14=2)*$M$4:$V$4)*(1+$D$3)^(D64-1)</f>
        <v>0</v>
      </c>
      <c r="AA64" s="10">
        <f>SUMPRODUCT(($M$3:$V$3=B64)*($M$14:$V$14=3)*$M$4:$V$4)*(1+$D$3)^(D64-1)</f>
        <v>0</v>
      </c>
      <c r="AB64" s="10">
        <f>SUM(Y64:AA64)</f>
        <v>0</v>
      </c>
      <c r="AC64" s="10">
        <f>MIN(0,V64)</f>
        <v>-299886</v>
      </c>
      <c r="AD64" s="10">
        <f>-SUMIF($M$10:$V$10,B64,$M$11:$V$11)*(1+$D$3)^(D64-1)</f>
        <v>0</v>
      </c>
      <c r="AE64" s="10">
        <f>IF(B64=$M$12,-$M$13*(1+$D$3)^(D64-1),0)</f>
        <v>0</v>
      </c>
      <c r="AF64" s="10">
        <f>SUM(AC64:AE64)</f>
        <v>-299886</v>
      </c>
      <c r="AG64" s="10">
        <f>AJ63</f>
        <v>15424482</v>
      </c>
      <c r="AH64" s="10">
        <f>AG64*$D$7</f>
        <v>1156836</v>
      </c>
      <c r="AI64" s="10">
        <f>MAX(0,-(AG64+AH64+X64+AB64+AF64))</f>
        <v>0</v>
      </c>
      <c r="AJ64" s="10">
        <f>AG64+AH64+X64+AB64+AF64+AI64</f>
        <v>16281432</v>
      </c>
      <c r="AK64" s="10">
        <f>AJ64/(1+$D$3)^D64</f>
        <v>2595054</v>
      </c>
      <c r="AL64" s="4">
        <f>IF(AG64&lt;=0,0,-AF64/AG64)</f>
        <v>0.019442196117026567</v>
      </c>
    </row>
    <row r="65">
      <c r="B65" s="9">
        <f>B64+1</f>
        <v>2074</v>
      </c>
      <c r="C65" s="9">
        <f>C64+1</f>
        <v>93</v>
      </c>
      <c r="D65" s="9">
        <f>D64+1</f>
        <v>49</v>
      </c>
      <c r="E65" t="str">
        <f>IF(D65&lt;=$G$7,"Acumulación","Retiro")</f>
        <v>Retiro</v>
      </c>
      <c r="F65" s="10">
        <f>IF(D65&lt;=$G$8,$G$1*12*(1+$D$3)^(D65-1),0)</f>
        <v>0</v>
      </c>
      <c r="G65" s="10">
        <f>IF(AND($G$2&gt;0,D65&gt;=$G$3),$G$2*12*(1+$D$3)^(D65-1),0)</f>
        <v>66923</v>
      </c>
      <c r="H65" s="10">
        <f>SUMPRODUCT(($M$9:$V$9&gt;=B65)*$M$8:$V$8)*12*(1+$D$3)^(D65-1)</f>
        <v>0</v>
      </c>
      <c r="I65" s="10">
        <f>IF(AND($G$4&gt;0,D65&gt;=$G$6),$G$4*12*(1+$D$3)^($G$6-1)*(1+$D$4)^(D65-$G$6),0)</f>
        <v>49226</v>
      </c>
      <c r="J65" s="10">
        <f>'Fondos de pensión'!T67</f>
        <v>0</v>
      </c>
      <c r="K65" s="10">
        <f>SUM(F65:J65)</f>
        <v>116149</v>
      </c>
      <c r="L65" s="10">
        <f>SUMIF($M$1:$V$1,B65,$M$2:$V$2)*(1+$D$3)^(D65-1)</f>
        <v>0</v>
      </c>
      <c r="M65" s="10">
        <f>'Fondos de pensión'!S67</f>
        <v>0</v>
      </c>
      <c r="N65" s="10">
        <f>SUM(L65:M65)</f>
        <v>0</v>
      </c>
      <c r="O65" s="10">
        <f>K65+N65</f>
        <v>116149</v>
      </c>
      <c r="P65" s="10">
        <f>$J$1*12*(1+$D$3)^(D65-1)*IF(D65&gt;$G$7,$J$2,1)</f>
        <v>391499</v>
      </c>
      <c r="Q65" s="10">
        <f>SUMPRODUCT(($M$5:$V$5&lt;=B65)*($M$5:$V$5+$M$6:$V$6&gt;B65)*$M$7:$V$7)*(1+$D$3)^(D65-1)</f>
        <v>0</v>
      </c>
      <c r="R65" s="10">
        <f>IF(D65&lt;=$J$5,$J$4*12,0)+IF(D65&lt;=$J$7,$J$6*12,0)</f>
        <v>0</v>
      </c>
      <c r="S65" s="10">
        <f>SUM(P65:R65)</f>
        <v>391499</v>
      </c>
      <c r="T65" s="10">
        <f>$J$3*(1+$D$3)^(D65-1)</f>
        <v>37644</v>
      </c>
      <c r="U65" s="10">
        <f>S65+T65</f>
        <v>429143</v>
      </c>
      <c r="V65" s="10">
        <f>O65-U65</f>
        <v>-312995</v>
      </c>
      <c r="W65" s="10">
        <f>MAX(0,V65)</f>
        <v>0</v>
      </c>
      <c r="X65" s="10">
        <f>W65</f>
        <v>0</v>
      </c>
      <c r="Y65" s="10">
        <f>SUMPRODUCT(($M$3:$V$3=B65)*($M$14:$V$14=1)*$M$4:$V$4)*(1+$D$3)^(D65-1)</f>
        <v>0</v>
      </c>
      <c r="Z65" s="10">
        <f>SUMPRODUCT(($M$3:$V$3=B65)*($M$14:$V$14=2)*$M$4:$V$4)*(1+$D$3)^(D65-1)</f>
        <v>0</v>
      </c>
      <c r="AA65" s="10">
        <f>SUMPRODUCT(($M$3:$V$3=B65)*($M$14:$V$14=3)*$M$4:$V$4)*(1+$D$3)^(D65-1)</f>
        <v>0</v>
      </c>
      <c r="AB65" s="10">
        <f>SUM(Y65:AA65)</f>
        <v>0</v>
      </c>
      <c r="AC65" s="10">
        <f>MIN(0,V65)</f>
        <v>-312995</v>
      </c>
      <c r="AD65" s="10">
        <f>-SUMIF($M$10:$V$10,B65,$M$11:$V$11)*(1+$D$3)^(D65-1)</f>
        <v>0</v>
      </c>
      <c r="AE65" s="10">
        <f>IF(B65=$M$12,-$M$13*(1+$D$3)^(D65-1),0)</f>
        <v>0</v>
      </c>
      <c r="AF65" s="10">
        <f>SUM(AC65:AE65)</f>
        <v>-312995</v>
      </c>
      <c r="AG65" s="10">
        <f>AJ64</f>
        <v>16281432</v>
      </c>
      <c r="AH65" s="10">
        <f>AG65*$D$7</f>
        <v>1221107</v>
      </c>
      <c r="AI65" s="10">
        <f>MAX(0,-(AG65+AH65+X65+AB65+AF65))</f>
        <v>0</v>
      </c>
      <c r="AJ65" s="10">
        <f>AG65+AH65+X65+AB65+AF65+AI65</f>
        <v>17189545</v>
      </c>
      <c r="AK65" s="10">
        <f>AJ65/(1+$D$3)^D65</f>
        <v>2636954</v>
      </c>
      <c r="AL65" s="4">
        <f>IF(AG65&lt;=0,0,-AF65/AG65)</f>
        <v>0.01922403101225078</v>
      </c>
    </row>
    <row r="66">
      <c r="B66" s="9">
        <f>B65+1</f>
        <v>2075</v>
      </c>
      <c r="C66" s="9">
        <f>C65+1</f>
        <v>94</v>
      </c>
      <c r="D66" s="9">
        <f>D65+1</f>
        <v>50</v>
      </c>
      <c r="E66" t="str">
        <f>IF(D66&lt;=$G$7,"Acumulación","Retiro")</f>
        <v>Retiro</v>
      </c>
      <c r="F66" s="10">
        <f>IF(D66&lt;=$G$8,$G$1*12*(1+$D$3)^(D66-1),0)</f>
        <v>0</v>
      </c>
      <c r="G66" s="10">
        <f>IF(AND($G$2&gt;0,D66&gt;=$G$3),$G$2*12*(1+$D$3)^(D66-1),0)</f>
        <v>69533</v>
      </c>
      <c r="H66" s="10">
        <f>SUMPRODUCT(($M$9:$V$9&gt;=B66)*$M$8:$V$8)*12*(1+$D$3)^(D66-1)</f>
        <v>0</v>
      </c>
      <c r="I66" s="10">
        <f>IF(AND($G$4&gt;0,D66&gt;=$G$6),$G$4*12*(1+$D$3)^($G$6-1)*(1+$D$4)^(D66-$G$6),0)</f>
        <v>49718</v>
      </c>
      <c r="J66" s="10">
        <f>'Fondos de pensión'!T68</f>
        <v>0</v>
      </c>
      <c r="K66" s="10">
        <f>SUM(F66:J66)</f>
        <v>119251</v>
      </c>
      <c r="L66" s="10">
        <f>SUMIF($M$1:$V$1,B66,$M$2:$V$2)*(1+$D$3)^(D66-1)</f>
        <v>0</v>
      </c>
      <c r="M66" s="10">
        <f>'Fondos de pensión'!S68</f>
        <v>0</v>
      </c>
      <c r="N66" s="10">
        <f>SUM(L66:M66)</f>
        <v>0</v>
      </c>
      <c r="O66" s="10">
        <f>K66+N66</f>
        <v>119251</v>
      </c>
      <c r="P66" s="10">
        <f>$J$1*12*(1+$D$3)^(D66-1)*IF(D66&gt;$G$7,$J$2,1)</f>
        <v>406768</v>
      </c>
      <c r="Q66" s="10">
        <f>SUMPRODUCT(($M$5:$V$5&lt;=B66)*($M$5:$V$5+$M$6:$V$6&gt;B66)*$M$7:$V$7)*(1+$D$3)^(D66-1)</f>
        <v>0</v>
      </c>
      <c r="R66" s="10">
        <f>IF(D66&lt;=$J$5,$J$4*12,0)+IF(D66&lt;=$J$7,$J$6*12,0)</f>
        <v>0</v>
      </c>
      <c r="S66" s="10">
        <f>SUM(P66:R66)</f>
        <v>406768</v>
      </c>
      <c r="T66" s="10">
        <f>$J$3*(1+$D$3)^(D66-1)</f>
        <v>39112</v>
      </c>
      <c r="U66" s="10">
        <f>S66+T66</f>
        <v>445880</v>
      </c>
      <c r="V66" s="10">
        <f>O66-U66</f>
        <v>-326629</v>
      </c>
      <c r="W66" s="10">
        <f>MAX(0,V66)</f>
        <v>0</v>
      </c>
      <c r="X66" s="10">
        <f>W66</f>
        <v>0</v>
      </c>
      <c r="Y66" s="10">
        <f>SUMPRODUCT(($M$3:$V$3=B66)*($M$14:$V$14=1)*$M$4:$V$4)*(1+$D$3)^(D66-1)</f>
        <v>0</v>
      </c>
      <c r="Z66" s="10">
        <f>SUMPRODUCT(($M$3:$V$3=B66)*($M$14:$V$14=2)*$M$4:$V$4)*(1+$D$3)^(D66-1)</f>
        <v>0</v>
      </c>
      <c r="AA66" s="10">
        <f>SUMPRODUCT(($M$3:$V$3=B66)*($M$14:$V$14=3)*$M$4:$V$4)*(1+$D$3)^(D66-1)</f>
        <v>0</v>
      </c>
      <c r="AB66" s="10">
        <f>SUM(Y66:AA66)</f>
        <v>0</v>
      </c>
      <c r="AC66" s="10">
        <f>MIN(0,V66)</f>
        <v>-326629</v>
      </c>
      <c r="AD66" s="10">
        <f>-SUMIF($M$10:$V$10,B66,$M$11:$V$11)*(1+$D$3)^(D66-1)</f>
        <v>0</v>
      </c>
      <c r="AE66" s="10">
        <f>IF(B66=$M$12,-$M$13*(1+$D$3)^(D66-1),0)</f>
        <v>0</v>
      </c>
      <c r="AF66" s="10">
        <f>SUM(AC66:AE66)</f>
        <v>-326629</v>
      </c>
      <c r="AG66" s="10">
        <f>AJ65</f>
        <v>17189545</v>
      </c>
      <c r="AH66" s="10">
        <f>AG66*$D$7</f>
        <v>1289216</v>
      </c>
      <c r="AI66" s="10">
        <f>MAX(0,-(AG66+AH66+X66+AB66+AF66))</f>
        <v>0</v>
      </c>
      <c r="AJ66" s="10">
        <f>AG66+AH66+X66+AB66+AF66+AI66</f>
        <v>18152131</v>
      </c>
      <c r="AK66" s="10">
        <f>AJ66/(1+$D$3)^D66</f>
        <v>2680095</v>
      </c>
      <c r="AL66" s="4">
        <f>IF(AG66&lt;=0,0,-AF66/AG66)</f>
        <v>0.019001614051601737</v>
      </c>
    </row>
    <row r="67">
      <c r="B67" s="9">
        <f>B66+1</f>
        <v>2076</v>
      </c>
      <c r="C67" s="9">
        <f>C66+1</f>
        <v>95</v>
      </c>
      <c r="D67" s="9">
        <f>D66+1</f>
        <v>51</v>
      </c>
      <c r="E67" t="str">
        <f>IF(D67&lt;=$G$7,"Acumulación","Retiro")</f>
        <v>Retiro</v>
      </c>
      <c r="F67" s="10">
        <f>IF(D67&lt;=$G$8,$G$1*12*(1+$D$3)^(D67-1),0)</f>
        <v>0</v>
      </c>
      <c r="G67" s="10">
        <f>IF(AND($G$2&gt;0,D67&gt;=$G$3),$G$2*12*(1+$D$3)^(D67-1),0)</f>
        <v>72245</v>
      </c>
      <c r="H67" s="10">
        <f>SUMPRODUCT(($M$9:$V$9&gt;=B67)*$M$8:$V$8)*12*(1+$D$3)^(D67-1)</f>
        <v>0</v>
      </c>
      <c r="I67" s="10">
        <f>IF(AND($G$4&gt;0,D67&gt;=$G$6),$G$4*12*(1+$D$3)^($G$6-1)*(1+$D$4)^(D67-$G$6),0)</f>
        <v>50215</v>
      </c>
      <c r="J67" s="10">
        <f>'Fondos de pensión'!T69</f>
        <v>0</v>
      </c>
      <c r="K67" s="10">
        <f>SUM(F67:J67)</f>
        <v>122460</v>
      </c>
      <c r="L67" s="10">
        <f>SUMIF($M$1:$V$1,B67,$M$2:$V$2)*(1+$D$3)^(D67-1)</f>
        <v>0</v>
      </c>
      <c r="M67" s="10">
        <f>'Fondos de pensión'!S69</f>
        <v>0</v>
      </c>
      <c r="N67" s="10">
        <f>SUM(L67:M67)</f>
        <v>0</v>
      </c>
      <c r="O67" s="10">
        <f>K67+N67</f>
        <v>122460</v>
      </c>
      <c r="P67" s="10">
        <f>$J$1*12*(1+$D$3)^(D67-1)*IF(D67&gt;$G$7,$J$2,1)</f>
        <v>422632</v>
      </c>
      <c r="Q67" s="10">
        <f>SUMPRODUCT(($M$5:$V$5&lt;=B67)*($M$5:$V$5+$M$6:$V$6&gt;B67)*$M$7:$V$7)*(1+$D$3)^(D67-1)</f>
        <v>0</v>
      </c>
      <c r="R67" s="10">
        <f>IF(D67&lt;=$J$5,$J$4*12,0)+IF(D67&lt;=$J$7,$J$6*12,0)</f>
        <v>0</v>
      </c>
      <c r="S67" s="10">
        <f>SUM(P67:R67)</f>
        <v>422632</v>
      </c>
      <c r="T67" s="10">
        <f>$J$3*(1+$D$3)^(D67-1)</f>
        <v>40638</v>
      </c>
      <c r="U67" s="10">
        <f>S67+T67</f>
        <v>463269</v>
      </c>
      <c r="V67" s="10">
        <f>O67-U67</f>
        <v>-340809</v>
      </c>
      <c r="W67" s="10">
        <f>MAX(0,V67)</f>
        <v>0</v>
      </c>
      <c r="X67" s="10">
        <f>W67</f>
        <v>0</v>
      </c>
      <c r="Y67" s="10">
        <f>SUMPRODUCT(($M$3:$V$3=B67)*($M$14:$V$14=1)*$M$4:$V$4)*(1+$D$3)^(D67-1)</f>
        <v>0</v>
      </c>
      <c r="Z67" s="10">
        <f>SUMPRODUCT(($M$3:$V$3=B67)*($M$14:$V$14=2)*$M$4:$V$4)*(1+$D$3)^(D67-1)</f>
        <v>0</v>
      </c>
      <c r="AA67" s="10">
        <f>SUMPRODUCT(($M$3:$V$3=B67)*($M$14:$V$14=3)*$M$4:$V$4)*(1+$D$3)^(D67-1)</f>
        <v>0</v>
      </c>
      <c r="AB67" s="10">
        <f>SUM(Y67:AA67)</f>
        <v>0</v>
      </c>
      <c r="AC67" s="10">
        <f>MIN(0,V67)</f>
        <v>-340809</v>
      </c>
      <c r="AD67" s="10">
        <f>-SUMIF($M$10:$V$10,B67,$M$11:$V$11)*(1+$D$3)^(D67-1)</f>
        <v>0</v>
      </c>
      <c r="AE67" s="10">
        <f>IF(B67=$M$12,-$M$13*(1+$D$3)^(D67-1),0)</f>
        <v>0</v>
      </c>
      <c r="AF67" s="10">
        <f>SUM(AC67:AE67)</f>
        <v>-340809</v>
      </c>
      <c r="AG67" s="10">
        <f>AJ66</f>
        <v>18152131</v>
      </c>
      <c r="AH67" s="10">
        <f>AG67*$D$7</f>
        <v>1361410</v>
      </c>
      <c r="AI67" s="10">
        <f>MAX(0,-(AG67+AH67+X67+AB67+AF67))</f>
        <v>0</v>
      </c>
      <c r="AJ67" s="10">
        <f>AG67+AH67+X67+AB67+AF67+AI67</f>
        <v>19172732</v>
      </c>
      <c r="AK67" s="10">
        <f>AJ67/(1+$D$3)^D67</f>
        <v>2724527</v>
      </c>
      <c r="AL67" s="4">
        <f>IF(AG67&lt;=0,0,-AF67/AG67)</f>
        <v>0.018775175191655058</v>
      </c>
    </row>
    <row r="70">
      <c r="K70" s="6" t="inlineStr">
        <is>
          <t>Resumen del plan (US$ nominales, toda la proyección)</t>
        </is>
      </c>
    </row>
    <row r="71">
      <c r="K71" s="1" t="inlineStr">
        <is>
          <t>Ingresos ordinarios</t>
        </is>
      </c>
      <c r="M71" s="10">
        <f>SUM(K17:K67)</f>
        <v>5909455</v>
      </c>
    </row>
    <row r="72">
      <c r="K72" s="1" t="inlineStr">
        <is>
          <t>Ingresos extraordinarios</t>
        </is>
      </c>
      <c r="M72" s="10">
        <f>SUM(N17:N67)</f>
        <v>245984</v>
      </c>
    </row>
    <row r="73">
      <c r="K73" s="1" t="inlineStr">
        <is>
          <t>Gastos ordinarios</t>
        </is>
      </c>
      <c r="M73" s="10">
        <f>-SUM(S17:S67)</f>
        <v>-10061378</v>
      </c>
    </row>
    <row r="74">
      <c r="K74" s="1" t="inlineStr">
        <is>
          <t>Gastos extraordinarios</t>
        </is>
      </c>
      <c r="M74" s="10">
        <f>-SUM(T17:T67)</f>
        <v>-928783</v>
      </c>
    </row>
    <row r="75">
      <c r="K75" s="1" t="inlineStr">
        <is>
          <t>Flujo neto</t>
        </is>
      </c>
      <c r="M75" s="10">
        <f>SUM(V17:V67)</f>
        <v>-4834722</v>
      </c>
    </row>
    <row r="76">
      <c r="K76" s="1" t="inlineStr">
        <is>
          <t>Capital inicial</t>
        </is>
      </c>
      <c r="M76" s="10">
        <f>AG17</f>
        <v>300001</v>
      </c>
    </row>
    <row r="77">
      <c r="K77" s="1" t="inlineStr">
        <is>
          <t>Inversiones (superávit invertido)</t>
        </is>
      </c>
      <c r="M77" s="10">
        <f>SUM(X17:X67)</f>
        <v>913928</v>
      </c>
    </row>
    <row r="78">
      <c r="K78" s="1" t="inlineStr">
        <is>
          <t>Desinversiones (venta de activos)</t>
        </is>
      </c>
      <c r="M78" s="10">
        <f>SUM(AB17:AB67)</f>
        <v>338650</v>
      </c>
    </row>
    <row r="79">
      <c r="K79" s="1" t="inlineStr">
        <is>
          <t>Retiros del portafolio</t>
        </is>
      </c>
      <c r="M79" s="10">
        <f>SUM(AF17:AF67)</f>
        <v>-5793515</v>
      </c>
    </row>
    <row r="80">
      <c r="K80" s="1" t="inlineStr">
        <is>
          <t>Rendimientos del portafolio</t>
        </is>
      </c>
      <c r="M80" s="10">
        <f>SUM(AH17:AH67)</f>
        <v>23413668</v>
      </c>
    </row>
    <row r="81">
      <c r="K81" s="1" t="inlineStr">
        <is>
          <t>Gasto no cubierto por el portafolio</t>
        </is>
      </c>
      <c r="M81" s="10">
        <f>SUM(AI17:AI67)</f>
        <v>0</v>
      </c>
    </row>
    <row r="82">
      <c r="K82" s="1" t="inlineStr">
        <is>
          <t>Saldo final nominal</t>
        </is>
      </c>
      <c r="M82" s="10">
        <f>M76+M77+M78+M79+M80+M81</f>
        <v>19172732</v>
      </c>
    </row>
    <row r="83">
      <c r="K83" s="1" t="inlineStr">
        <is>
          <t>Saldo final en dólares de hoy</t>
        </is>
      </c>
      <c r="M83" s="10">
        <f>AK67</f>
        <v>2724527</v>
      </c>
    </row>
    <row r="84">
      <c r="K84" s="1" t="inlineStr">
        <is>
          <t>Gasto no cubierto, en dólares de hoy</t>
        </is>
      </c>
      <c r="M84" s="10">
        <f>SUMPRODUCT(AI17:AI67/(1+$D$3)^D17:D67)</f>
        <v>0</v>
      </c>
    </row>
    <row r="85">
      <c r="K85" s="1" t="inlineStr">
        <is>
          <t>Saldo del ROP al final (fuera del portafolio)</t>
        </is>
      </c>
      <c r="M85" s="10">
        <f>'Fondos de pensión'!H69</f>
        <v>0</v>
      </c>
    </row>
    <row r="86">
      <c r="K86" s="1" t="inlineStr">
        <is>
          <t>Herencia deseada (US$ de hoy)</t>
        </is>
      </c>
      <c r="M86" s="10">
        <v>200000</v>
      </c>
    </row>
    <row r="87">
      <c r="K87" s="1" t="inlineStr">
        <is>
          <t>Edad a la que se agota el portafolio</t>
        </is>
      </c>
      <c r="M87" s="9" t="str">
        <f>IF(M84&gt;0,SUMPRODUCT(MIN((AI17:AI67&gt;0)*C17:C67+(AI17:AI67&lt;=0)*1000)),"No se agota")</f>
        <v>No se agota</v>
      </c>
    </row>
    <row r="88">
      <c r="K88" s="6" t="inlineStr">
        <is>
          <t>¿Alcanza el plan?</t>
        </is>
      </c>
      <c r="M88" s="6" t="str">
        <f>IF(AND(M84&lt;=0,M83&gt;=M86),"Sí alcanza","No alcanza")</f>
        <v>Sí alcanza</v>
      </c>
    </row>
    <row r="89">
      <c r="K89" t="inlineStr">
        <is>
          <t>Flujo neto = ingresos ordinarios + extraordinarios − gastos ordinarios − extraordinarios. El superávit se invierte en el portafolio (inversiones) y el déficit se retira de él. Las desinversiones (ventas de activos) entran al portafolio; las metas pagadas con el portafolio y el primer retiro salen de él. Alcanza cuando no queda gasto no cubierto y el saldo final en dólares de hoy cubre la herencia deseada.</t>
        </is>
      </c>
    </row>
  </sheetData>
  <mergeCells count="19">
    <mergeCell ref="K71:L71"/>
    <mergeCell ref="K72:L72"/>
    <mergeCell ref="K73:L73"/>
    <mergeCell ref="K74:L74"/>
    <mergeCell ref="K75:L75"/>
    <mergeCell ref="K76:L76"/>
    <mergeCell ref="K77:L77"/>
    <mergeCell ref="K78:L78"/>
    <mergeCell ref="K79:L79"/>
    <mergeCell ref="K80:L80"/>
    <mergeCell ref="K81:L81"/>
    <mergeCell ref="K82:L82"/>
    <mergeCell ref="K83:L83"/>
    <mergeCell ref="K84:L84"/>
    <mergeCell ref="K85:L85"/>
    <mergeCell ref="K86:L86"/>
    <mergeCell ref="K87:L87"/>
    <mergeCell ref="K88:L88"/>
    <mergeCell ref="K89:R89"/>
  </mergeCells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Clase</t>
        </is>
      </c>
      <c r="B1" t="inlineStr">
        <is>
          <t>Cartera asignada</t>
        </is>
      </c>
      <c r="C1" t="inlineStr">
        <is>
          <t>Cartera de equilibrio</t>
        </is>
      </c>
      <c r="E1" t="inlineStr">
        <is>
          <t>Volatilidad</t>
        </is>
      </c>
      <c r="F1" t="inlineStr">
        <is>
          <t>Rendimiento</t>
        </is>
      </c>
      <c r="H1" t="inlineStr">
        <is>
          <t>Cartera</t>
        </is>
      </c>
      <c r="I1" t="inlineStr">
        <is>
          <t>Volatilidad</t>
        </is>
      </c>
      <c r="J1" t="inlineStr">
        <is>
          <t>Rendimiento</t>
        </is>
      </c>
      <c r="L1" t="inlineStr">
        <is>
          <t>Corte conservador–moderado conservador</t>
        </is>
      </c>
      <c r="N1" t="inlineStr">
        <is>
          <t>Corte moderado conservador–moderado</t>
        </is>
      </c>
      <c r="P1" t="inlineStr">
        <is>
          <t>Corte moderado–moderado agresivo</t>
        </is>
      </c>
      <c r="R1" t="inlineStr">
        <is>
          <t>Corte moderado agresivo–agresivo</t>
        </is>
      </c>
      <c r="U1" t="inlineStr">
        <is>
          <t>Componente</t>
        </is>
      </c>
      <c r="V1" t="inlineStr">
        <is>
          <t>Cliente</t>
        </is>
      </c>
      <c r="W1" t="inlineStr">
        <is>
          <t>Capacidad financiera</t>
        </is>
      </c>
    </row>
    <row r="2">
      <c r="A2" t="inlineStr">
        <is>
          <t>Renta variable</t>
        </is>
      </c>
      <c r="B2" s="4">
        <v>0.775</v>
      </c>
      <c r="C2" s="4">
        <v>0.215</v>
      </c>
      <c r="E2" s="4">
        <v>0.05824</v>
      </c>
      <c r="F2" s="4">
        <v>0.05</v>
      </c>
      <c r="H2" t="inlineStr">
        <is>
          <t>Conservador</t>
        </is>
      </c>
      <c r="I2" s="4">
        <v>0.05824</v>
      </c>
      <c r="J2" s="4">
        <v>0.05</v>
      </c>
      <c r="L2" s="8">
        <v>0</v>
      </c>
      <c r="M2" s="8">
        <v>3.75</v>
      </c>
      <c r="N2" s="8">
        <v>0</v>
      </c>
      <c r="O2" s="8">
        <v>7.5</v>
      </c>
      <c r="P2" s="8">
        <v>10</v>
      </c>
      <c r="Q2" s="8">
        <v>2.5</v>
      </c>
      <c r="R2" s="8">
        <v>10</v>
      </c>
      <c r="S2" s="8">
        <v>6.25</v>
      </c>
      <c r="U2" t="inlineStr">
        <is>
          <t>Horizonte</t>
        </is>
      </c>
      <c r="V2" s="8">
        <v>0</v>
      </c>
      <c r="W2" s="8">
        <v>6.1</v>
      </c>
    </row>
    <row r="3">
      <c r="A3" t="inlineStr">
        <is>
          <t>Renta fija</t>
        </is>
      </c>
      <c r="B3" s="4">
        <v>0.175</v>
      </c>
      <c r="C3" s="4">
        <v>0.494</v>
      </c>
      <c r="E3" s="4">
        <v>0.058761</v>
      </c>
      <c r="F3" s="4">
        <v>0.05025</v>
      </c>
      <c r="H3" t="inlineStr">
        <is>
          <t>Moderado conservador</t>
        </is>
      </c>
      <c r="I3" s="4">
        <v>0.085777</v>
      </c>
      <c r="J3" s="4">
        <v>0.06</v>
      </c>
      <c r="L3" s="8">
        <v>4.2857</v>
      </c>
      <c r="M3" s="8">
        <v>0</v>
      </c>
      <c r="N3" s="8">
        <v>8.5714</v>
      </c>
      <c r="O3" s="8">
        <v>0</v>
      </c>
      <c r="P3" s="8">
        <v>1.4286</v>
      </c>
      <c r="Q3" s="8">
        <v>10</v>
      </c>
      <c r="R3" s="8">
        <v>5.7143</v>
      </c>
      <c r="S3" s="8">
        <v>10</v>
      </c>
      <c r="U3" t="inlineStr">
        <is>
          <t>Estabilidad del ingreso</t>
        </is>
      </c>
      <c r="V3" s="8">
        <v>6.7</v>
      </c>
      <c r="W3" s="8">
        <v>6.1</v>
      </c>
    </row>
    <row r="4">
      <c r="A4" t="inlineStr">
        <is>
          <t>Efectivo</t>
        </is>
      </c>
      <c r="B4" s="4">
        <v>0.05</v>
      </c>
      <c r="C4" s="4">
        <v>0.29100000000000004</v>
      </c>
      <c r="E4" s="4">
        <v>0.059294</v>
      </c>
      <c r="F4" s="4">
        <v>0.0505</v>
      </c>
      <c r="H4" t="inlineStr">
        <is>
          <t>Moderado</t>
        </is>
      </c>
      <c r="I4" s="4">
        <v>0.120231</v>
      </c>
      <c r="J4" s="4">
        <v>0.07</v>
      </c>
      <c r="U4" t="inlineStr">
        <is>
          <t>Holgura del flujo</t>
        </is>
      </c>
      <c r="V4" s="8">
        <v>10</v>
      </c>
      <c r="W4" s="8">
        <v>6.1</v>
      </c>
    </row>
    <row r="5">
      <c r="E5" s="4">
        <v>0.059839</v>
      </c>
      <c r="F5" s="4">
        <v>0.05075</v>
      </c>
      <c r="H5" t="inlineStr">
        <is>
          <t>Moderado agresivo</t>
        </is>
      </c>
      <c r="I5" s="4">
        <v>0.151281</v>
      </c>
      <c r="J5" s="4">
        <v>0.075</v>
      </c>
      <c r="U5" t="inlineStr">
        <is>
          <t>Carga de deuda</t>
        </is>
      </c>
      <c r="V5" s="8">
        <v>6.7</v>
      </c>
      <c r="W5" s="8">
        <v>6.1</v>
      </c>
    </row>
    <row r="6">
      <c r="A6" t="inlineStr">
        <is>
          <t>Perfil de riesgo</t>
        </is>
      </c>
      <c r="B6" t="inlineStr">
        <is>
          <t>Tolerancia</t>
        </is>
      </c>
      <c r="C6" t="inlineStr">
        <is>
          <t>Apetito</t>
        </is>
      </c>
      <c r="E6" s="4">
        <v>0.060395</v>
      </c>
      <c r="F6" s="4">
        <v>0.051</v>
      </c>
      <c r="H6" t="inlineStr">
        <is>
          <t>Agresivo</t>
        </is>
      </c>
      <c r="I6" s="4">
        <v>0.18431</v>
      </c>
      <c r="J6" s="4">
        <v>0.08</v>
      </c>
      <c r="U6" t="inlineStr">
        <is>
          <t>Peso del portafolio</t>
        </is>
      </c>
      <c r="V6" s="8">
        <v>6.7</v>
      </c>
      <c r="W6" s="8">
        <v>6.1</v>
      </c>
    </row>
    <row r="7">
      <c r="A7" t="inlineStr">
        <is>
          <t>Laura Castro Mora · Moderado agresivo</t>
        </is>
      </c>
      <c r="B7" s="8">
        <v>6.91</v>
      </c>
      <c r="C7" s="8">
        <v>6.88</v>
      </c>
      <c r="E7" s="4">
        <v>0.060962</v>
      </c>
      <c r="F7" s="4">
        <v>0.05125</v>
      </c>
      <c r="H7" t="inlineStr">
        <is>
          <t>Cartera asignada</t>
        </is>
      </c>
      <c r="I7" s="4">
        <v>0.151281</v>
      </c>
      <c r="J7" s="4">
        <v>0.075</v>
      </c>
      <c r="U7" t="inlineStr">
        <is>
          <t>Liquidez requerida</t>
        </is>
      </c>
      <c r="V7" s="8">
        <v>6.7</v>
      </c>
      <c r="W7" s="8">
        <v>6.1</v>
      </c>
    </row>
    <row r="8">
      <c r="E8" s="4">
        <v>0.06154</v>
      </c>
      <c r="F8" s="4">
        <v>0.0515</v>
      </c>
      <c r="H8" t="inlineStr">
        <is>
          <t>Cartera de equilibrio</t>
        </is>
      </c>
      <c r="I8" s="4">
        <v>0.059815</v>
      </c>
      <c r="J8" s="4">
        <v>0.050739</v>
      </c>
    </row>
    <row r="9">
      <c r="A9" t="inlineStr">
        <is>
          <t>Conservador</t>
        </is>
      </c>
      <c r="B9">
        <v>1</v>
      </c>
      <c r="C9">
        <v>1</v>
      </c>
      <c r="E9" s="4">
        <v>0.062128</v>
      </c>
      <c r="F9" s="4">
        <v>0.05175</v>
      </c>
      <c r="H9" t="inlineStr">
        <is>
          <t>Rendimiento de equilibrio</t>
        </is>
      </c>
      <c r="I9" s="4">
        <v>0</v>
      </c>
      <c r="J9" s="4">
        <v>0.050739</v>
      </c>
    </row>
    <row r="10">
      <c r="A10" t="inlineStr">
        <is>
          <t>Moderado conservador</t>
        </is>
      </c>
      <c r="B10">
        <v>3</v>
      </c>
      <c r="C10">
        <v>3</v>
      </c>
      <c r="E10" s="4">
        <v>0.062726</v>
      </c>
      <c r="F10" s="4">
        <v>0.052</v>
      </c>
      <c r="I10" s="4">
        <v>0.059815</v>
      </c>
      <c r="J10" s="4">
        <v>0.050739</v>
      </c>
    </row>
    <row r="11">
      <c r="A11" t="inlineStr">
        <is>
          <t>Moderado</t>
        </is>
      </c>
      <c r="B11">
        <v>5</v>
      </c>
      <c r="C11">
        <v>5</v>
      </c>
      <c r="E11" s="4">
        <v>0.063334</v>
      </c>
      <c r="F11" s="4">
        <v>0.05225</v>
      </c>
      <c r="I11" s="4">
        <v>0.059815</v>
      </c>
      <c r="J11" s="4">
        <v>0</v>
      </c>
    </row>
    <row r="12">
      <c r="A12" t="inlineStr">
        <is>
          <t>Moderado agresivo</t>
        </is>
      </c>
      <c r="B12">
        <v>7</v>
      </c>
      <c r="C12">
        <v>7</v>
      </c>
      <c r="E12" s="4">
        <v>0.063951</v>
      </c>
      <c r="F12" s="4">
        <v>0.0525</v>
      </c>
    </row>
    <row r="13">
      <c r="A13" t="inlineStr">
        <is>
          <t>Agresivo</t>
        </is>
      </c>
      <c r="B13">
        <v>9</v>
      </c>
      <c r="C13">
        <v>9</v>
      </c>
      <c r="E13" s="4">
        <v>0.064578</v>
      </c>
      <c r="F13" s="4">
        <v>0.05275</v>
      </c>
    </row>
    <row r="14">
      <c r="E14" s="4">
        <v>0.065214</v>
      </c>
      <c r="F14" s="4">
        <v>0.053</v>
      </c>
    </row>
    <row r="15">
      <c r="E15" s="4">
        <v>0.065858</v>
      </c>
      <c r="F15" s="4">
        <v>0.05325</v>
      </c>
    </row>
    <row r="16">
      <c r="E16" s="4">
        <v>0.066511</v>
      </c>
      <c r="F16" s="4">
        <v>0.0535</v>
      </c>
    </row>
    <row r="17">
      <c r="E17" s="4">
        <v>0.067172</v>
      </c>
      <c r="F17" s="4">
        <v>0.05375</v>
      </c>
    </row>
    <row r="18">
      <c r="E18" s="4">
        <v>0.067841</v>
      </c>
      <c r="F18" s="4">
        <v>0.054</v>
      </c>
    </row>
    <row r="19">
      <c r="E19" s="4">
        <v>0.068518</v>
      </c>
      <c r="F19" s="4">
        <v>0.05425</v>
      </c>
    </row>
    <row r="20">
      <c r="E20" s="4">
        <v>0.069202</v>
      </c>
      <c r="F20" s="4">
        <v>0.0545</v>
      </c>
    </row>
    <row r="21">
      <c r="E21" s="4">
        <v>0.069894</v>
      </c>
      <c r="F21" s="4">
        <v>0.05475</v>
      </c>
    </row>
    <row r="22">
      <c r="E22" s="4">
        <v>0.070593</v>
      </c>
      <c r="F22" s="4">
        <v>0.055</v>
      </c>
    </row>
    <row r="23">
      <c r="E23" s="4">
        <v>0.071298</v>
      </c>
      <c r="F23" s="4">
        <v>0.05525</v>
      </c>
    </row>
    <row r="24">
      <c r="E24" s="4">
        <v>0.072011</v>
      </c>
      <c r="F24" s="4">
        <v>0.0555</v>
      </c>
    </row>
    <row r="25">
      <c r="E25" s="4">
        <v>0.072729</v>
      </c>
      <c r="F25" s="4">
        <v>0.05575</v>
      </c>
    </row>
    <row r="26">
      <c r="E26" s="4">
        <v>0.073454</v>
      </c>
      <c r="F26" s="4">
        <v>0.056</v>
      </c>
    </row>
    <row r="27">
      <c r="E27" s="4">
        <v>0.074186</v>
      </c>
      <c r="F27" s="4">
        <v>0.05625</v>
      </c>
    </row>
    <row r="28">
      <c r="E28" s="4">
        <v>0.074923</v>
      </c>
      <c r="F28" s="4">
        <v>0.0565</v>
      </c>
    </row>
    <row r="29">
      <c r="E29" s="4">
        <v>0.075666</v>
      </c>
      <c r="F29" s="4">
        <v>0.05675</v>
      </c>
    </row>
    <row r="30">
      <c r="E30" s="4">
        <v>0.076414</v>
      </c>
      <c r="F30" s="4">
        <v>0.057</v>
      </c>
    </row>
    <row r="31">
      <c r="E31" s="4">
        <v>0.077168</v>
      </c>
      <c r="F31" s="4">
        <v>0.05725</v>
      </c>
    </row>
    <row r="32">
      <c r="E32" s="4">
        <v>0.077927</v>
      </c>
      <c r="F32" s="4">
        <v>0.0575</v>
      </c>
    </row>
    <row r="33">
      <c r="E33" s="4">
        <v>0.078691</v>
      </c>
      <c r="F33" s="4">
        <v>0.05775</v>
      </c>
    </row>
    <row r="34">
      <c r="E34" s="4">
        <v>0.079461</v>
      </c>
      <c r="F34" s="4">
        <v>0.058</v>
      </c>
    </row>
    <row r="35">
      <c r="E35" s="4">
        <v>0.080235</v>
      </c>
      <c r="F35" s="4">
        <v>0.05825</v>
      </c>
    </row>
    <row r="36">
      <c r="E36" s="4">
        <v>0.081013</v>
      </c>
      <c r="F36" s="4">
        <v>0.0585</v>
      </c>
    </row>
    <row r="37">
      <c r="E37" s="4">
        <v>0.081797</v>
      </c>
      <c r="F37" s="4">
        <v>0.05875</v>
      </c>
    </row>
    <row r="38">
      <c r="E38" s="4">
        <v>0.082584</v>
      </c>
      <c r="F38" s="4">
        <v>0.059</v>
      </c>
    </row>
    <row r="39">
      <c r="E39" s="4">
        <v>0.083377</v>
      </c>
      <c r="F39" s="4">
        <v>0.05925</v>
      </c>
    </row>
    <row r="40">
      <c r="E40" s="4">
        <v>0.084173</v>
      </c>
      <c r="F40" s="4">
        <v>0.0595</v>
      </c>
    </row>
    <row r="41">
      <c r="E41" s="4">
        <v>0.084973</v>
      </c>
      <c r="F41" s="4">
        <v>0.05975</v>
      </c>
    </row>
    <row r="42">
      <c r="E42" s="4">
        <v>0.085777</v>
      </c>
      <c r="F42" s="4">
        <v>0.06</v>
      </c>
    </row>
    <row r="43">
      <c r="E43" s="4">
        <v>0.086585</v>
      </c>
      <c r="F43" s="4">
        <v>0.06025</v>
      </c>
    </row>
    <row r="44">
      <c r="E44" s="4">
        <v>0.087397</v>
      </c>
      <c r="F44" s="4">
        <v>0.0605</v>
      </c>
    </row>
    <row r="45">
      <c r="E45" s="4">
        <v>0.088212</v>
      </c>
      <c r="F45" s="4">
        <v>0.06075</v>
      </c>
    </row>
    <row r="46">
      <c r="E46" s="4">
        <v>0.089031</v>
      </c>
      <c r="F46" s="4">
        <v>0.061</v>
      </c>
    </row>
    <row r="47">
      <c r="E47" s="4">
        <v>0.089854</v>
      </c>
      <c r="F47" s="4">
        <v>0.06125</v>
      </c>
    </row>
    <row r="48">
      <c r="E48" s="4">
        <v>0.090679</v>
      </c>
      <c r="F48" s="4">
        <v>0.0615</v>
      </c>
    </row>
    <row r="49">
      <c r="E49" s="4">
        <v>0.091508</v>
      </c>
      <c r="F49" s="4">
        <v>0.06175</v>
      </c>
    </row>
    <row r="50">
      <c r="E50" s="4">
        <v>0.09234</v>
      </c>
      <c r="F50" s="4">
        <v>0.062</v>
      </c>
    </row>
    <row r="51">
      <c r="E51" s="4">
        <v>0.093175</v>
      </c>
      <c r="F51" s="4">
        <v>0.06225</v>
      </c>
    </row>
    <row r="52">
      <c r="E52" s="4">
        <v>0.094014</v>
      </c>
      <c r="F52" s="4">
        <v>0.0625</v>
      </c>
    </row>
    <row r="53">
      <c r="E53" s="4">
        <v>0.094855</v>
      </c>
      <c r="F53" s="4">
        <v>0.06275</v>
      </c>
    </row>
    <row r="54">
      <c r="E54" s="4">
        <v>0.095698</v>
      </c>
      <c r="F54" s="4">
        <v>0.063</v>
      </c>
    </row>
    <row r="55">
      <c r="E55" s="4">
        <v>0.096545</v>
      </c>
      <c r="F55" s="4">
        <v>0.06325</v>
      </c>
    </row>
    <row r="56">
      <c r="E56" s="4">
        <v>0.097394</v>
      </c>
      <c r="F56" s="4">
        <v>0.0635</v>
      </c>
    </row>
    <row r="57">
      <c r="E57" s="4">
        <v>0.098246</v>
      </c>
      <c r="F57" s="4">
        <v>0.06375</v>
      </c>
    </row>
    <row r="58">
      <c r="E58" s="4">
        <v>0.099101</v>
      </c>
      <c r="F58" s="4">
        <v>0.064</v>
      </c>
    </row>
    <row r="59">
      <c r="E59" s="4">
        <v>0.099958</v>
      </c>
      <c r="F59" s="4">
        <v>0.06425</v>
      </c>
    </row>
    <row r="60">
      <c r="E60" s="4">
        <v>0.100817</v>
      </c>
      <c r="F60" s="4">
        <v>0.0645</v>
      </c>
    </row>
    <row r="61">
      <c r="E61" s="4">
        <v>0.101679</v>
      </c>
      <c r="F61" s="4">
        <v>0.06475</v>
      </c>
    </row>
    <row r="62">
      <c r="E62" s="4">
        <v>0.102543</v>
      </c>
      <c r="F62" s="4">
        <v>0.065</v>
      </c>
    </row>
    <row r="63">
      <c r="E63" s="4">
        <v>0.10341</v>
      </c>
      <c r="F63" s="4">
        <v>0.06525</v>
      </c>
    </row>
    <row r="64">
      <c r="E64" s="4">
        <v>0.104278</v>
      </c>
      <c r="F64" s="4">
        <v>0.0655</v>
      </c>
    </row>
    <row r="65">
      <c r="E65" s="4">
        <v>0.105149</v>
      </c>
      <c r="F65" s="4">
        <v>0.06575</v>
      </c>
    </row>
    <row r="66">
      <c r="E66" s="4">
        <v>0.106021</v>
      </c>
      <c r="F66" s="4">
        <v>0.066</v>
      </c>
    </row>
    <row r="67">
      <c r="E67" s="4">
        <v>0.106896</v>
      </c>
      <c r="F67" s="4">
        <v>0.06625</v>
      </c>
    </row>
    <row r="68">
      <c r="E68" s="4">
        <v>0.107773</v>
      </c>
      <c r="F68" s="4">
        <v>0.0665</v>
      </c>
    </row>
    <row r="69">
      <c r="E69" s="4">
        <v>0.108652</v>
      </c>
      <c r="F69" s="4">
        <v>0.06675</v>
      </c>
    </row>
    <row r="70">
      <c r="E70" s="4">
        <v>0.109532</v>
      </c>
      <c r="F70" s="4">
        <v>0.067</v>
      </c>
    </row>
    <row r="71">
      <c r="E71" s="4">
        <v>0.110415</v>
      </c>
      <c r="F71" s="4">
        <v>0.06725</v>
      </c>
    </row>
    <row r="72">
      <c r="E72" s="4">
        <v>0.111299</v>
      </c>
      <c r="F72" s="4">
        <v>0.0675</v>
      </c>
    </row>
    <row r="73">
      <c r="E73" s="4">
        <v>0.112185</v>
      </c>
      <c r="F73" s="4">
        <v>0.06775</v>
      </c>
    </row>
    <row r="74">
      <c r="E74" s="4">
        <v>0.113072</v>
      </c>
      <c r="F74" s="4">
        <v>0.068</v>
      </c>
    </row>
    <row r="75">
      <c r="E75" s="4">
        <v>0.113962</v>
      </c>
      <c r="F75" s="4">
        <v>0.06825</v>
      </c>
    </row>
    <row r="76">
      <c r="E76" s="4">
        <v>0.114853</v>
      </c>
      <c r="F76" s="4">
        <v>0.0685</v>
      </c>
    </row>
    <row r="77">
      <c r="E77" s="4">
        <v>0.115745</v>
      </c>
      <c r="F77" s="4">
        <v>0.06875</v>
      </c>
    </row>
    <row r="78">
      <c r="E78" s="4">
        <v>0.11664</v>
      </c>
      <c r="F78" s="4">
        <v>0.069</v>
      </c>
    </row>
    <row r="79">
      <c r="E79" s="4">
        <v>0.117535</v>
      </c>
      <c r="F79" s="4">
        <v>0.06925</v>
      </c>
    </row>
    <row r="80">
      <c r="E80" s="4">
        <v>0.118432</v>
      </c>
      <c r="F80" s="4">
        <v>0.0695</v>
      </c>
    </row>
    <row r="81">
      <c r="E81" s="4">
        <v>0.119331</v>
      </c>
      <c r="F81" s="4">
        <v>0.06975</v>
      </c>
    </row>
    <row r="82">
      <c r="E82" s="4">
        <v>0.120231</v>
      </c>
      <c r="F82" s="4">
        <v>0.07</v>
      </c>
    </row>
    <row r="83">
      <c r="E83" s="4">
        <v>0.120971</v>
      </c>
      <c r="F83" s="4">
        <v>0.070125</v>
      </c>
    </row>
    <row r="84">
      <c r="E84" s="4">
        <v>0.121713</v>
      </c>
      <c r="F84" s="4">
        <v>0.07025</v>
      </c>
    </row>
    <row r="85">
      <c r="E85" s="4">
        <v>0.122457</v>
      </c>
      <c r="F85" s="4">
        <v>0.070375</v>
      </c>
    </row>
    <row r="86">
      <c r="E86" s="4">
        <v>0.123204</v>
      </c>
      <c r="F86" s="4">
        <v>0.0705</v>
      </c>
    </row>
    <row r="87">
      <c r="E87" s="4">
        <v>0.123952</v>
      </c>
      <c r="F87" s="4">
        <v>0.070625</v>
      </c>
    </row>
    <row r="88">
      <c r="E88" s="4">
        <v>0.124703</v>
      </c>
      <c r="F88" s="4">
        <v>0.07075</v>
      </c>
    </row>
    <row r="89">
      <c r="E89" s="4">
        <v>0.125456</v>
      </c>
      <c r="F89" s="4">
        <v>0.070875</v>
      </c>
    </row>
    <row r="90">
      <c r="E90" s="4">
        <v>0.126211</v>
      </c>
      <c r="F90" s="4">
        <v>0.071</v>
      </c>
    </row>
    <row r="91">
      <c r="E91" s="4">
        <v>0.126968</v>
      </c>
      <c r="F91" s="4">
        <v>0.071125</v>
      </c>
    </row>
    <row r="92">
      <c r="E92" s="4">
        <v>0.127727</v>
      </c>
      <c r="F92" s="4">
        <v>0.07125</v>
      </c>
    </row>
    <row r="93">
      <c r="E93" s="4">
        <v>0.128488</v>
      </c>
      <c r="F93" s="4">
        <v>0.071375</v>
      </c>
    </row>
    <row r="94">
      <c r="E94" s="4">
        <v>0.129251</v>
      </c>
      <c r="F94" s="4">
        <v>0.0715</v>
      </c>
    </row>
    <row r="95">
      <c r="E95" s="4">
        <v>0.130016</v>
      </c>
      <c r="F95" s="4">
        <v>0.071625</v>
      </c>
    </row>
    <row r="96">
      <c r="E96" s="4">
        <v>0.130783</v>
      </c>
      <c r="F96" s="4">
        <v>0.07175</v>
      </c>
    </row>
    <row r="97">
      <c r="E97" s="4">
        <v>0.131552</v>
      </c>
      <c r="F97" s="4">
        <v>0.071875</v>
      </c>
    </row>
    <row r="98">
      <c r="E98" s="4">
        <v>0.132322</v>
      </c>
      <c r="F98" s="4">
        <v>0.072</v>
      </c>
    </row>
    <row r="99">
      <c r="E99" s="4">
        <v>0.133094</v>
      </c>
      <c r="F99" s="4">
        <v>0.072125</v>
      </c>
    </row>
    <row r="100">
      <c r="E100" s="4">
        <v>0.133868</v>
      </c>
      <c r="F100" s="4">
        <v>0.07225</v>
      </c>
    </row>
    <row r="101">
      <c r="E101" s="4">
        <v>0.134644</v>
      </c>
      <c r="F101" s="4">
        <v>0.072375</v>
      </c>
    </row>
    <row r="102">
      <c r="E102" s="4">
        <v>0.135421</v>
      </c>
      <c r="F102" s="4">
        <v>0.0725</v>
      </c>
    </row>
    <row r="103">
      <c r="E103" s="4">
        <v>0.1362</v>
      </c>
      <c r="F103" s="4">
        <v>0.072625</v>
      </c>
    </row>
    <row r="104">
      <c r="E104" s="4">
        <v>0.136981</v>
      </c>
      <c r="F104" s="4">
        <v>0.07275</v>
      </c>
    </row>
    <row r="105">
      <c r="E105" s="4">
        <v>0.137763</v>
      </c>
      <c r="F105" s="4">
        <v>0.072875</v>
      </c>
    </row>
    <row r="106">
      <c r="E106" s="4">
        <v>0.138547</v>
      </c>
      <c r="F106" s="4">
        <v>0.073</v>
      </c>
    </row>
    <row r="107">
      <c r="E107" s="4">
        <v>0.139332</v>
      </c>
      <c r="F107" s="4">
        <v>0.073125</v>
      </c>
    </row>
    <row r="108">
      <c r="E108" s="4">
        <v>0.140119</v>
      </c>
      <c r="F108" s="4">
        <v>0.07325</v>
      </c>
    </row>
    <row r="109">
      <c r="E109" s="4">
        <v>0.140907</v>
      </c>
      <c r="F109" s="4">
        <v>0.073375</v>
      </c>
    </row>
    <row r="110">
      <c r="E110" s="4">
        <v>0.141697</v>
      </c>
      <c r="F110" s="4">
        <v>0.0735</v>
      </c>
    </row>
    <row r="111">
      <c r="E111" s="4">
        <v>0.142488</v>
      </c>
      <c r="F111" s="4">
        <v>0.073625</v>
      </c>
    </row>
    <row r="112">
      <c r="E112" s="4">
        <v>0.143281</v>
      </c>
      <c r="F112" s="4">
        <v>0.07375</v>
      </c>
    </row>
    <row r="113">
      <c r="E113" s="4">
        <v>0.144075</v>
      </c>
      <c r="F113" s="4">
        <v>0.073875</v>
      </c>
    </row>
    <row r="114">
      <c r="E114" s="4">
        <v>0.14487</v>
      </c>
      <c r="F114" s="4">
        <v>0.074</v>
      </c>
    </row>
    <row r="115">
      <c r="E115" s="4">
        <v>0.145667</v>
      </c>
      <c r="F115" s="4">
        <v>0.074125</v>
      </c>
    </row>
    <row r="116">
      <c r="E116" s="4">
        <v>0.146465</v>
      </c>
      <c r="F116" s="4">
        <v>0.07425</v>
      </c>
    </row>
    <row r="117">
      <c r="E117" s="4">
        <v>0.147265</v>
      </c>
      <c r="F117" s="4">
        <v>0.074375</v>
      </c>
    </row>
    <row r="118">
      <c r="E118" s="4">
        <v>0.148065</v>
      </c>
      <c r="F118" s="4">
        <v>0.0745</v>
      </c>
    </row>
    <row r="119">
      <c r="E119" s="4">
        <v>0.148867</v>
      </c>
      <c r="F119" s="4">
        <v>0.074625</v>
      </c>
    </row>
    <row r="120">
      <c r="E120" s="4">
        <v>0.149671</v>
      </c>
      <c r="F120" s="4">
        <v>0.07475</v>
      </c>
    </row>
    <row r="121">
      <c r="E121" s="4">
        <v>0.150475</v>
      </c>
      <c r="F121" s="4">
        <v>0.074875</v>
      </c>
    </row>
    <row r="122">
      <c r="E122" s="4">
        <v>0.151281</v>
      </c>
      <c r="F122" s="4">
        <v>0.075</v>
      </c>
    </row>
    <row r="123">
      <c r="E123" s="4">
        <v>0.152087</v>
      </c>
      <c r="F123" s="4">
        <v>0.075125</v>
      </c>
    </row>
    <row r="124">
      <c r="E124" s="4">
        <v>0.152895</v>
      </c>
      <c r="F124" s="4">
        <v>0.07525</v>
      </c>
    </row>
    <row r="125">
      <c r="E125" s="4">
        <v>0.153705</v>
      </c>
      <c r="F125" s="4">
        <v>0.075375</v>
      </c>
    </row>
    <row r="126">
      <c r="E126" s="4">
        <v>0.154515</v>
      </c>
      <c r="F126" s="4">
        <v>0.0755</v>
      </c>
    </row>
    <row r="127">
      <c r="E127" s="4">
        <v>0.155326</v>
      </c>
      <c r="F127" s="4">
        <v>0.075625</v>
      </c>
    </row>
    <row r="128">
      <c r="E128" s="4">
        <v>0.156139</v>
      </c>
      <c r="F128" s="4">
        <v>0.07575</v>
      </c>
    </row>
    <row r="129">
      <c r="E129" s="4">
        <v>0.156952</v>
      </c>
      <c r="F129" s="4">
        <v>0.075875</v>
      </c>
    </row>
    <row r="130">
      <c r="E130" s="4">
        <v>0.157767</v>
      </c>
      <c r="F130" s="4">
        <v>0.076</v>
      </c>
    </row>
    <row r="131">
      <c r="E131" s="4">
        <v>0.158583</v>
      </c>
      <c r="F131" s="4">
        <v>0.076125</v>
      </c>
    </row>
    <row r="132">
      <c r="E132" s="4">
        <v>0.159399</v>
      </c>
      <c r="F132" s="4">
        <v>0.07625</v>
      </c>
    </row>
    <row r="133">
      <c r="E133" s="4">
        <v>0.160217</v>
      </c>
      <c r="F133" s="4">
        <v>0.076375</v>
      </c>
    </row>
    <row r="134">
      <c r="E134" s="4">
        <v>0.161036</v>
      </c>
      <c r="F134" s="4">
        <v>0.0765</v>
      </c>
    </row>
    <row r="135">
      <c r="E135" s="4">
        <v>0.161855</v>
      </c>
      <c r="F135" s="4">
        <v>0.076625</v>
      </c>
    </row>
    <row r="136">
      <c r="E136" s="4">
        <v>0.162676</v>
      </c>
      <c r="F136" s="4">
        <v>0.07675</v>
      </c>
    </row>
    <row r="137">
      <c r="E137" s="4">
        <v>0.163498</v>
      </c>
      <c r="F137" s="4">
        <v>0.076875</v>
      </c>
    </row>
    <row r="138">
      <c r="E138" s="4">
        <v>0.16432</v>
      </c>
      <c r="F138" s="4">
        <v>0.077</v>
      </c>
    </row>
    <row r="139">
      <c r="E139" s="4">
        <v>0.165144</v>
      </c>
      <c r="F139" s="4">
        <v>0.077125</v>
      </c>
    </row>
    <row r="140">
      <c r="E140" s="4">
        <v>0.165968</v>
      </c>
      <c r="F140" s="4">
        <v>0.07725</v>
      </c>
    </row>
    <row r="141">
      <c r="E141" s="4">
        <v>0.166793</v>
      </c>
      <c r="F141" s="4">
        <v>0.077375</v>
      </c>
    </row>
    <row r="142">
      <c r="E142" s="4">
        <v>0.16762</v>
      </c>
      <c r="F142" s="4">
        <v>0.0775</v>
      </c>
    </row>
    <row r="143">
      <c r="E143" s="4">
        <v>0.168447</v>
      </c>
      <c r="F143" s="4">
        <v>0.077625</v>
      </c>
    </row>
    <row r="144">
      <c r="E144" s="4">
        <v>0.169274</v>
      </c>
      <c r="F144" s="4">
        <v>0.07775</v>
      </c>
    </row>
    <row r="145">
      <c r="E145" s="4">
        <v>0.170103</v>
      </c>
      <c r="F145" s="4">
        <v>0.077875</v>
      </c>
    </row>
    <row r="146">
      <c r="E146" s="4">
        <v>0.170933</v>
      </c>
      <c r="F146" s="4">
        <v>0.078</v>
      </c>
    </row>
    <row r="147">
      <c r="E147" s="4">
        <v>0.171763</v>
      </c>
      <c r="F147" s="4">
        <v>0.078125</v>
      </c>
    </row>
    <row r="148">
      <c r="E148" s="4">
        <v>0.172594</v>
      </c>
      <c r="F148" s="4">
        <v>0.07825</v>
      </c>
    </row>
    <row r="149">
      <c r="E149" s="4">
        <v>0.173426</v>
      </c>
      <c r="F149" s="4">
        <v>0.078375</v>
      </c>
    </row>
    <row r="150">
      <c r="E150" s="4">
        <v>0.174259</v>
      </c>
      <c r="F150" s="4">
        <v>0.0785</v>
      </c>
    </row>
    <row r="151">
      <c r="E151" s="4">
        <v>0.175093</v>
      </c>
      <c r="F151" s="4">
        <v>0.078625</v>
      </c>
    </row>
    <row r="152">
      <c r="E152" s="4">
        <v>0.175927</v>
      </c>
      <c r="F152" s="4">
        <v>0.07875</v>
      </c>
    </row>
    <row r="153">
      <c r="E153" s="4">
        <v>0.176762</v>
      </c>
      <c r="F153" s="4">
        <v>0.078875</v>
      </c>
    </row>
    <row r="154">
      <c r="E154" s="4">
        <v>0.177598</v>
      </c>
      <c r="F154" s="4">
        <v>0.079</v>
      </c>
    </row>
    <row r="155">
      <c r="E155" s="4">
        <v>0.178435</v>
      </c>
      <c r="F155" s="4">
        <v>0.079125</v>
      </c>
    </row>
    <row r="156">
      <c r="E156" s="4">
        <v>0.179272</v>
      </c>
      <c r="F156" s="4">
        <v>0.07925</v>
      </c>
    </row>
    <row r="157">
      <c r="E157" s="4">
        <v>0.18011</v>
      </c>
      <c r="F157" s="4">
        <v>0.079375</v>
      </c>
    </row>
    <row r="158">
      <c r="E158" s="4">
        <v>0.180949</v>
      </c>
      <c r="F158" s="4">
        <v>0.0795</v>
      </c>
    </row>
    <row r="159">
      <c r="E159" s="4">
        <v>0.181788</v>
      </c>
      <c r="F159" s="4">
        <v>0.079625</v>
      </c>
    </row>
    <row r="160">
      <c r="E160" s="4">
        <v>0.182628</v>
      </c>
      <c r="F160" s="4">
        <v>0.07975</v>
      </c>
    </row>
    <row r="161">
      <c r="E161" s="4">
        <v>0.183469</v>
      </c>
      <c r="F161" s="4">
        <v>0.079875</v>
      </c>
    </row>
    <row r="162">
      <c r="E162" s="4">
        <v>0.18431</v>
      </c>
      <c r="F162" s="4">
        <v>0.08</v>
      </c>
    </row>
  </sheetData>
  <pageMargins left="0.5" right="0.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18" topLeftCell="A19" activePane="bottomLeft" state="frozen"/>
    </sheetView>
  </sheetViews>
  <cols>
    <col width="2" customWidth="1" min="1" max="1"/>
    <col width="34" customWidth="1" min="2" max="2"/>
    <col width="16" customWidth="1" min="3" max="3"/>
    <col width="16" customWidth="1" min="4" max="4"/>
    <col width="22" customWidth="1" min="5" max="5"/>
    <col width="16" customWidth="1" min="6" max="6"/>
    <col width="10" customWidth="1" min="7" max="7"/>
    <col width="4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voluntaria, en dólares, con las reglas de la Ley de Protección al Trabajador (n.º 7983). El ROP no se traslada: se recibe como pensión mensual al pensionarse, según su modalidad (o en un solo pago a los 65 años si no hay pensión de un régimen básico). El FCL se traslada completo en cada quinquenio o al terminar la relación laboral. La pensión voluntaria se traslada desde los 57 años. Las celdas de insumos pueden modificarse.</t>
        </is>
      </c>
    </row>
    <row r="4">
      <c r="B4" s="6" t="inlineStr">
        <is>
          <t>Supuestos</t>
        </is>
      </c>
    </row>
    <row r="5">
      <c r="B5" s="1" t="inlineStr">
        <is>
          <t>Rendimiento anual de los fondos</t>
        </is>
      </c>
      <c r="E5" s="4">
        <v>0.06</v>
      </c>
    </row>
    <row r="6">
      <c r="B6" s="1" t="inlineStr">
        <is>
          <t>Crecimiento anual de los aportes (inflación)</t>
        </is>
      </c>
      <c r="E6" s="4">
        <f>'Proyección'!$D$3</f>
        <v>0.039</v>
      </c>
    </row>
    <row r="7">
      <c r="B7" s="1" t="inlineStr">
        <is>
          <t>Años de aportes, hasta la independencia financiera</t>
        </is>
      </c>
      <c r="E7" s="9">
        <v>15</v>
      </c>
    </row>
    <row r="8">
      <c r="B8" s="1" t="inlineStr">
        <is>
          <t>Período de la independencia financiera</t>
        </is>
      </c>
      <c r="E8" s="9">
        <f>E7+1</f>
        <v>16</v>
      </c>
    </row>
    <row r="9">
      <c r="B9" s="1" t="inlineStr">
        <is>
          <t>Edad actual del cliente</t>
        </is>
      </c>
      <c r="E9" s="9">
        <f>'Proyección'!$C$17</f>
        <v>45</v>
      </c>
    </row>
    <row r="11" ht="34" customHeight="1">
      <c r="B11" s="5" t="inlineStr">
        <is>
          <t>Fondo</t>
        </is>
      </c>
      <c r="C11" s="5" t="inlineStr">
        <is>
          <t>Saldo actual (US$)</t>
        </is>
      </c>
      <c r="D11" s="5" t="inlineStr">
        <is>
          <t>Aporte mensual (US$)</t>
        </is>
      </c>
      <c r="E11" s="5" t="inlineStr">
        <is>
          <t>Origen del aporte</t>
        </is>
      </c>
      <c r="F11" s="5" t="inlineStr">
        <is>
          <t>Período de traslado o de inicio de la pensión</t>
        </is>
      </c>
      <c r="G11" s="5" t="inlineStr">
        <is>
          <t>Año</t>
        </is>
      </c>
      <c r="H11" s="5" t="inlineStr">
        <is>
          <t>Regla de la ley</t>
        </is>
      </c>
      <c r="I11" s="5" t="inlineStr">
        <is>
          <t>Edad final de la renta</t>
        </is>
      </c>
      <c r="J11" s="5" t="inlineStr">
        <is>
          <t>Aportes acumulados</t>
        </is>
      </c>
      <c r="K11" s="5" t="inlineStr">
        <is>
          <t>Rendimientos acumulados</t>
        </is>
      </c>
      <c r="L11" s="5" t="inlineStr">
        <is>
          <t>Trasladado al portafolio</t>
        </is>
      </c>
      <c r="M11" s="5" t="inlineStr">
        <is>
          <t>Pensión del ROP pagada</t>
        </is>
      </c>
    </row>
    <row r="12">
      <c r="B12" s="1" t="inlineStr">
        <is>
          <t>ROP</t>
        </is>
      </c>
      <c r="C12" s="10">
        <f>18000000/'Proyección'!$D$1</f>
        <v>40000</v>
      </c>
      <c r="D12" s="10">
        <f>'Proyección'!$G$1*0.0425</f>
        <v>396.66666666666674</v>
      </c>
      <c r="E12" t="inlineStr">
        <is>
          <t>Estimado: 4.25% del salario</t>
        </is>
      </c>
      <c r="F12" s="9">
        <f>'Proyección'!$G$6</f>
        <v>21</v>
      </c>
      <c r="G12" s="9">
        <f>'Proyección'!$B$17+F12-1</f>
        <v>2046</v>
      </c>
      <c r="H12" t="inlineStr">
        <is>
          <t>Pensión mensual: renta temporal hasta la expectativa de vida</t>
        </is>
      </c>
      <c r="I12" s="9">
        <v>87</v>
      </c>
      <c r="J12" s="10">
        <f>SUM(E19:E69)</f>
        <v>94607</v>
      </c>
      <c r="K12" s="10">
        <f>SUM(F19:F69)</f>
        <v>457583</v>
      </c>
      <c r="L12" s="10">
        <v>0</v>
      </c>
      <c r="M12" s="10">
        <f>SUM(G19:G69)</f>
        <v>592190</v>
      </c>
    </row>
    <row r="13">
      <c r="B13" s="1" t="inlineStr">
        <is>
          <t>FCL</t>
        </is>
      </c>
      <c r="C13" s="10">
        <f>3500000/'Proyección'!$D$1</f>
        <v>7777.777777777777</v>
      </c>
      <c r="D13" s="10">
        <f>63000/'Proyección'!$D$1</f>
        <v>140</v>
      </c>
      <c r="E13" t="inlineStr">
        <is>
          <t>Declarado por el cliente</t>
        </is>
      </c>
      <c r="F13" s="9">
        <v>3</v>
      </c>
      <c r="G13" s="9">
        <f>'Proyección'!$B$17+F13-1</f>
        <v>2028</v>
      </c>
      <c r="H13" t="inlineStr">
        <is>
          <t>Cada quinquenio y al terminar la relación laboral</t>
        </is>
      </c>
      <c r="J13" s="10">
        <f>SUM(J19:J69)</f>
        <v>33391</v>
      </c>
      <c r="K13" s="10">
        <f>SUM(K19:K69)</f>
        <v>5068</v>
      </c>
      <c r="L13" s="10">
        <f>SUM(L19:L69)</f>
        <v>46237</v>
      </c>
      <c r="M13" s="10">
        <v>0</v>
      </c>
    </row>
    <row r="14">
      <c r="B14" s="1" t="inlineStr">
        <is>
          <t>Pensión voluntaria</t>
        </is>
      </c>
      <c r="C14" s="10">
        <v>15000</v>
      </c>
      <c r="D14" s="10">
        <v>200</v>
      </c>
      <c r="E14" t="inlineStr">
        <is>
          <t>Declarado por el cliente</t>
        </is>
      </c>
      <c r="F14" s="9">
        <f>MAX($E$8,57-$E$9+1)</f>
        <v>16</v>
      </c>
      <c r="G14" s="9">
        <f>'Proyección'!$B$17+F14-1</f>
        <v>2041</v>
      </c>
      <c r="H14" t="inlineStr">
        <is>
          <t>Desde los 57 años</t>
        </is>
      </c>
      <c r="J14" s="10">
        <f>SUM(O19:O69)</f>
        <v>47701</v>
      </c>
      <c r="K14" s="10">
        <f>SUM(P19:P69)</f>
        <v>50684</v>
      </c>
      <c r="L14" s="10">
        <f>SUM(Q19:Q69)</f>
        <v>113385</v>
      </c>
      <c r="M14" s="10">
        <v>0</v>
      </c>
    </row>
    <row r="17">
      <c r="B17" s="6" t="inlineStr">
        <is>
          <t>Evolución anual</t>
        </is>
      </c>
      <c r="D17" s="6" t="inlineStr">
        <is>
          <t>ROP</t>
        </is>
      </c>
      <c r="I17" s="6" t="inlineStr">
        <is>
          <t>FCL</t>
        </is>
      </c>
      <c r="N17" s="6" t="inlineStr">
        <is>
          <t>Pensión voluntaria</t>
        </is>
      </c>
      <c r="S17" s="6" t="inlineStr">
        <is>
          <t>Total</t>
        </is>
      </c>
    </row>
    <row r="18" ht="34" customHeight="1">
      <c r="B18" s="5" t="inlineStr">
        <is>
          <t>Período</t>
        </is>
      </c>
      <c r="C18" s="5" t="inlineStr">
        <is>
          <t>Año</t>
        </is>
      </c>
      <c r="D18" s="5" t="inlineStr">
        <is>
          <t>Saldo inicial</t>
        </is>
      </c>
      <c r="E18" s="5" t="inlineStr">
        <is>
          <t>Aportes</t>
        </is>
      </c>
      <c r="F18" s="5" t="inlineStr">
        <is>
          <t>Rendimiento</t>
        </is>
      </c>
      <c r="G18" s="5" t="inlineStr">
        <is>
          <t>Pensión pagada</t>
        </is>
      </c>
      <c r="H18" s="5" t="inlineStr">
        <is>
          <t>Saldo final</t>
        </is>
      </c>
      <c r="I18" s="5" t="inlineStr">
        <is>
          <t>Saldo inicial</t>
        </is>
      </c>
      <c r="J18" s="5" t="inlineStr">
        <is>
          <t>Aportes</t>
        </is>
      </c>
      <c r="K18" s="5" t="inlineStr">
        <is>
          <t>Rendimiento</t>
        </is>
      </c>
      <c r="L18" s="5" t="inlineStr">
        <is>
          <t>Traslado al portafolio</t>
        </is>
      </c>
      <c r="M18" s="5" t="inlineStr">
        <is>
          <t>Saldo final</t>
        </is>
      </c>
      <c r="N18" s="5" t="inlineStr">
        <is>
          <t>Saldo inicial</t>
        </is>
      </c>
      <c r="O18" s="5" t="inlineStr">
        <is>
          <t>Aportes</t>
        </is>
      </c>
      <c r="P18" s="5" t="inlineStr">
        <is>
          <t>Rendimiento</t>
        </is>
      </c>
      <c r="Q18" s="5" t="inlineStr">
        <is>
          <t>Traslado al portafolio</t>
        </is>
      </c>
      <c r="R18" s="5" t="inlineStr">
        <is>
          <t>Saldo final</t>
        </is>
      </c>
      <c r="S18" s="5" t="inlineStr">
        <is>
          <t>Traslado total al portafolio</t>
        </is>
      </c>
      <c r="T18" s="5" t="inlineStr">
        <is>
          <t>Pensión del ROP</t>
        </is>
      </c>
    </row>
    <row r="19">
      <c r="B19" s="9">
        <v>1</v>
      </c>
      <c r="C19" s="9">
        <f>'Proyección'!B17</f>
        <v>2026</v>
      </c>
      <c r="D19" s="10">
        <f>C12</f>
        <v>40000</v>
      </c>
      <c r="E19" s="10">
        <f>IF(B19&lt;=$E$7,$D$12*12*(1+$E$6)^(B19-1),0)</f>
        <v>4760</v>
      </c>
      <c r="F19" s="10">
        <f>D19*$E$5</f>
        <v>2400</v>
      </c>
      <c r="G19" s="10">
        <f>IF(B19&gt;=$F$12,IF(($I$12-$E$9-B19+2)&lt;=1,D19+F19,IF($E$5=0,D19/($I$12-$E$9-B19+2),D19*$E$5/(1-(1+$E$5)^(-($I$12-$E$9-B19+2))))),0)</f>
        <v>0</v>
      </c>
      <c r="H19" s="10">
        <f>D19+E19+F19-G19</f>
        <v>47160</v>
      </c>
      <c r="I19" s="10">
        <f>C13</f>
        <v>7778</v>
      </c>
      <c r="J19" s="10">
        <f>IF(B19&lt;=$E$7,$D$13*12*(1+$E$6)^(B19-1),0)</f>
        <v>1680</v>
      </c>
      <c r="K19" s="10">
        <f>I19*$E$5</f>
        <v>467</v>
      </c>
      <c r="L19" s="10">
        <f>IF(OR(AND(B19&lt;=$E$7,B19&gt;=$F$13,MOD(B19-$F$13,5)=0),B19=$E$8,B19=51),I19+J19+K19,0)</f>
        <v>0</v>
      </c>
      <c r="M19" s="10">
        <f>I19+J19+K19-L19</f>
        <v>9924</v>
      </c>
      <c r="N19" s="10">
        <f>C14</f>
        <v>15000</v>
      </c>
      <c r="O19" s="10">
        <f>IF(B19&lt;=$E$7,$D$14*12*(1+$E$6)^(B19-1),0)</f>
        <v>2400</v>
      </c>
      <c r="P19" s="10">
        <f>N19*$E$5</f>
        <v>900</v>
      </c>
      <c r="Q19" s="10">
        <f>IF(OR(B19=$F$14,AND(B19&gt;$F$14,B19=$E$8),B19=51),N19+O19+P19,0)</f>
        <v>0</v>
      </c>
      <c r="R19" s="10">
        <f>N19+O19+P19-Q19</f>
        <v>18300</v>
      </c>
      <c r="S19" s="10">
        <f>L19+Q19</f>
        <v>0</v>
      </c>
      <c r="T19" s="10">
        <f>G19</f>
        <v>0</v>
      </c>
    </row>
    <row r="20">
      <c r="B20" s="9">
        <v>2</v>
      </c>
      <c r="C20" s="9">
        <f>'Proyección'!B18</f>
        <v>2027</v>
      </c>
      <c r="D20" s="10">
        <f>H19</f>
        <v>47160</v>
      </c>
      <c r="E20" s="10">
        <f>IF(B20&lt;=$E$7,$D$12*12*(1+$E$6)^(B20-1),0)</f>
        <v>4946</v>
      </c>
      <c r="F20" s="10">
        <f>D20*$E$5</f>
        <v>2830</v>
      </c>
      <c r="G20" s="10">
        <f>IF(B20&gt;=$F$12,IF(($I$12-$E$9-B20+2)&lt;=1,D20+F20,IF($E$5=0,D20/($I$12-$E$9-B20+2),D20*$E$5/(1-(1+$E$5)^(-($I$12-$E$9-B20+2))))),0)</f>
        <v>0</v>
      </c>
      <c r="H20" s="10">
        <f>D20+E20+F20-G20</f>
        <v>54935</v>
      </c>
      <c r="I20" s="10">
        <f>M19</f>
        <v>9924</v>
      </c>
      <c r="J20" s="10">
        <f>IF(B20&lt;=$E$7,$D$13*12*(1+$E$6)^(B20-1),0)</f>
        <v>1746</v>
      </c>
      <c r="K20" s="10">
        <f>I20*$E$5</f>
        <v>595</v>
      </c>
      <c r="L20" s="10">
        <f>IF(OR(AND(B20&lt;=$E$7,B20&gt;=$F$13,MOD(B20-$F$13,5)=0),B20=$E$8,B20=51),I20+J20+K20,0)</f>
        <v>0</v>
      </c>
      <c r="M20" s="10">
        <f>I20+J20+K20-L20</f>
        <v>12265</v>
      </c>
      <c r="N20" s="10">
        <f>R19</f>
        <v>18300</v>
      </c>
      <c r="O20" s="10">
        <f>IF(B20&lt;=$E$7,$D$14*12*(1+$E$6)^(B20-1),0)</f>
        <v>2494</v>
      </c>
      <c r="P20" s="10">
        <f>N20*$E$5</f>
        <v>1098</v>
      </c>
      <c r="Q20" s="10">
        <f>IF(OR(B20=$F$14,AND(B20&gt;$F$14,B20=$E$8),B20=51),N20+O20+P20,0)</f>
        <v>0</v>
      </c>
      <c r="R20" s="10">
        <f>N20+O20+P20-Q20</f>
        <v>21892</v>
      </c>
      <c r="S20" s="10">
        <f>L20+Q20</f>
        <v>0</v>
      </c>
      <c r="T20" s="10">
        <f>G20</f>
        <v>0</v>
      </c>
    </row>
    <row r="21">
      <c r="B21" s="9">
        <v>3</v>
      </c>
      <c r="C21" s="9">
        <f>'Proyección'!B19</f>
        <v>2028</v>
      </c>
      <c r="D21" s="10">
        <f>H20</f>
        <v>54935</v>
      </c>
      <c r="E21" s="10">
        <f>IF(B21&lt;=$E$7,$D$12*12*(1+$E$6)^(B21-1),0)</f>
        <v>5139</v>
      </c>
      <c r="F21" s="10">
        <f>D21*$E$5</f>
        <v>3296</v>
      </c>
      <c r="G21" s="10">
        <f>IF(B21&gt;=$F$12,IF(($I$12-$E$9-B21+2)&lt;=1,D21+F21,IF($E$5=0,D21/($I$12-$E$9-B21+2),D21*$E$5/(1-(1+$E$5)^(-($I$12-$E$9-B21+2))))),0)</f>
        <v>0</v>
      </c>
      <c r="H21" s="10">
        <f>D21+E21+F21-G21</f>
        <v>63370</v>
      </c>
      <c r="I21" s="10">
        <f>M20</f>
        <v>12265</v>
      </c>
      <c r="J21" s="10">
        <f>IF(B21&lt;=$E$7,$D$13*12*(1+$E$6)^(B21-1),0)</f>
        <v>1814</v>
      </c>
      <c r="K21" s="10">
        <f>I21*$E$5</f>
        <v>736</v>
      </c>
      <c r="L21" s="10">
        <f>IF(OR(AND(B21&lt;=$E$7,B21&gt;=$F$13,MOD(B21-$F$13,5)=0),B21=$E$8,B21=51),I21+J21+K21,0)</f>
        <v>14815</v>
      </c>
      <c r="M21" s="10">
        <f>I21+J21+K21-L21</f>
        <v>0</v>
      </c>
      <c r="N21" s="10">
        <f>R20</f>
        <v>21892</v>
      </c>
      <c r="O21" s="10">
        <f>IF(B21&lt;=$E$7,$D$14*12*(1+$E$6)^(B21-1),0)</f>
        <v>2591</v>
      </c>
      <c r="P21" s="10">
        <f>N21*$E$5</f>
        <v>1313</v>
      </c>
      <c r="Q21" s="10">
        <f>IF(OR(B21=$F$14,AND(B21&gt;$F$14,B21=$E$8),B21=51),N21+O21+P21,0)</f>
        <v>0</v>
      </c>
      <c r="R21" s="10">
        <f>N21+O21+P21-Q21</f>
        <v>25796</v>
      </c>
      <c r="S21" s="10">
        <f>L21+Q21</f>
        <v>14815</v>
      </c>
      <c r="T21" s="10">
        <f>G21</f>
        <v>0</v>
      </c>
    </row>
    <row r="22">
      <c r="B22" s="9">
        <v>4</v>
      </c>
      <c r="C22" s="9">
        <f>'Proyección'!B20</f>
        <v>2029</v>
      </c>
      <c r="D22" s="10">
        <f>H21</f>
        <v>63370</v>
      </c>
      <c r="E22" s="10">
        <f>IF(B22&lt;=$E$7,$D$12*12*(1+$E$6)^(B22-1),0)</f>
        <v>5339</v>
      </c>
      <c r="F22" s="10">
        <f>D22*$E$5</f>
        <v>3802</v>
      </c>
      <c r="G22" s="10">
        <f>IF(B22&gt;=$F$12,IF(($I$12-$E$9-B22+2)&lt;=1,D22+F22,IF($E$5=0,D22/($I$12-$E$9-B22+2),D22*$E$5/(1-(1+$E$5)^(-($I$12-$E$9-B22+2))))),0)</f>
        <v>0</v>
      </c>
      <c r="H22" s="10">
        <f>D22+E22+F22-G22</f>
        <v>72511</v>
      </c>
      <c r="I22" s="10">
        <f>M21</f>
        <v>0</v>
      </c>
      <c r="J22" s="10">
        <f>IF(B22&lt;=$E$7,$D$13*12*(1+$E$6)^(B22-1),0)</f>
        <v>1884</v>
      </c>
      <c r="K22" s="10">
        <f>I22*$E$5</f>
        <v>0</v>
      </c>
      <c r="L22" s="10">
        <f>IF(OR(AND(B22&lt;=$E$7,B22&gt;=$F$13,MOD(B22-$F$13,5)=0),B22=$E$8,B22=51),I22+J22+K22,0)</f>
        <v>0</v>
      </c>
      <c r="M22" s="10">
        <f>I22+J22+K22-L22</f>
        <v>1884</v>
      </c>
      <c r="N22" s="10">
        <f>R21</f>
        <v>25796</v>
      </c>
      <c r="O22" s="10">
        <f>IF(B22&lt;=$E$7,$D$14*12*(1+$E$6)^(B22-1),0)</f>
        <v>2692</v>
      </c>
      <c r="P22" s="10">
        <f>N22*$E$5</f>
        <v>1548</v>
      </c>
      <c r="Q22" s="10">
        <f>IF(OR(B22=$F$14,AND(B22&gt;$F$14,B22=$E$8),B22=51),N22+O22+P22,0)</f>
        <v>0</v>
      </c>
      <c r="R22" s="10">
        <f>N22+O22+P22-Q22</f>
        <v>30036</v>
      </c>
      <c r="S22" s="10">
        <f>L22+Q22</f>
        <v>0</v>
      </c>
      <c r="T22" s="10">
        <f>G22</f>
        <v>0</v>
      </c>
    </row>
    <row r="23">
      <c r="B23" s="9">
        <v>5</v>
      </c>
      <c r="C23" s="9">
        <f>'Proyección'!B21</f>
        <v>2030</v>
      </c>
      <c r="D23" s="10">
        <f>H22</f>
        <v>72511</v>
      </c>
      <c r="E23" s="10">
        <f>IF(B23&lt;=$E$7,$D$12*12*(1+$E$6)^(B23-1),0)</f>
        <v>5547</v>
      </c>
      <c r="F23" s="10">
        <f>D23*$E$5</f>
        <v>4351</v>
      </c>
      <c r="G23" s="10">
        <f>IF(B23&gt;=$F$12,IF(($I$12-$E$9-B23+2)&lt;=1,D23+F23,IF($E$5=0,D23/($I$12-$E$9-B23+2),D23*$E$5/(1-(1+$E$5)^(-($I$12-$E$9-B23+2))))),0)</f>
        <v>0</v>
      </c>
      <c r="H23" s="10">
        <f>D23+E23+F23-G23</f>
        <v>82409</v>
      </c>
      <c r="I23" s="10">
        <f>M22</f>
        <v>1884</v>
      </c>
      <c r="J23" s="10">
        <f>IF(B23&lt;=$E$7,$D$13*12*(1+$E$6)^(B23-1),0)</f>
        <v>1958</v>
      </c>
      <c r="K23" s="10">
        <f>I23*$E$5</f>
        <v>113</v>
      </c>
      <c r="L23" s="10">
        <f>IF(OR(AND(B23&lt;=$E$7,B23&gt;=$F$13,MOD(B23-$F$13,5)=0),B23=$E$8,B23=51),I23+J23+K23,0)</f>
        <v>0</v>
      </c>
      <c r="M23" s="10">
        <f>I23+J23+K23-L23</f>
        <v>3955</v>
      </c>
      <c r="N23" s="10">
        <f>R22</f>
        <v>30036</v>
      </c>
      <c r="O23" s="10">
        <f>IF(B23&lt;=$E$7,$D$14*12*(1+$E$6)^(B23-1),0)</f>
        <v>2797</v>
      </c>
      <c r="P23" s="10">
        <f>N23*$E$5</f>
        <v>1802</v>
      </c>
      <c r="Q23" s="10">
        <f>IF(OR(B23=$F$14,AND(B23&gt;$F$14,B23=$E$8),B23=51),N23+O23+P23,0)</f>
        <v>0</v>
      </c>
      <c r="R23" s="10">
        <f>N23+O23+P23-Q23</f>
        <v>34635</v>
      </c>
      <c r="S23" s="10">
        <f>L23+Q23</f>
        <v>0</v>
      </c>
      <c r="T23" s="10">
        <f>G23</f>
        <v>0</v>
      </c>
    </row>
    <row r="24">
      <c r="B24" s="9">
        <v>6</v>
      </c>
      <c r="C24" s="9">
        <f>'Proyección'!B22</f>
        <v>2031</v>
      </c>
      <c r="D24" s="10">
        <f>H23</f>
        <v>82409</v>
      </c>
      <c r="E24" s="10">
        <f>IF(B24&lt;=$E$7,$D$12*12*(1+$E$6)^(B24-1),0)</f>
        <v>5763</v>
      </c>
      <c r="F24" s="10">
        <f>D24*$E$5</f>
        <v>4945</v>
      </c>
      <c r="G24" s="10">
        <f>IF(B24&gt;=$F$12,IF(($I$12-$E$9-B24+2)&lt;=1,D24+F24,IF($E$5=0,D24/($I$12-$E$9-B24+2),D24*$E$5/(1-(1+$E$5)^(-($I$12-$E$9-B24+2))))),0)</f>
        <v>0</v>
      </c>
      <c r="H24" s="10">
        <f>D24+E24+F24-G24</f>
        <v>93117</v>
      </c>
      <c r="I24" s="10">
        <f>M23</f>
        <v>3955</v>
      </c>
      <c r="J24" s="10">
        <f>IF(B24&lt;=$E$7,$D$13*12*(1+$E$6)^(B24-1),0)</f>
        <v>2034</v>
      </c>
      <c r="K24" s="10">
        <f>I24*$E$5</f>
        <v>237</v>
      </c>
      <c r="L24" s="10">
        <f>IF(OR(AND(B24&lt;=$E$7,B24&gt;=$F$13,MOD(B24-$F$13,5)=0),B24=$E$8,B24=51),I24+J24+K24,0)</f>
        <v>0</v>
      </c>
      <c r="M24" s="10">
        <f>I24+J24+K24-L24</f>
        <v>6227</v>
      </c>
      <c r="N24" s="10">
        <f>R23</f>
        <v>34635</v>
      </c>
      <c r="O24" s="10">
        <f>IF(B24&lt;=$E$7,$D$14*12*(1+$E$6)^(B24-1),0)</f>
        <v>2906</v>
      </c>
      <c r="P24" s="10">
        <f>N24*$E$5</f>
        <v>2078</v>
      </c>
      <c r="Q24" s="10">
        <f>IF(OR(B24=$F$14,AND(B24&gt;$F$14,B24=$E$8),B24=51),N24+O24+P24,0)</f>
        <v>0</v>
      </c>
      <c r="R24" s="10">
        <f>N24+O24+P24-Q24</f>
        <v>39619</v>
      </c>
      <c r="S24" s="10">
        <f>L24+Q24</f>
        <v>0</v>
      </c>
      <c r="T24" s="10">
        <f>G24</f>
        <v>0</v>
      </c>
    </row>
    <row r="25">
      <c r="B25" s="9">
        <v>7</v>
      </c>
      <c r="C25" s="9">
        <f>'Proyección'!B23</f>
        <v>2032</v>
      </c>
      <c r="D25" s="10">
        <f>H24</f>
        <v>93117</v>
      </c>
      <c r="E25" s="10">
        <f>IF(B25&lt;=$E$7,$D$12*12*(1+$E$6)^(B25-1),0)</f>
        <v>5988</v>
      </c>
      <c r="F25" s="10">
        <f>D25*$E$5</f>
        <v>5587</v>
      </c>
      <c r="G25" s="10">
        <f>IF(B25&gt;=$F$12,IF(($I$12-$E$9-B25+2)&lt;=1,D25+F25,IF($E$5=0,D25/($I$12-$E$9-B25+2),D25*$E$5/(1-(1+$E$5)^(-($I$12-$E$9-B25+2))))),0)</f>
        <v>0</v>
      </c>
      <c r="H25" s="10">
        <f>D25+E25+F25-G25</f>
        <v>104692</v>
      </c>
      <c r="I25" s="10">
        <f>M24</f>
        <v>6227</v>
      </c>
      <c r="J25" s="10">
        <f>IF(B25&lt;=$E$7,$D$13*12*(1+$E$6)^(B25-1),0)</f>
        <v>2114</v>
      </c>
      <c r="K25" s="10">
        <f>I25*$E$5</f>
        <v>374</v>
      </c>
      <c r="L25" s="10">
        <f>IF(OR(AND(B25&lt;=$E$7,B25&gt;=$F$13,MOD(B25-$F$13,5)=0),B25=$E$8,B25=51),I25+J25+K25,0)</f>
        <v>0</v>
      </c>
      <c r="M25" s="10">
        <f>I25+J25+K25-L25</f>
        <v>8714</v>
      </c>
      <c r="N25" s="10">
        <f>R24</f>
        <v>39619</v>
      </c>
      <c r="O25" s="10">
        <f>IF(B25&lt;=$E$7,$D$14*12*(1+$E$6)^(B25-1),0)</f>
        <v>3019</v>
      </c>
      <c r="P25" s="10">
        <f>N25*$E$5</f>
        <v>2377</v>
      </c>
      <c r="Q25" s="10">
        <f>IF(OR(B25=$F$14,AND(B25&gt;$F$14,B25=$E$8),B25=51),N25+O25+P25,0)</f>
        <v>0</v>
      </c>
      <c r="R25" s="10">
        <f>N25+O25+P25-Q25</f>
        <v>45015</v>
      </c>
      <c r="S25" s="10">
        <f>L25+Q25</f>
        <v>0</v>
      </c>
      <c r="T25" s="10">
        <f>G25</f>
        <v>0</v>
      </c>
    </row>
    <row r="26">
      <c r="B26" s="9">
        <v>8</v>
      </c>
      <c r="C26" s="9">
        <f>'Proyección'!B24</f>
        <v>2033</v>
      </c>
      <c r="D26" s="10">
        <f>H25</f>
        <v>104692</v>
      </c>
      <c r="E26" s="10">
        <f>IF(B26&lt;=$E$7,$D$12*12*(1+$E$6)^(B26-1),0)</f>
        <v>6222</v>
      </c>
      <c r="F26" s="10">
        <f>D26*$E$5</f>
        <v>6282</v>
      </c>
      <c r="G26" s="10">
        <f>IF(B26&gt;=$F$12,IF(($I$12-$E$9-B26+2)&lt;=1,D26+F26,IF($E$5=0,D26/($I$12-$E$9-B26+2),D26*$E$5/(1-(1+$E$5)^(-($I$12-$E$9-B26+2))))),0)</f>
        <v>0</v>
      </c>
      <c r="H26" s="10">
        <f>D26+E26+F26-G26</f>
        <v>117195</v>
      </c>
      <c r="I26" s="10">
        <f>M25</f>
        <v>8714</v>
      </c>
      <c r="J26" s="10">
        <f>IF(B26&lt;=$E$7,$D$13*12*(1+$E$6)^(B26-1),0)</f>
        <v>2196</v>
      </c>
      <c r="K26" s="10">
        <f>I26*$E$5</f>
        <v>523</v>
      </c>
      <c r="L26" s="10">
        <f>IF(OR(AND(B26&lt;=$E$7,B26&gt;=$F$13,MOD(B26-$F$13,5)=0),B26=$E$8,B26=51),I26+J26+K26,0)</f>
        <v>11433</v>
      </c>
      <c r="M26" s="10">
        <f>I26+J26+K26-L26</f>
        <v>0</v>
      </c>
      <c r="N26" s="10">
        <f>R25</f>
        <v>45015</v>
      </c>
      <c r="O26" s="10">
        <f>IF(B26&lt;=$E$7,$D$14*12*(1+$E$6)^(B26-1),0)</f>
        <v>3137</v>
      </c>
      <c r="P26" s="10">
        <f>N26*$E$5</f>
        <v>2701</v>
      </c>
      <c r="Q26" s="10">
        <f>IF(OR(B26=$F$14,AND(B26&gt;$F$14,B26=$E$8),B26=51),N26+O26+P26,0)</f>
        <v>0</v>
      </c>
      <c r="R26" s="10">
        <f>N26+O26+P26-Q26</f>
        <v>50853</v>
      </c>
      <c r="S26" s="10">
        <f>L26+Q26</f>
        <v>11433</v>
      </c>
      <c r="T26" s="10">
        <f>G26</f>
        <v>0</v>
      </c>
    </row>
    <row r="27">
      <c r="B27" s="9">
        <v>9</v>
      </c>
      <c r="C27" s="9">
        <f>'Proyección'!B25</f>
        <v>2034</v>
      </c>
      <c r="D27" s="10">
        <f>H26</f>
        <v>117195</v>
      </c>
      <c r="E27" s="10">
        <f>IF(B27&lt;=$E$7,$D$12*12*(1+$E$6)^(B27-1),0)</f>
        <v>6464</v>
      </c>
      <c r="F27" s="10">
        <f>D27*$E$5</f>
        <v>7032</v>
      </c>
      <c r="G27" s="10">
        <f>IF(B27&gt;=$F$12,IF(($I$12-$E$9-B27+2)&lt;=1,D27+F27,IF($E$5=0,D27/($I$12-$E$9-B27+2),D27*$E$5/(1-(1+$E$5)^(-($I$12-$E$9-B27+2))))),0)</f>
        <v>0</v>
      </c>
      <c r="H27" s="10">
        <f>D27+E27+F27-G27</f>
        <v>130692</v>
      </c>
      <c r="I27" s="10">
        <f>M26</f>
        <v>0</v>
      </c>
      <c r="J27" s="10">
        <f>IF(B27&lt;=$E$7,$D$13*12*(1+$E$6)^(B27-1),0)</f>
        <v>2282</v>
      </c>
      <c r="K27" s="10">
        <f>I27*$E$5</f>
        <v>0</v>
      </c>
      <c r="L27" s="10">
        <f>IF(OR(AND(B27&lt;=$E$7,B27&gt;=$F$13,MOD(B27-$F$13,5)=0),B27=$E$8,B27=51),I27+J27+K27,0)</f>
        <v>0</v>
      </c>
      <c r="M27" s="10">
        <f>I27+J27+K27-L27</f>
        <v>2282</v>
      </c>
      <c r="N27" s="10">
        <f>R26</f>
        <v>50853</v>
      </c>
      <c r="O27" s="10">
        <f>IF(B27&lt;=$E$7,$D$14*12*(1+$E$6)^(B27-1),0)</f>
        <v>3259</v>
      </c>
      <c r="P27" s="10">
        <f>N27*$E$5</f>
        <v>3051</v>
      </c>
      <c r="Q27" s="10">
        <f>IF(OR(B27=$F$14,AND(B27&gt;$F$14,B27=$E$8),B27=51),N27+O27+P27,0)</f>
        <v>0</v>
      </c>
      <c r="R27" s="10">
        <f>N27+O27+P27-Q27</f>
        <v>57164</v>
      </c>
      <c r="S27" s="10">
        <f>L27+Q27</f>
        <v>0</v>
      </c>
      <c r="T27" s="10">
        <f>G27</f>
        <v>0</v>
      </c>
    </row>
    <row r="28">
      <c r="B28" s="9">
        <v>10</v>
      </c>
      <c r="C28" s="9">
        <f>'Proyección'!B26</f>
        <v>2035</v>
      </c>
      <c r="D28" s="10">
        <f>H27</f>
        <v>130692</v>
      </c>
      <c r="E28" s="10">
        <f>IF(B28&lt;=$E$7,$D$12*12*(1+$E$6)^(B28-1),0)</f>
        <v>6717</v>
      </c>
      <c r="F28" s="10">
        <f>D28*$E$5</f>
        <v>7841</v>
      </c>
      <c r="G28" s="10">
        <f>IF(B28&gt;=$F$12,IF(($I$12-$E$9-B28+2)&lt;=1,D28+F28,IF($E$5=0,D28/($I$12-$E$9-B28+2),D28*$E$5/(1-(1+$E$5)^(-($I$12-$E$9-B28+2))))),0)</f>
        <v>0</v>
      </c>
      <c r="H28" s="10">
        <f>D28+E28+F28-G28</f>
        <v>145250</v>
      </c>
      <c r="I28" s="10">
        <f>M27</f>
        <v>2282</v>
      </c>
      <c r="J28" s="10">
        <f>IF(B28&lt;=$E$7,$D$13*12*(1+$E$6)^(B28-1),0)</f>
        <v>2371</v>
      </c>
      <c r="K28" s="10">
        <f>I28*$E$5</f>
        <v>137</v>
      </c>
      <c r="L28" s="10">
        <f>IF(OR(AND(B28&lt;=$E$7,B28&gt;=$F$13,MOD(B28-$F$13,5)=0),B28=$E$8,B28=51),I28+J28+K28,0)</f>
        <v>0</v>
      </c>
      <c r="M28" s="10">
        <f>I28+J28+K28-L28</f>
        <v>4789</v>
      </c>
      <c r="N28" s="10">
        <f>R27</f>
        <v>57164</v>
      </c>
      <c r="O28" s="10">
        <f>IF(B28&lt;=$E$7,$D$14*12*(1+$E$6)^(B28-1),0)</f>
        <v>3387</v>
      </c>
      <c r="P28" s="10">
        <f>N28*$E$5</f>
        <v>3430</v>
      </c>
      <c r="Q28" s="10">
        <f>IF(OR(B28=$F$14,AND(B28&gt;$F$14,B28=$E$8),B28=51),N28+O28+P28,0)</f>
        <v>0</v>
      </c>
      <c r="R28" s="10">
        <f>N28+O28+P28-Q28</f>
        <v>63980</v>
      </c>
      <c r="S28" s="10">
        <f>L28+Q28</f>
        <v>0</v>
      </c>
      <c r="T28" s="10">
        <f>G28</f>
        <v>0</v>
      </c>
    </row>
    <row r="29">
      <c r="B29" s="9">
        <v>11</v>
      </c>
      <c r="C29" s="9">
        <f>'Proyección'!B27</f>
        <v>2036</v>
      </c>
      <c r="D29" s="10">
        <f>H28</f>
        <v>145250</v>
      </c>
      <c r="E29" s="10">
        <f>IF(B29&lt;=$E$7,$D$12*12*(1+$E$6)^(B29-1),0)</f>
        <v>6979</v>
      </c>
      <c r="F29" s="10">
        <f>D29*$E$5</f>
        <v>8715</v>
      </c>
      <c r="G29" s="10">
        <f>IF(B29&gt;=$F$12,IF(($I$12-$E$9-B29+2)&lt;=1,D29+F29,IF($E$5=0,D29/($I$12-$E$9-B29+2),D29*$E$5/(1-(1+$E$5)^(-($I$12-$E$9-B29+2))))),0)</f>
        <v>0</v>
      </c>
      <c r="H29" s="10">
        <f>D29+E29+F29-G29</f>
        <v>160943</v>
      </c>
      <c r="I29" s="10">
        <f>M28</f>
        <v>4789</v>
      </c>
      <c r="J29" s="10">
        <f>IF(B29&lt;=$E$7,$D$13*12*(1+$E$6)^(B29-1),0)</f>
        <v>2463</v>
      </c>
      <c r="K29" s="10">
        <f>I29*$E$5</f>
        <v>287</v>
      </c>
      <c r="L29" s="10">
        <f>IF(OR(AND(B29&lt;=$E$7,B29&gt;=$F$13,MOD(B29-$F$13,5)=0),B29=$E$8,B29=51),I29+J29+K29,0)</f>
        <v>0</v>
      </c>
      <c r="M29" s="10">
        <f>I29+J29+K29-L29</f>
        <v>7539</v>
      </c>
      <c r="N29" s="10">
        <f>R28</f>
        <v>63980</v>
      </c>
      <c r="O29" s="10">
        <f>IF(B29&lt;=$E$7,$D$14*12*(1+$E$6)^(B29-1),0)</f>
        <v>3519</v>
      </c>
      <c r="P29" s="10">
        <f>N29*$E$5</f>
        <v>3839</v>
      </c>
      <c r="Q29" s="10">
        <f>IF(OR(B29=$F$14,AND(B29&gt;$F$14,B29=$E$8),B29=51),N29+O29+P29,0)</f>
        <v>0</v>
      </c>
      <c r="R29" s="10">
        <f>N29+O29+P29-Q29</f>
        <v>71337</v>
      </c>
      <c r="S29" s="10">
        <f>L29+Q29</f>
        <v>0</v>
      </c>
      <c r="T29" s="10">
        <f>G29</f>
        <v>0</v>
      </c>
    </row>
    <row r="30">
      <c r="B30" s="9">
        <v>12</v>
      </c>
      <c r="C30" s="9">
        <f>'Proyección'!B28</f>
        <v>2037</v>
      </c>
      <c r="D30" s="10">
        <f>H29</f>
        <v>160943</v>
      </c>
      <c r="E30" s="10">
        <f>IF(B30&lt;=$E$7,$D$12*12*(1+$E$6)^(B30-1),0)</f>
        <v>7251</v>
      </c>
      <c r="F30" s="10">
        <f>D30*$E$5</f>
        <v>9657</v>
      </c>
      <c r="G30" s="10">
        <f>IF(B30&gt;=$F$12,IF(($I$12-$E$9-B30+2)&lt;=1,D30+F30,IF($E$5=0,D30/($I$12-$E$9-B30+2),D30*$E$5/(1-(1+$E$5)^(-($I$12-$E$9-B30+2))))),0)</f>
        <v>0</v>
      </c>
      <c r="H30" s="10">
        <f>D30+E30+F30-G30</f>
        <v>177850</v>
      </c>
      <c r="I30" s="10">
        <f>M29</f>
        <v>7539</v>
      </c>
      <c r="J30" s="10">
        <f>IF(B30&lt;=$E$7,$D$13*12*(1+$E$6)^(B30-1),0)</f>
        <v>2559</v>
      </c>
      <c r="K30" s="10">
        <f>I30*$E$5</f>
        <v>452</v>
      </c>
      <c r="L30" s="10">
        <f>IF(OR(AND(B30&lt;=$E$7,B30&gt;=$F$13,MOD(B30-$F$13,5)=0),B30=$E$8,B30=51),I30+J30+K30,0)</f>
        <v>0</v>
      </c>
      <c r="M30" s="10">
        <f>I30+J30+K30-L30</f>
        <v>10551</v>
      </c>
      <c r="N30" s="10">
        <f>R29</f>
        <v>71337</v>
      </c>
      <c r="O30" s="10">
        <f>IF(B30&lt;=$E$7,$D$14*12*(1+$E$6)^(B30-1),0)</f>
        <v>3656</v>
      </c>
      <c r="P30" s="10">
        <f>N30*$E$5</f>
        <v>4280</v>
      </c>
      <c r="Q30" s="10">
        <f>IF(OR(B30=$F$14,AND(B30&gt;$F$14,B30=$E$8),B30=51),N30+O30+P30,0)</f>
        <v>0</v>
      </c>
      <c r="R30" s="10">
        <f>N30+O30+P30-Q30</f>
        <v>79273</v>
      </c>
      <c r="S30" s="10">
        <f>L30+Q30</f>
        <v>0</v>
      </c>
      <c r="T30" s="10">
        <f>G30</f>
        <v>0</v>
      </c>
    </row>
    <row r="31">
      <c r="B31" s="9">
        <v>13</v>
      </c>
      <c r="C31" s="9">
        <f>'Proyección'!B29</f>
        <v>2038</v>
      </c>
      <c r="D31" s="10">
        <f>H30</f>
        <v>177850</v>
      </c>
      <c r="E31" s="10">
        <f>IF(B31&lt;=$E$7,$D$12*12*(1+$E$6)^(B31-1),0)</f>
        <v>7533</v>
      </c>
      <c r="F31" s="10">
        <f>D31*$E$5</f>
        <v>10671</v>
      </c>
      <c r="G31" s="10">
        <f>IF(B31&gt;=$F$12,IF(($I$12-$E$9-B31+2)&lt;=1,D31+F31,IF($E$5=0,D31/($I$12-$E$9-B31+2),D31*$E$5/(1-(1+$E$5)^(-($I$12-$E$9-B31+2))))),0)</f>
        <v>0</v>
      </c>
      <c r="H31" s="10">
        <f>D31+E31+F31-G31</f>
        <v>196055</v>
      </c>
      <c r="I31" s="10">
        <f>M30</f>
        <v>10551</v>
      </c>
      <c r="J31" s="10">
        <f>IF(B31&lt;=$E$7,$D$13*12*(1+$E$6)^(B31-1),0)</f>
        <v>2659</v>
      </c>
      <c r="K31" s="10">
        <f>I31*$E$5</f>
        <v>633</v>
      </c>
      <c r="L31" s="10">
        <f>IF(OR(AND(B31&lt;=$E$7,B31&gt;=$F$13,MOD(B31-$F$13,5)=0),B31=$E$8,B31=51),I31+J31+K31,0)</f>
        <v>13843</v>
      </c>
      <c r="M31" s="10">
        <f>I31+J31+K31-L31</f>
        <v>0</v>
      </c>
      <c r="N31" s="10">
        <f>R30</f>
        <v>79273</v>
      </c>
      <c r="O31" s="10">
        <f>IF(B31&lt;=$E$7,$D$14*12*(1+$E$6)^(B31-1),0)</f>
        <v>3798</v>
      </c>
      <c r="P31" s="10">
        <f>N31*$E$5</f>
        <v>4756</v>
      </c>
      <c r="Q31" s="10">
        <f>IF(OR(B31=$F$14,AND(B31&gt;$F$14,B31=$E$8),B31=51),N31+O31+P31,0)</f>
        <v>0</v>
      </c>
      <c r="R31" s="10">
        <f>N31+O31+P31-Q31</f>
        <v>87828</v>
      </c>
      <c r="S31" s="10">
        <f>L31+Q31</f>
        <v>13843</v>
      </c>
      <c r="T31" s="10">
        <f>G31</f>
        <v>0</v>
      </c>
    </row>
    <row r="32">
      <c r="B32" s="9">
        <v>14</v>
      </c>
      <c r="C32" s="9">
        <f>'Proyección'!B30</f>
        <v>2039</v>
      </c>
      <c r="D32" s="10">
        <f>H31</f>
        <v>196055</v>
      </c>
      <c r="E32" s="10">
        <f>IF(B32&lt;=$E$7,$D$12*12*(1+$E$6)^(B32-1),0)</f>
        <v>7827</v>
      </c>
      <c r="F32" s="10">
        <f>D32*$E$5</f>
        <v>11763</v>
      </c>
      <c r="G32" s="10">
        <f>IF(B32&gt;=$F$12,IF(($I$12-$E$9-B32+2)&lt;=1,D32+F32,IF($E$5=0,D32/($I$12-$E$9-B32+2),D32*$E$5/(1-(1+$E$5)^(-($I$12-$E$9-B32+2))))),0)</f>
        <v>0</v>
      </c>
      <c r="H32" s="10">
        <f>D32+E32+F32-G32</f>
        <v>215645</v>
      </c>
      <c r="I32" s="10">
        <f>M31</f>
        <v>0</v>
      </c>
      <c r="J32" s="10">
        <f>IF(B32&lt;=$E$7,$D$13*12*(1+$E$6)^(B32-1),0)</f>
        <v>2763</v>
      </c>
      <c r="K32" s="10">
        <f>I32*$E$5</f>
        <v>0</v>
      </c>
      <c r="L32" s="10">
        <f>IF(OR(AND(B32&lt;=$E$7,B32&gt;=$F$13,MOD(B32-$F$13,5)=0),B32=$E$8,B32=51),I32+J32+K32,0)</f>
        <v>0</v>
      </c>
      <c r="M32" s="10">
        <f>I32+J32+K32-L32</f>
        <v>2763</v>
      </c>
      <c r="N32" s="10">
        <f>R31</f>
        <v>87828</v>
      </c>
      <c r="O32" s="10">
        <f>IF(B32&lt;=$E$7,$D$14*12*(1+$E$6)^(B32-1),0)</f>
        <v>3947</v>
      </c>
      <c r="P32" s="10">
        <f>N32*$E$5</f>
        <v>5270</v>
      </c>
      <c r="Q32" s="10">
        <f>IF(OR(B32=$F$14,AND(B32&gt;$F$14,B32=$E$8),B32=51),N32+O32+P32,0)</f>
        <v>0</v>
      </c>
      <c r="R32" s="10">
        <f>N32+O32+P32-Q32</f>
        <v>97044</v>
      </c>
      <c r="S32" s="10">
        <f>L32+Q32</f>
        <v>0</v>
      </c>
      <c r="T32" s="10">
        <f>G32</f>
        <v>0</v>
      </c>
    </row>
    <row r="33">
      <c r="B33" s="9">
        <v>15</v>
      </c>
      <c r="C33" s="9">
        <f>'Proyección'!B31</f>
        <v>2040</v>
      </c>
      <c r="D33" s="10">
        <f>H32</f>
        <v>215645</v>
      </c>
      <c r="E33" s="10">
        <f>IF(B33&lt;=$E$7,$D$12*12*(1+$E$6)^(B33-1),0)</f>
        <v>8133</v>
      </c>
      <c r="F33" s="10">
        <f>D33*$E$5</f>
        <v>12939</v>
      </c>
      <c r="G33" s="10">
        <f>IF(B33&gt;=$F$12,IF(($I$12-$E$9-B33+2)&lt;=1,D33+F33,IF($E$5=0,D33/($I$12-$E$9-B33+2),D33*$E$5/(1-(1+$E$5)^(-($I$12-$E$9-B33+2))))),0)</f>
        <v>0</v>
      </c>
      <c r="H33" s="10">
        <f>D33+E33+F33-G33</f>
        <v>236717</v>
      </c>
      <c r="I33" s="10">
        <f>M32</f>
        <v>2763</v>
      </c>
      <c r="J33" s="10">
        <f>IF(B33&lt;=$E$7,$D$13*12*(1+$E$6)^(B33-1),0)</f>
        <v>2870</v>
      </c>
      <c r="K33" s="10">
        <f>I33*$E$5</f>
        <v>166</v>
      </c>
      <c r="L33" s="10">
        <f>IF(OR(AND(B33&lt;=$E$7,B33&gt;=$F$13,MOD(B33-$F$13,5)=0),B33=$E$8,B33=51),I33+J33+K33,0)</f>
        <v>0</v>
      </c>
      <c r="M33" s="10">
        <f>I33+J33+K33-L33</f>
        <v>5799</v>
      </c>
      <c r="N33" s="10">
        <f>R32</f>
        <v>97044</v>
      </c>
      <c r="O33" s="10">
        <f>IF(B33&lt;=$E$7,$D$14*12*(1+$E$6)^(B33-1),0)</f>
        <v>4100</v>
      </c>
      <c r="P33" s="10">
        <f>N33*$E$5</f>
        <v>5823</v>
      </c>
      <c r="Q33" s="10">
        <f>IF(OR(B33=$F$14,AND(B33&gt;$F$14,B33=$E$8),B33=51),N33+O33+P33,0)</f>
        <v>0</v>
      </c>
      <c r="R33" s="10">
        <f>N33+O33+P33-Q33</f>
        <v>106967</v>
      </c>
      <c r="S33" s="10">
        <f>L33+Q33</f>
        <v>0</v>
      </c>
      <c r="T33" s="10">
        <f>G33</f>
        <v>0</v>
      </c>
    </row>
    <row r="34">
      <c r="B34" s="9">
        <v>16</v>
      </c>
      <c r="C34" s="9">
        <f>'Proyección'!B32</f>
        <v>2041</v>
      </c>
      <c r="D34" s="10">
        <f>H33</f>
        <v>236717</v>
      </c>
      <c r="E34" s="10">
        <f>IF(B34&lt;=$E$7,$D$12*12*(1+$E$6)^(B34-1),0)</f>
        <v>0</v>
      </c>
      <c r="F34" s="10">
        <f>D34*$E$5</f>
        <v>14203</v>
      </c>
      <c r="G34" s="10">
        <f>IF(B34&gt;=$F$12,IF(($I$12-$E$9-B34+2)&lt;=1,D34+F34,IF($E$5=0,D34/($I$12-$E$9-B34+2),D34*$E$5/(1-(1+$E$5)^(-($I$12-$E$9-B34+2))))),0)</f>
        <v>0</v>
      </c>
      <c r="H34" s="10">
        <f>D34+E34+F34-G34</f>
        <v>250920</v>
      </c>
      <c r="I34" s="10">
        <f>M33</f>
        <v>5799</v>
      </c>
      <c r="J34" s="10">
        <f>IF(B34&lt;=$E$7,$D$13*12*(1+$E$6)^(B34-1),0)</f>
        <v>0</v>
      </c>
      <c r="K34" s="10">
        <f>I34*$E$5</f>
        <v>348</v>
      </c>
      <c r="L34" s="10">
        <f>IF(OR(AND(B34&lt;=$E$7,B34&gt;=$F$13,MOD(B34-$F$13,5)=0),B34=$E$8,B34=51),I34+J34+K34,0)</f>
        <v>6147</v>
      </c>
      <c r="M34" s="10">
        <f>I34+J34+K34-L34</f>
        <v>0</v>
      </c>
      <c r="N34" s="10">
        <f>R33</f>
        <v>106967</v>
      </c>
      <c r="O34" s="10">
        <f>IF(B34&lt;=$E$7,$D$14*12*(1+$E$6)^(B34-1),0)</f>
        <v>0</v>
      </c>
      <c r="P34" s="10">
        <f>N34*$E$5</f>
        <v>6418</v>
      </c>
      <c r="Q34" s="10">
        <f>IF(OR(B34=$F$14,AND(B34&gt;$F$14,B34=$E$8),B34=51),N34+O34+P34,0)</f>
        <v>113385</v>
      </c>
      <c r="R34" s="10">
        <f>N34+O34+P34-Q34</f>
        <v>0</v>
      </c>
      <c r="S34" s="10">
        <f>L34+Q34</f>
        <v>119532</v>
      </c>
      <c r="T34" s="10">
        <f>G34</f>
        <v>0</v>
      </c>
    </row>
    <row r="35">
      <c r="B35" s="9">
        <v>17</v>
      </c>
      <c r="C35" s="9">
        <f>'Proyección'!B33</f>
        <v>2042</v>
      </c>
      <c r="D35" s="10">
        <f>H34</f>
        <v>250920</v>
      </c>
      <c r="E35" s="10">
        <f>IF(B35&lt;=$E$7,$D$12*12*(1+$E$6)^(B35-1),0)</f>
        <v>0</v>
      </c>
      <c r="F35" s="10">
        <f>D35*$E$5</f>
        <v>15055</v>
      </c>
      <c r="G35" s="10">
        <f>IF(B35&gt;=$F$12,IF(($I$12-$E$9-B35+2)&lt;=1,D35+F35,IF($E$5=0,D35/($I$12-$E$9-B35+2),D35*$E$5/(1-(1+$E$5)^(-($I$12-$E$9-B35+2))))),0)</f>
        <v>0</v>
      </c>
      <c r="H35" s="10">
        <f>D35+E35+F35-G35</f>
        <v>265975</v>
      </c>
      <c r="I35" s="10">
        <f>M34</f>
        <v>0</v>
      </c>
      <c r="J35" s="10">
        <f>IF(B35&lt;=$E$7,$D$13*12*(1+$E$6)^(B35-1),0)</f>
        <v>0</v>
      </c>
      <c r="K35" s="10">
        <f>I35*$E$5</f>
        <v>0</v>
      </c>
      <c r="L35" s="10">
        <f>IF(OR(AND(B35&lt;=$E$7,B35&gt;=$F$13,MOD(B35-$F$13,5)=0),B35=$E$8,B35=51),I35+J35+K35,0)</f>
        <v>0</v>
      </c>
      <c r="M35" s="10">
        <f>I35+J35+K35-L35</f>
        <v>0</v>
      </c>
      <c r="N35" s="10">
        <f>R34</f>
        <v>0</v>
      </c>
      <c r="O35" s="10">
        <f>IF(B35&lt;=$E$7,$D$14*12*(1+$E$6)^(B35-1),0)</f>
        <v>0</v>
      </c>
      <c r="P35" s="10">
        <f>N35*$E$5</f>
        <v>0</v>
      </c>
      <c r="Q35" s="10">
        <f>IF(OR(B35=$F$14,AND(B35&gt;$F$14,B35=$E$8),B35=51),N35+O35+P35,0)</f>
        <v>0</v>
      </c>
      <c r="R35" s="10">
        <f>N35+O35+P35-Q35</f>
        <v>0</v>
      </c>
      <c r="S35" s="10">
        <f>L35+Q35</f>
        <v>0</v>
      </c>
      <c r="T35" s="10">
        <f>G35</f>
        <v>0</v>
      </c>
    </row>
    <row r="36">
      <c r="B36" s="9">
        <v>18</v>
      </c>
      <c r="C36" s="9">
        <f>'Proyección'!B34</f>
        <v>2043</v>
      </c>
      <c r="D36" s="10">
        <f>H35</f>
        <v>265975</v>
      </c>
      <c r="E36" s="10">
        <f>IF(B36&lt;=$E$7,$D$12*12*(1+$E$6)^(B36-1),0)</f>
        <v>0</v>
      </c>
      <c r="F36" s="10">
        <f>D36*$E$5</f>
        <v>15958</v>
      </c>
      <c r="G36" s="10">
        <f>IF(B36&gt;=$F$12,IF(($I$12-$E$9-B36+2)&lt;=1,D36+F36,IF($E$5=0,D36/($I$12-$E$9-B36+2),D36*$E$5/(1-(1+$E$5)^(-($I$12-$E$9-B36+2))))),0)</f>
        <v>0</v>
      </c>
      <c r="H36" s="10">
        <f>D36+E36+F36-G36</f>
        <v>281933</v>
      </c>
      <c r="I36" s="10">
        <f>M35</f>
        <v>0</v>
      </c>
      <c r="J36" s="10">
        <f>IF(B36&lt;=$E$7,$D$13*12*(1+$E$6)^(B36-1),0)</f>
        <v>0</v>
      </c>
      <c r="K36" s="10">
        <f>I36*$E$5</f>
        <v>0</v>
      </c>
      <c r="L36" s="10">
        <f>IF(OR(AND(B36&lt;=$E$7,B36&gt;=$F$13,MOD(B36-$F$13,5)=0),B36=$E$8,B36=51),I36+J36+K36,0)</f>
        <v>0</v>
      </c>
      <c r="M36" s="10">
        <f>I36+J36+K36-L36</f>
        <v>0</v>
      </c>
      <c r="N36" s="10">
        <f>R35</f>
        <v>0</v>
      </c>
      <c r="O36" s="10">
        <f>IF(B36&lt;=$E$7,$D$14*12*(1+$E$6)^(B36-1),0)</f>
        <v>0</v>
      </c>
      <c r="P36" s="10">
        <f>N36*$E$5</f>
        <v>0</v>
      </c>
      <c r="Q36" s="10">
        <f>IF(OR(B36=$F$14,AND(B36&gt;$F$14,B36=$E$8),B36=51),N36+O36+P36,0)</f>
        <v>0</v>
      </c>
      <c r="R36" s="10">
        <f>N36+O36+P36-Q36</f>
        <v>0</v>
      </c>
      <c r="S36" s="10">
        <f>L36+Q36</f>
        <v>0</v>
      </c>
      <c r="T36" s="10">
        <f>G36</f>
        <v>0</v>
      </c>
    </row>
    <row r="37">
      <c r="B37" s="9">
        <v>19</v>
      </c>
      <c r="C37" s="9">
        <f>'Proyección'!B35</f>
        <v>2044</v>
      </c>
      <c r="D37" s="10">
        <f>H36</f>
        <v>281933</v>
      </c>
      <c r="E37" s="10">
        <f>IF(B37&lt;=$E$7,$D$12*12*(1+$E$6)^(B37-1),0)</f>
        <v>0</v>
      </c>
      <c r="F37" s="10">
        <f>D37*$E$5</f>
        <v>16916</v>
      </c>
      <c r="G37" s="10">
        <f>IF(B37&gt;=$F$12,IF(($I$12-$E$9-B37+2)&lt;=1,D37+F37,IF($E$5=0,D37/($I$12-$E$9-B37+2),D37*$E$5/(1-(1+$E$5)^(-($I$12-$E$9-B37+2))))),0)</f>
        <v>0</v>
      </c>
      <c r="H37" s="10">
        <f>D37+E37+F37-G37</f>
        <v>298849</v>
      </c>
      <c r="I37" s="10">
        <f>M36</f>
        <v>0</v>
      </c>
      <c r="J37" s="10">
        <f>IF(B37&lt;=$E$7,$D$13*12*(1+$E$6)^(B37-1),0)</f>
        <v>0</v>
      </c>
      <c r="K37" s="10">
        <f>I37*$E$5</f>
        <v>0</v>
      </c>
      <c r="L37" s="10">
        <f>IF(OR(AND(B37&lt;=$E$7,B37&gt;=$F$13,MOD(B37-$F$13,5)=0),B37=$E$8,B37=51),I37+J37+K37,0)</f>
        <v>0</v>
      </c>
      <c r="M37" s="10">
        <f>I37+J37+K37-L37</f>
        <v>0</v>
      </c>
      <c r="N37" s="10">
        <f>R36</f>
        <v>0</v>
      </c>
      <c r="O37" s="10">
        <f>IF(B37&lt;=$E$7,$D$14*12*(1+$E$6)^(B37-1),0)</f>
        <v>0</v>
      </c>
      <c r="P37" s="10">
        <f>N37*$E$5</f>
        <v>0</v>
      </c>
      <c r="Q37" s="10">
        <f>IF(OR(B37=$F$14,AND(B37&gt;$F$14,B37=$E$8),B37=51),N37+O37+P37,0)</f>
        <v>0</v>
      </c>
      <c r="R37" s="10">
        <f>N37+O37+P37-Q37</f>
        <v>0</v>
      </c>
      <c r="S37" s="10">
        <f>L37+Q37</f>
        <v>0</v>
      </c>
      <c r="T37" s="10">
        <f>G37</f>
        <v>0</v>
      </c>
    </row>
    <row r="38">
      <c r="B38" s="9">
        <v>20</v>
      </c>
      <c r="C38" s="9">
        <f>'Proyección'!B36</f>
        <v>2045</v>
      </c>
      <c r="D38" s="10">
        <f>H37</f>
        <v>298849</v>
      </c>
      <c r="E38" s="10">
        <f>IF(B38&lt;=$E$7,$D$12*12*(1+$E$6)^(B38-1),0)</f>
        <v>0</v>
      </c>
      <c r="F38" s="10">
        <f>D38*$E$5</f>
        <v>17931</v>
      </c>
      <c r="G38" s="10">
        <f>IF(B38&gt;=$F$12,IF(($I$12-$E$9-B38+2)&lt;=1,D38+F38,IF($E$5=0,D38/($I$12-$E$9-B38+2),D38*$E$5/(1-(1+$E$5)^(-($I$12-$E$9-B38+2))))),0)</f>
        <v>0</v>
      </c>
      <c r="H38" s="10">
        <f>D38+E38+F38-G38</f>
        <v>316780</v>
      </c>
      <c r="I38" s="10">
        <f>M37</f>
        <v>0</v>
      </c>
      <c r="J38" s="10">
        <f>IF(B38&lt;=$E$7,$D$13*12*(1+$E$6)^(B38-1),0)</f>
        <v>0</v>
      </c>
      <c r="K38" s="10">
        <f>I38*$E$5</f>
        <v>0</v>
      </c>
      <c r="L38" s="10">
        <f>IF(OR(AND(B38&lt;=$E$7,B38&gt;=$F$13,MOD(B38-$F$13,5)=0),B38=$E$8,B38=51),I38+J38+K38,0)</f>
        <v>0</v>
      </c>
      <c r="M38" s="10">
        <f>I38+J38+K38-L38</f>
        <v>0</v>
      </c>
      <c r="N38" s="10">
        <f>R37</f>
        <v>0</v>
      </c>
      <c r="O38" s="10">
        <f>IF(B38&lt;=$E$7,$D$14*12*(1+$E$6)^(B38-1),0)</f>
        <v>0</v>
      </c>
      <c r="P38" s="10">
        <f>N38*$E$5</f>
        <v>0</v>
      </c>
      <c r="Q38" s="10">
        <f>IF(OR(B38=$F$14,AND(B38&gt;$F$14,B38=$E$8),B38=51),N38+O38+P38,0)</f>
        <v>0</v>
      </c>
      <c r="R38" s="10">
        <f>N38+O38+P38-Q38</f>
        <v>0</v>
      </c>
      <c r="S38" s="10">
        <f>L38+Q38</f>
        <v>0</v>
      </c>
      <c r="T38" s="10">
        <f>G38</f>
        <v>0</v>
      </c>
    </row>
    <row r="39">
      <c r="B39" s="9">
        <v>21</v>
      </c>
      <c r="C39" s="9">
        <f>'Proyección'!B37</f>
        <v>2046</v>
      </c>
      <c r="D39" s="10">
        <f>H38</f>
        <v>316780</v>
      </c>
      <c r="E39" s="10">
        <f>IF(B39&lt;=$E$7,$D$12*12*(1+$E$6)^(B39-1),0)</f>
        <v>0</v>
      </c>
      <c r="F39" s="10">
        <f>D39*$E$5</f>
        <v>19007</v>
      </c>
      <c r="G39" s="10">
        <f>IF(B39&gt;=$F$12,IF(($I$12-$E$9-B39+2)&lt;=1,D39+F39,IF($E$5=0,D39/($I$12-$E$9-B39+2),D39*$E$5/(1-(1+$E$5)^(-($I$12-$E$9-B39+2))))),0)</f>
        <v>25747</v>
      </c>
      <c r="H39" s="10">
        <f>D39+E39+F39-G39</f>
        <v>310040</v>
      </c>
      <c r="I39" s="10">
        <f>M38</f>
        <v>0</v>
      </c>
      <c r="J39" s="10">
        <f>IF(B39&lt;=$E$7,$D$13*12*(1+$E$6)^(B39-1),0)</f>
        <v>0</v>
      </c>
      <c r="K39" s="10">
        <f>I39*$E$5</f>
        <v>0</v>
      </c>
      <c r="L39" s="10">
        <f>IF(OR(AND(B39&lt;=$E$7,B39&gt;=$F$13,MOD(B39-$F$13,5)=0),B39=$E$8,B39=51),I39+J39+K39,0)</f>
        <v>0</v>
      </c>
      <c r="M39" s="10">
        <f>I39+J39+K39-L39</f>
        <v>0</v>
      </c>
      <c r="N39" s="10">
        <f>R38</f>
        <v>0</v>
      </c>
      <c r="O39" s="10">
        <f>IF(B39&lt;=$E$7,$D$14*12*(1+$E$6)^(B39-1),0)</f>
        <v>0</v>
      </c>
      <c r="P39" s="10">
        <f>N39*$E$5</f>
        <v>0</v>
      </c>
      <c r="Q39" s="10">
        <f>IF(OR(B39=$F$14,AND(B39&gt;$F$14,B39=$E$8),B39=51),N39+O39+P39,0)</f>
        <v>0</v>
      </c>
      <c r="R39" s="10">
        <f>N39+O39+P39-Q39</f>
        <v>0</v>
      </c>
      <c r="S39" s="10">
        <f>L39+Q39</f>
        <v>0</v>
      </c>
      <c r="T39" s="10">
        <f>G39</f>
        <v>25747</v>
      </c>
    </row>
    <row r="40">
      <c r="B40" s="9">
        <v>22</v>
      </c>
      <c r="C40" s="9">
        <f>'Proyección'!B38</f>
        <v>2047</v>
      </c>
      <c r="D40" s="10">
        <f>H39</f>
        <v>310040</v>
      </c>
      <c r="E40" s="10">
        <f>IF(B40&lt;=$E$7,$D$12*12*(1+$E$6)^(B40-1),0)</f>
        <v>0</v>
      </c>
      <c r="F40" s="10">
        <f>D40*$E$5</f>
        <v>18602</v>
      </c>
      <c r="G40" s="10">
        <f>IF(B40&gt;=$F$12,IF(($I$12-$E$9-B40+2)&lt;=1,D40+F40,IF($E$5=0,D40/($I$12-$E$9-B40+2),D40*$E$5/(1-(1+$E$5)^(-($I$12-$E$9-B40+2))))),0)</f>
        <v>25747</v>
      </c>
      <c r="H40" s="10">
        <f>D40+E40+F40-G40</f>
        <v>302895</v>
      </c>
      <c r="I40" s="10">
        <f>M39</f>
        <v>0</v>
      </c>
      <c r="J40" s="10">
        <f>IF(B40&lt;=$E$7,$D$13*12*(1+$E$6)^(B40-1),0)</f>
        <v>0</v>
      </c>
      <c r="K40" s="10">
        <f>I40*$E$5</f>
        <v>0</v>
      </c>
      <c r="L40" s="10">
        <f>IF(OR(AND(B40&lt;=$E$7,B40&gt;=$F$13,MOD(B40-$F$13,5)=0),B40=$E$8,B40=51),I40+J40+K40,0)</f>
        <v>0</v>
      </c>
      <c r="M40" s="10">
        <f>I40+J40+K40-L40</f>
        <v>0</v>
      </c>
      <c r="N40" s="10">
        <f>R39</f>
        <v>0</v>
      </c>
      <c r="O40" s="10">
        <f>IF(B40&lt;=$E$7,$D$14*12*(1+$E$6)^(B40-1),0)</f>
        <v>0</v>
      </c>
      <c r="P40" s="10">
        <f>N40*$E$5</f>
        <v>0</v>
      </c>
      <c r="Q40" s="10">
        <f>IF(OR(B40=$F$14,AND(B40&gt;$F$14,B40=$E$8),B40=51),N40+O40+P40,0)</f>
        <v>0</v>
      </c>
      <c r="R40" s="10">
        <f>N40+O40+P40-Q40</f>
        <v>0</v>
      </c>
      <c r="S40" s="10">
        <f>L40+Q40</f>
        <v>0</v>
      </c>
      <c r="T40" s="10">
        <f>G40</f>
        <v>25747</v>
      </c>
    </row>
    <row r="41">
      <c r="B41" s="9">
        <v>23</v>
      </c>
      <c r="C41" s="9">
        <f>'Proyección'!B39</f>
        <v>2048</v>
      </c>
      <c r="D41" s="10">
        <f>H40</f>
        <v>302895</v>
      </c>
      <c r="E41" s="10">
        <f>IF(B41&lt;=$E$7,$D$12*12*(1+$E$6)^(B41-1),0)</f>
        <v>0</v>
      </c>
      <c r="F41" s="10">
        <f>D41*$E$5</f>
        <v>18174</v>
      </c>
      <c r="G41" s="10">
        <f>IF(B41&gt;=$F$12,IF(($I$12-$E$9-B41+2)&lt;=1,D41+F41,IF($E$5=0,D41/($I$12-$E$9-B41+2),D41*$E$5/(1-(1+$E$5)^(-($I$12-$E$9-B41+2))))),0)</f>
        <v>25747</v>
      </c>
      <c r="H41" s="10">
        <f>D41+E41+F41-G41</f>
        <v>295321</v>
      </c>
      <c r="I41" s="10">
        <f>M40</f>
        <v>0</v>
      </c>
      <c r="J41" s="10">
        <f>IF(B41&lt;=$E$7,$D$13*12*(1+$E$6)^(B41-1),0)</f>
        <v>0</v>
      </c>
      <c r="K41" s="10">
        <f>I41*$E$5</f>
        <v>0</v>
      </c>
      <c r="L41" s="10">
        <f>IF(OR(AND(B41&lt;=$E$7,B41&gt;=$F$13,MOD(B41-$F$13,5)=0),B41=$E$8,B41=51),I41+J41+K41,0)</f>
        <v>0</v>
      </c>
      <c r="M41" s="10">
        <f>I41+J41+K41-L41</f>
        <v>0</v>
      </c>
      <c r="N41" s="10">
        <f>R40</f>
        <v>0</v>
      </c>
      <c r="O41" s="10">
        <f>IF(B41&lt;=$E$7,$D$14*12*(1+$E$6)^(B41-1),0)</f>
        <v>0</v>
      </c>
      <c r="P41" s="10">
        <f>N41*$E$5</f>
        <v>0</v>
      </c>
      <c r="Q41" s="10">
        <f>IF(OR(B41=$F$14,AND(B41&gt;$F$14,B41=$E$8),B41=51),N41+O41+P41,0)</f>
        <v>0</v>
      </c>
      <c r="R41" s="10">
        <f>N41+O41+P41-Q41</f>
        <v>0</v>
      </c>
      <c r="S41" s="10">
        <f>L41+Q41</f>
        <v>0</v>
      </c>
      <c r="T41" s="10">
        <f>G41</f>
        <v>25747</v>
      </c>
    </row>
    <row r="42">
      <c r="B42" s="9">
        <v>24</v>
      </c>
      <c r="C42" s="9">
        <f>'Proyección'!B40</f>
        <v>2049</v>
      </c>
      <c r="D42" s="10">
        <f>H41</f>
        <v>295321</v>
      </c>
      <c r="E42" s="10">
        <f>IF(B42&lt;=$E$7,$D$12*12*(1+$E$6)^(B42-1),0)</f>
        <v>0</v>
      </c>
      <c r="F42" s="10">
        <f>D42*$E$5</f>
        <v>17719</v>
      </c>
      <c r="G42" s="10">
        <f>IF(B42&gt;=$F$12,IF(($I$12-$E$9-B42+2)&lt;=1,D42+F42,IF($E$5=0,D42/($I$12-$E$9-B42+2),D42*$E$5/(1-(1+$E$5)^(-($I$12-$E$9-B42+2))))),0)</f>
        <v>25747</v>
      </c>
      <c r="H42" s="10">
        <f>D42+E42+F42-G42</f>
        <v>287293</v>
      </c>
      <c r="I42" s="10">
        <f>M41</f>
        <v>0</v>
      </c>
      <c r="J42" s="10">
        <f>IF(B42&lt;=$E$7,$D$13*12*(1+$E$6)^(B42-1),0)</f>
        <v>0</v>
      </c>
      <c r="K42" s="10">
        <f>I42*$E$5</f>
        <v>0</v>
      </c>
      <c r="L42" s="10">
        <f>IF(OR(AND(B42&lt;=$E$7,B42&gt;=$F$13,MOD(B42-$F$13,5)=0),B42=$E$8,B42=51),I42+J42+K42,0)</f>
        <v>0</v>
      </c>
      <c r="M42" s="10">
        <f>I42+J42+K42-L42</f>
        <v>0</v>
      </c>
      <c r="N42" s="10">
        <f>R41</f>
        <v>0</v>
      </c>
      <c r="O42" s="10">
        <f>IF(B42&lt;=$E$7,$D$14*12*(1+$E$6)^(B42-1),0)</f>
        <v>0</v>
      </c>
      <c r="P42" s="10">
        <f>N42*$E$5</f>
        <v>0</v>
      </c>
      <c r="Q42" s="10">
        <f>IF(OR(B42=$F$14,AND(B42&gt;$F$14,B42=$E$8),B42=51),N42+O42+P42,0)</f>
        <v>0</v>
      </c>
      <c r="R42" s="10">
        <f>N42+O42+P42-Q42</f>
        <v>0</v>
      </c>
      <c r="S42" s="10">
        <f>L42+Q42</f>
        <v>0</v>
      </c>
      <c r="T42" s="10">
        <f>G42</f>
        <v>25747</v>
      </c>
    </row>
    <row r="43">
      <c r="B43" s="9">
        <v>25</v>
      </c>
      <c r="C43" s="9">
        <f>'Proyección'!B41</f>
        <v>2050</v>
      </c>
      <c r="D43" s="10">
        <f>H42</f>
        <v>287293</v>
      </c>
      <c r="E43" s="10">
        <f>IF(B43&lt;=$E$7,$D$12*12*(1+$E$6)^(B43-1),0)</f>
        <v>0</v>
      </c>
      <c r="F43" s="10">
        <f>D43*$E$5</f>
        <v>17238</v>
      </c>
      <c r="G43" s="10">
        <f>IF(B43&gt;=$F$12,IF(($I$12-$E$9-B43+2)&lt;=1,D43+F43,IF($E$5=0,D43/($I$12-$E$9-B43+2),D43*$E$5/(1-(1+$E$5)^(-($I$12-$E$9-B43+2))))),0)</f>
        <v>25747</v>
      </c>
      <c r="H43" s="10">
        <f>D43+E43+F43-G43</f>
        <v>278783</v>
      </c>
      <c r="I43" s="10">
        <f>M42</f>
        <v>0</v>
      </c>
      <c r="J43" s="10">
        <f>IF(B43&lt;=$E$7,$D$13*12*(1+$E$6)^(B43-1),0)</f>
        <v>0</v>
      </c>
      <c r="K43" s="10">
        <f>I43*$E$5</f>
        <v>0</v>
      </c>
      <c r="L43" s="10">
        <f>IF(OR(AND(B43&lt;=$E$7,B43&gt;=$F$13,MOD(B43-$F$13,5)=0),B43=$E$8,B43=51),I43+J43+K43,0)</f>
        <v>0</v>
      </c>
      <c r="M43" s="10">
        <f>I43+J43+K43-L43</f>
        <v>0</v>
      </c>
      <c r="N43" s="10">
        <f>R42</f>
        <v>0</v>
      </c>
      <c r="O43" s="10">
        <f>IF(B43&lt;=$E$7,$D$14*12*(1+$E$6)^(B43-1),0)</f>
        <v>0</v>
      </c>
      <c r="P43" s="10">
        <f>N43*$E$5</f>
        <v>0</v>
      </c>
      <c r="Q43" s="10">
        <f>IF(OR(B43=$F$14,AND(B43&gt;$F$14,B43=$E$8),B43=51),N43+O43+P43,0)</f>
        <v>0</v>
      </c>
      <c r="R43" s="10">
        <f>N43+O43+P43-Q43</f>
        <v>0</v>
      </c>
      <c r="S43" s="10">
        <f>L43+Q43</f>
        <v>0</v>
      </c>
      <c r="T43" s="10">
        <f>G43</f>
        <v>25747</v>
      </c>
    </row>
    <row r="44">
      <c r="B44" s="9">
        <v>26</v>
      </c>
      <c r="C44" s="9">
        <f>'Proyección'!B42</f>
        <v>2051</v>
      </c>
      <c r="D44" s="10">
        <f>H43</f>
        <v>278783</v>
      </c>
      <c r="E44" s="10">
        <f>IF(B44&lt;=$E$7,$D$12*12*(1+$E$6)^(B44-1),0)</f>
        <v>0</v>
      </c>
      <c r="F44" s="10">
        <f>D44*$E$5</f>
        <v>16727</v>
      </c>
      <c r="G44" s="10">
        <f>IF(B44&gt;=$F$12,IF(($I$12-$E$9-B44+2)&lt;=1,D44+F44,IF($E$5=0,D44/($I$12-$E$9-B44+2),D44*$E$5/(1-(1+$E$5)^(-($I$12-$E$9-B44+2))))),0)</f>
        <v>25747</v>
      </c>
      <c r="H44" s="10">
        <f>D44+E44+F44-G44</f>
        <v>269762</v>
      </c>
      <c r="I44" s="10">
        <f>M43</f>
        <v>0</v>
      </c>
      <c r="J44" s="10">
        <f>IF(B44&lt;=$E$7,$D$13*12*(1+$E$6)^(B44-1),0)</f>
        <v>0</v>
      </c>
      <c r="K44" s="10">
        <f>I44*$E$5</f>
        <v>0</v>
      </c>
      <c r="L44" s="10">
        <f>IF(OR(AND(B44&lt;=$E$7,B44&gt;=$F$13,MOD(B44-$F$13,5)=0),B44=$E$8,B44=51),I44+J44+K44,0)</f>
        <v>0</v>
      </c>
      <c r="M44" s="10">
        <f>I44+J44+K44-L44</f>
        <v>0</v>
      </c>
      <c r="N44" s="10">
        <f>R43</f>
        <v>0</v>
      </c>
      <c r="O44" s="10">
        <f>IF(B44&lt;=$E$7,$D$14*12*(1+$E$6)^(B44-1),0)</f>
        <v>0</v>
      </c>
      <c r="P44" s="10">
        <f>N44*$E$5</f>
        <v>0</v>
      </c>
      <c r="Q44" s="10">
        <f>IF(OR(B44=$F$14,AND(B44&gt;$F$14,B44=$E$8),B44=51),N44+O44+P44,0)</f>
        <v>0</v>
      </c>
      <c r="R44" s="10">
        <f>N44+O44+P44-Q44</f>
        <v>0</v>
      </c>
      <c r="S44" s="10">
        <f>L44+Q44</f>
        <v>0</v>
      </c>
      <c r="T44" s="10">
        <f>G44</f>
        <v>25747</v>
      </c>
    </row>
    <row r="45">
      <c r="B45" s="9">
        <v>27</v>
      </c>
      <c r="C45" s="9">
        <f>'Proyección'!B43</f>
        <v>2052</v>
      </c>
      <c r="D45" s="10">
        <f>H44</f>
        <v>269762</v>
      </c>
      <c r="E45" s="10">
        <f>IF(B45&lt;=$E$7,$D$12*12*(1+$E$6)^(B45-1),0)</f>
        <v>0</v>
      </c>
      <c r="F45" s="10">
        <f>D45*$E$5</f>
        <v>16186</v>
      </c>
      <c r="G45" s="10">
        <f>IF(B45&gt;=$F$12,IF(($I$12-$E$9-B45+2)&lt;=1,D45+F45,IF($E$5=0,D45/($I$12-$E$9-B45+2),D45*$E$5/(1-(1+$E$5)^(-($I$12-$E$9-B45+2))))),0)</f>
        <v>25747</v>
      </c>
      <c r="H45" s="10">
        <f>D45+E45+F45-G45</f>
        <v>260201</v>
      </c>
      <c r="I45" s="10">
        <f>M44</f>
        <v>0</v>
      </c>
      <c r="J45" s="10">
        <f>IF(B45&lt;=$E$7,$D$13*12*(1+$E$6)^(B45-1),0)</f>
        <v>0</v>
      </c>
      <c r="K45" s="10">
        <f>I45*$E$5</f>
        <v>0</v>
      </c>
      <c r="L45" s="10">
        <f>IF(OR(AND(B45&lt;=$E$7,B45&gt;=$F$13,MOD(B45-$F$13,5)=0),B45=$E$8,B45=51),I45+J45+K45,0)</f>
        <v>0</v>
      </c>
      <c r="M45" s="10">
        <f>I45+J45+K45-L45</f>
        <v>0</v>
      </c>
      <c r="N45" s="10">
        <f>R44</f>
        <v>0</v>
      </c>
      <c r="O45" s="10">
        <f>IF(B45&lt;=$E$7,$D$14*12*(1+$E$6)^(B45-1),0)</f>
        <v>0</v>
      </c>
      <c r="P45" s="10">
        <f>N45*$E$5</f>
        <v>0</v>
      </c>
      <c r="Q45" s="10">
        <f>IF(OR(B45=$F$14,AND(B45&gt;$F$14,B45=$E$8),B45=51),N45+O45+P45,0)</f>
        <v>0</v>
      </c>
      <c r="R45" s="10">
        <f>N45+O45+P45-Q45</f>
        <v>0</v>
      </c>
      <c r="S45" s="10">
        <f>L45+Q45</f>
        <v>0</v>
      </c>
      <c r="T45" s="10">
        <f>G45</f>
        <v>25747</v>
      </c>
    </row>
    <row r="46">
      <c r="B46" s="9">
        <v>28</v>
      </c>
      <c r="C46" s="9">
        <f>'Proyección'!B44</f>
        <v>2053</v>
      </c>
      <c r="D46" s="10">
        <f>H45</f>
        <v>260201</v>
      </c>
      <c r="E46" s="10">
        <f>IF(B46&lt;=$E$7,$D$12*12*(1+$E$6)^(B46-1),0)</f>
        <v>0</v>
      </c>
      <c r="F46" s="10">
        <f>D46*$E$5</f>
        <v>15612</v>
      </c>
      <c r="G46" s="10">
        <f>IF(B46&gt;=$F$12,IF(($I$12-$E$9-B46+2)&lt;=1,D46+F46,IF($E$5=0,D46/($I$12-$E$9-B46+2),D46*$E$5/(1-(1+$E$5)^(-($I$12-$E$9-B46+2))))),0)</f>
        <v>25747</v>
      </c>
      <c r="H46" s="10">
        <f>D46+E46+F46-G46</f>
        <v>250065</v>
      </c>
      <c r="I46" s="10">
        <f>M45</f>
        <v>0</v>
      </c>
      <c r="J46" s="10">
        <f>IF(B46&lt;=$E$7,$D$13*12*(1+$E$6)^(B46-1),0)</f>
        <v>0</v>
      </c>
      <c r="K46" s="10">
        <f>I46*$E$5</f>
        <v>0</v>
      </c>
      <c r="L46" s="10">
        <f>IF(OR(AND(B46&lt;=$E$7,B46&gt;=$F$13,MOD(B46-$F$13,5)=0),B46=$E$8,B46=51),I46+J46+K46,0)</f>
        <v>0</v>
      </c>
      <c r="M46" s="10">
        <f>I46+J46+K46-L46</f>
        <v>0</v>
      </c>
      <c r="N46" s="10">
        <f>R45</f>
        <v>0</v>
      </c>
      <c r="O46" s="10">
        <f>IF(B46&lt;=$E$7,$D$14*12*(1+$E$6)^(B46-1),0)</f>
        <v>0</v>
      </c>
      <c r="P46" s="10">
        <f>N46*$E$5</f>
        <v>0</v>
      </c>
      <c r="Q46" s="10">
        <f>IF(OR(B46=$F$14,AND(B46&gt;$F$14,B46=$E$8),B46=51),N46+O46+P46,0)</f>
        <v>0</v>
      </c>
      <c r="R46" s="10">
        <f>N46+O46+P46-Q46</f>
        <v>0</v>
      </c>
      <c r="S46" s="10">
        <f>L46+Q46</f>
        <v>0</v>
      </c>
      <c r="T46" s="10">
        <f>G46</f>
        <v>25747</v>
      </c>
    </row>
    <row r="47">
      <c r="B47" s="9">
        <v>29</v>
      </c>
      <c r="C47" s="9">
        <f>'Proyección'!B45</f>
        <v>2054</v>
      </c>
      <c r="D47" s="10">
        <f>H46</f>
        <v>250065</v>
      </c>
      <c r="E47" s="10">
        <f>IF(B47&lt;=$E$7,$D$12*12*(1+$E$6)^(B47-1),0)</f>
        <v>0</v>
      </c>
      <c r="F47" s="10">
        <f>D47*$E$5</f>
        <v>15004</v>
      </c>
      <c r="G47" s="10">
        <f>IF(B47&gt;=$F$12,IF(($I$12-$E$9-B47+2)&lt;=1,D47+F47,IF($E$5=0,D47/($I$12-$E$9-B47+2),D47*$E$5/(1-(1+$E$5)^(-($I$12-$E$9-B47+2))))),0)</f>
        <v>25747</v>
      </c>
      <c r="H47" s="10">
        <f>D47+E47+F47-G47</f>
        <v>239322</v>
      </c>
      <c r="I47" s="10">
        <f>M46</f>
        <v>0</v>
      </c>
      <c r="J47" s="10">
        <f>IF(B47&lt;=$E$7,$D$13*12*(1+$E$6)^(B47-1),0)</f>
        <v>0</v>
      </c>
      <c r="K47" s="10">
        <f>I47*$E$5</f>
        <v>0</v>
      </c>
      <c r="L47" s="10">
        <f>IF(OR(AND(B47&lt;=$E$7,B47&gt;=$F$13,MOD(B47-$F$13,5)=0),B47=$E$8,B47=51),I47+J47+K47,0)</f>
        <v>0</v>
      </c>
      <c r="M47" s="10">
        <f>I47+J47+K47-L47</f>
        <v>0</v>
      </c>
      <c r="N47" s="10">
        <f>R46</f>
        <v>0</v>
      </c>
      <c r="O47" s="10">
        <f>IF(B47&lt;=$E$7,$D$14*12*(1+$E$6)^(B47-1),0)</f>
        <v>0</v>
      </c>
      <c r="P47" s="10">
        <f>N47*$E$5</f>
        <v>0</v>
      </c>
      <c r="Q47" s="10">
        <f>IF(OR(B47=$F$14,AND(B47&gt;$F$14,B47=$E$8),B47=51),N47+O47+P47,0)</f>
        <v>0</v>
      </c>
      <c r="R47" s="10">
        <f>N47+O47+P47-Q47</f>
        <v>0</v>
      </c>
      <c r="S47" s="10">
        <f>L47+Q47</f>
        <v>0</v>
      </c>
      <c r="T47" s="10">
        <f>G47</f>
        <v>25747</v>
      </c>
    </row>
    <row r="48">
      <c r="B48" s="9">
        <v>30</v>
      </c>
      <c r="C48" s="9">
        <f>'Proyección'!B46</f>
        <v>2055</v>
      </c>
      <c r="D48" s="10">
        <f>H47</f>
        <v>239322</v>
      </c>
      <c r="E48" s="10">
        <f>IF(B48&lt;=$E$7,$D$12*12*(1+$E$6)^(B48-1),0)</f>
        <v>0</v>
      </c>
      <c r="F48" s="10">
        <f>D48*$E$5</f>
        <v>14359</v>
      </c>
      <c r="G48" s="10">
        <f>IF(B48&gt;=$F$12,IF(($I$12-$E$9-B48+2)&lt;=1,D48+F48,IF($E$5=0,D48/($I$12-$E$9-B48+2),D48*$E$5/(1-(1+$E$5)^(-($I$12-$E$9-B48+2))))),0)</f>
        <v>25747</v>
      </c>
      <c r="H48" s="10">
        <f>D48+E48+F48-G48</f>
        <v>227934</v>
      </c>
      <c r="I48" s="10">
        <f>M47</f>
        <v>0</v>
      </c>
      <c r="J48" s="10">
        <f>IF(B48&lt;=$E$7,$D$13*12*(1+$E$6)^(B48-1),0)</f>
        <v>0</v>
      </c>
      <c r="K48" s="10">
        <f>I48*$E$5</f>
        <v>0</v>
      </c>
      <c r="L48" s="10">
        <f>IF(OR(AND(B48&lt;=$E$7,B48&gt;=$F$13,MOD(B48-$F$13,5)=0),B48=$E$8,B48=51),I48+J48+K48,0)</f>
        <v>0</v>
      </c>
      <c r="M48" s="10">
        <f>I48+J48+K48-L48</f>
        <v>0</v>
      </c>
      <c r="N48" s="10">
        <f>R47</f>
        <v>0</v>
      </c>
      <c r="O48" s="10">
        <f>IF(B48&lt;=$E$7,$D$14*12*(1+$E$6)^(B48-1),0)</f>
        <v>0</v>
      </c>
      <c r="P48" s="10">
        <f>N48*$E$5</f>
        <v>0</v>
      </c>
      <c r="Q48" s="10">
        <f>IF(OR(B48=$F$14,AND(B48&gt;$F$14,B48=$E$8),B48=51),N48+O48+P48,0)</f>
        <v>0</v>
      </c>
      <c r="R48" s="10">
        <f>N48+O48+P48-Q48</f>
        <v>0</v>
      </c>
      <c r="S48" s="10">
        <f>L48+Q48</f>
        <v>0</v>
      </c>
      <c r="T48" s="10">
        <f>G48</f>
        <v>25747</v>
      </c>
    </row>
    <row r="49">
      <c r="B49" s="9">
        <v>31</v>
      </c>
      <c r="C49" s="9">
        <f>'Proyección'!B47</f>
        <v>2056</v>
      </c>
      <c r="D49" s="10">
        <f>H48</f>
        <v>227934</v>
      </c>
      <c r="E49" s="10">
        <f>IF(B49&lt;=$E$7,$D$12*12*(1+$E$6)^(B49-1),0)</f>
        <v>0</v>
      </c>
      <c r="F49" s="10">
        <f>D49*$E$5</f>
        <v>13676</v>
      </c>
      <c r="G49" s="10">
        <f>IF(B49&gt;=$F$12,IF(($I$12-$E$9-B49+2)&lt;=1,D49+F49,IF($E$5=0,D49/($I$12-$E$9-B49+2),D49*$E$5/(1-(1+$E$5)^(-($I$12-$E$9-B49+2))))),0)</f>
        <v>25747</v>
      </c>
      <c r="H49" s="10">
        <f>D49+E49+F49-G49</f>
        <v>215862</v>
      </c>
      <c r="I49" s="10">
        <f>M48</f>
        <v>0</v>
      </c>
      <c r="J49" s="10">
        <f>IF(B49&lt;=$E$7,$D$13*12*(1+$E$6)^(B49-1),0)</f>
        <v>0</v>
      </c>
      <c r="K49" s="10">
        <f>I49*$E$5</f>
        <v>0</v>
      </c>
      <c r="L49" s="10">
        <f>IF(OR(AND(B49&lt;=$E$7,B49&gt;=$F$13,MOD(B49-$F$13,5)=0),B49=$E$8,B49=51),I49+J49+K49,0)</f>
        <v>0</v>
      </c>
      <c r="M49" s="10">
        <f>I49+J49+K49-L49</f>
        <v>0</v>
      </c>
      <c r="N49" s="10">
        <f>R48</f>
        <v>0</v>
      </c>
      <c r="O49" s="10">
        <f>IF(B49&lt;=$E$7,$D$14*12*(1+$E$6)^(B49-1),0)</f>
        <v>0</v>
      </c>
      <c r="P49" s="10">
        <f>N49*$E$5</f>
        <v>0</v>
      </c>
      <c r="Q49" s="10">
        <f>IF(OR(B49=$F$14,AND(B49&gt;$F$14,B49=$E$8),B49=51),N49+O49+P49,0)</f>
        <v>0</v>
      </c>
      <c r="R49" s="10">
        <f>N49+O49+P49-Q49</f>
        <v>0</v>
      </c>
      <c r="S49" s="10">
        <f>L49+Q49</f>
        <v>0</v>
      </c>
      <c r="T49" s="10">
        <f>G49</f>
        <v>25747</v>
      </c>
    </row>
    <row r="50">
      <c r="B50" s="9">
        <v>32</v>
      </c>
      <c r="C50" s="9">
        <f>'Proyección'!B48</f>
        <v>2057</v>
      </c>
      <c r="D50" s="10">
        <f>H49</f>
        <v>215862</v>
      </c>
      <c r="E50" s="10">
        <f>IF(B50&lt;=$E$7,$D$12*12*(1+$E$6)^(B50-1),0)</f>
        <v>0</v>
      </c>
      <c r="F50" s="10">
        <f>D50*$E$5</f>
        <v>12952</v>
      </c>
      <c r="G50" s="10">
        <f>IF(B50&gt;=$F$12,IF(($I$12-$E$9-B50+2)&lt;=1,D50+F50,IF($E$5=0,D50/($I$12-$E$9-B50+2),D50*$E$5/(1-(1+$E$5)^(-($I$12-$E$9-B50+2))))),0)</f>
        <v>25747</v>
      </c>
      <c r="H50" s="10">
        <f>D50+E50+F50-G50</f>
        <v>203067</v>
      </c>
      <c r="I50" s="10">
        <f>M49</f>
        <v>0</v>
      </c>
      <c r="J50" s="10">
        <f>IF(B50&lt;=$E$7,$D$13*12*(1+$E$6)^(B50-1),0)</f>
        <v>0</v>
      </c>
      <c r="K50" s="10">
        <f>I50*$E$5</f>
        <v>0</v>
      </c>
      <c r="L50" s="10">
        <f>IF(OR(AND(B50&lt;=$E$7,B50&gt;=$F$13,MOD(B50-$F$13,5)=0),B50=$E$8,B50=51),I50+J50+K50,0)</f>
        <v>0</v>
      </c>
      <c r="M50" s="10">
        <f>I50+J50+K50-L50</f>
        <v>0</v>
      </c>
      <c r="N50" s="10">
        <f>R49</f>
        <v>0</v>
      </c>
      <c r="O50" s="10">
        <f>IF(B50&lt;=$E$7,$D$14*12*(1+$E$6)^(B50-1),0)</f>
        <v>0</v>
      </c>
      <c r="P50" s="10">
        <f>N50*$E$5</f>
        <v>0</v>
      </c>
      <c r="Q50" s="10">
        <f>IF(OR(B50=$F$14,AND(B50&gt;$F$14,B50=$E$8),B50=51),N50+O50+P50,0)</f>
        <v>0</v>
      </c>
      <c r="R50" s="10">
        <f>N50+O50+P50-Q50</f>
        <v>0</v>
      </c>
      <c r="S50" s="10">
        <f>L50+Q50</f>
        <v>0</v>
      </c>
      <c r="T50" s="10">
        <f>G50</f>
        <v>25747</v>
      </c>
    </row>
    <row r="51">
      <c r="B51" s="9">
        <v>33</v>
      </c>
      <c r="C51" s="9">
        <f>'Proyección'!B49</f>
        <v>2058</v>
      </c>
      <c r="D51" s="10">
        <f>H50</f>
        <v>203067</v>
      </c>
      <c r="E51" s="10">
        <f>IF(B51&lt;=$E$7,$D$12*12*(1+$E$6)^(B51-1),0)</f>
        <v>0</v>
      </c>
      <c r="F51" s="10">
        <f>D51*$E$5</f>
        <v>12184</v>
      </c>
      <c r="G51" s="10">
        <f>IF(B51&gt;=$F$12,IF(($I$12-$E$9-B51+2)&lt;=1,D51+F51,IF($E$5=0,D51/($I$12-$E$9-B51+2),D51*$E$5/(1-(1+$E$5)^(-($I$12-$E$9-B51+2))))),0)</f>
        <v>25747</v>
      </c>
      <c r="H51" s="10">
        <f>D51+E51+F51-G51</f>
        <v>189503</v>
      </c>
      <c r="I51" s="10">
        <f>M50</f>
        <v>0</v>
      </c>
      <c r="J51" s="10">
        <f>IF(B51&lt;=$E$7,$D$13*12*(1+$E$6)^(B51-1),0)</f>
        <v>0</v>
      </c>
      <c r="K51" s="10">
        <f>I51*$E$5</f>
        <v>0</v>
      </c>
      <c r="L51" s="10">
        <f>IF(OR(AND(B51&lt;=$E$7,B51&gt;=$F$13,MOD(B51-$F$13,5)=0),B51=$E$8,B51=51),I51+J51+K51,0)</f>
        <v>0</v>
      </c>
      <c r="M51" s="10">
        <f>I51+J51+K51-L51</f>
        <v>0</v>
      </c>
      <c r="N51" s="10">
        <f>R50</f>
        <v>0</v>
      </c>
      <c r="O51" s="10">
        <f>IF(B51&lt;=$E$7,$D$14*12*(1+$E$6)^(B51-1),0)</f>
        <v>0</v>
      </c>
      <c r="P51" s="10">
        <f>N51*$E$5</f>
        <v>0</v>
      </c>
      <c r="Q51" s="10">
        <f>IF(OR(B51=$F$14,AND(B51&gt;$F$14,B51=$E$8),B51=51),N51+O51+P51,0)</f>
        <v>0</v>
      </c>
      <c r="R51" s="10">
        <f>N51+O51+P51-Q51</f>
        <v>0</v>
      </c>
      <c r="S51" s="10">
        <f>L51+Q51</f>
        <v>0</v>
      </c>
      <c r="T51" s="10">
        <f>G51</f>
        <v>25747</v>
      </c>
    </row>
    <row r="52">
      <c r="B52" s="9">
        <v>34</v>
      </c>
      <c r="C52" s="9">
        <f>'Proyección'!B50</f>
        <v>2059</v>
      </c>
      <c r="D52" s="10">
        <f>H51</f>
        <v>189503</v>
      </c>
      <c r="E52" s="10">
        <f>IF(B52&lt;=$E$7,$D$12*12*(1+$E$6)^(B52-1),0)</f>
        <v>0</v>
      </c>
      <c r="F52" s="10">
        <f>D52*$E$5</f>
        <v>11370</v>
      </c>
      <c r="G52" s="10">
        <f>IF(B52&gt;=$F$12,IF(($I$12-$E$9-B52+2)&lt;=1,D52+F52,IF($E$5=0,D52/($I$12-$E$9-B52+2),D52*$E$5/(1-(1+$E$5)^(-($I$12-$E$9-B52+2))))),0)</f>
        <v>25747</v>
      </c>
      <c r="H52" s="10">
        <f>D52+E52+F52-G52</f>
        <v>175126</v>
      </c>
      <c r="I52" s="10">
        <f>M51</f>
        <v>0</v>
      </c>
      <c r="J52" s="10">
        <f>IF(B52&lt;=$E$7,$D$13*12*(1+$E$6)^(B52-1),0)</f>
        <v>0</v>
      </c>
      <c r="K52" s="10">
        <f>I52*$E$5</f>
        <v>0</v>
      </c>
      <c r="L52" s="10">
        <f>IF(OR(AND(B52&lt;=$E$7,B52&gt;=$F$13,MOD(B52-$F$13,5)=0),B52=$E$8,B52=51),I52+J52+K52,0)</f>
        <v>0</v>
      </c>
      <c r="M52" s="10">
        <f>I52+J52+K52-L52</f>
        <v>0</v>
      </c>
      <c r="N52" s="10">
        <f>R51</f>
        <v>0</v>
      </c>
      <c r="O52" s="10">
        <f>IF(B52&lt;=$E$7,$D$14*12*(1+$E$6)^(B52-1),0)</f>
        <v>0</v>
      </c>
      <c r="P52" s="10">
        <f>N52*$E$5</f>
        <v>0</v>
      </c>
      <c r="Q52" s="10">
        <f>IF(OR(B52=$F$14,AND(B52&gt;$F$14,B52=$E$8),B52=51),N52+O52+P52,0)</f>
        <v>0</v>
      </c>
      <c r="R52" s="10">
        <f>N52+O52+P52-Q52</f>
        <v>0</v>
      </c>
      <c r="S52" s="10">
        <f>L52+Q52</f>
        <v>0</v>
      </c>
      <c r="T52" s="10">
        <f>G52</f>
        <v>25747</v>
      </c>
    </row>
    <row r="53">
      <c r="B53" s="9">
        <v>35</v>
      </c>
      <c r="C53" s="9">
        <f>'Proyección'!B51</f>
        <v>2060</v>
      </c>
      <c r="D53" s="10">
        <f>H52</f>
        <v>175126</v>
      </c>
      <c r="E53" s="10">
        <f>IF(B53&lt;=$E$7,$D$12*12*(1+$E$6)^(B53-1),0)</f>
        <v>0</v>
      </c>
      <c r="F53" s="10">
        <f>D53*$E$5</f>
        <v>10508</v>
      </c>
      <c r="G53" s="10">
        <f>IF(B53&gt;=$F$12,IF(($I$12-$E$9-B53+2)&lt;=1,D53+F53,IF($E$5=0,D53/($I$12-$E$9-B53+2),D53*$E$5/(1-(1+$E$5)^(-($I$12-$E$9-B53+2))))),0)</f>
        <v>25747</v>
      </c>
      <c r="H53" s="10">
        <f>D53+E53+F53-G53</f>
        <v>159886</v>
      </c>
      <c r="I53" s="10">
        <f>M52</f>
        <v>0</v>
      </c>
      <c r="J53" s="10">
        <f>IF(B53&lt;=$E$7,$D$13*12*(1+$E$6)^(B53-1),0)</f>
        <v>0</v>
      </c>
      <c r="K53" s="10">
        <f>I53*$E$5</f>
        <v>0</v>
      </c>
      <c r="L53" s="10">
        <f>IF(OR(AND(B53&lt;=$E$7,B53&gt;=$F$13,MOD(B53-$F$13,5)=0),B53=$E$8,B53=51),I53+J53+K53,0)</f>
        <v>0</v>
      </c>
      <c r="M53" s="10">
        <f>I53+J53+K53-L53</f>
        <v>0</v>
      </c>
      <c r="N53" s="10">
        <f>R52</f>
        <v>0</v>
      </c>
      <c r="O53" s="10">
        <f>IF(B53&lt;=$E$7,$D$14*12*(1+$E$6)^(B53-1),0)</f>
        <v>0</v>
      </c>
      <c r="P53" s="10">
        <f>N53*$E$5</f>
        <v>0</v>
      </c>
      <c r="Q53" s="10">
        <f>IF(OR(B53=$F$14,AND(B53&gt;$F$14,B53=$E$8),B53=51),N53+O53+P53,0)</f>
        <v>0</v>
      </c>
      <c r="R53" s="10">
        <f>N53+O53+P53-Q53</f>
        <v>0</v>
      </c>
      <c r="S53" s="10">
        <f>L53+Q53</f>
        <v>0</v>
      </c>
      <c r="T53" s="10">
        <f>G53</f>
        <v>25747</v>
      </c>
    </row>
    <row r="54">
      <c r="B54" s="9">
        <v>36</v>
      </c>
      <c r="C54" s="9">
        <f>'Proyección'!B52</f>
        <v>2061</v>
      </c>
      <c r="D54" s="10">
        <f>H53</f>
        <v>159886</v>
      </c>
      <c r="E54" s="10">
        <f>IF(B54&lt;=$E$7,$D$12*12*(1+$E$6)^(B54-1),0)</f>
        <v>0</v>
      </c>
      <c r="F54" s="10">
        <f>D54*$E$5</f>
        <v>9593</v>
      </c>
      <c r="G54" s="10">
        <f>IF(B54&gt;=$F$12,IF(($I$12-$E$9-B54+2)&lt;=1,D54+F54,IF($E$5=0,D54/($I$12-$E$9-B54+2),D54*$E$5/(1-(1+$E$5)^(-($I$12-$E$9-B54+2))))),0)</f>
        <v>25747</v>
      </c>
      <c r="H54" s="10">
        <f>D54+E54+F54-G54</f>
        <v>143732</v>
      </c>
      <c r="I54" s="10">
        <f>M53</f>
        <v>0</v>
      </c>
      <c r="J54" s="10">
        <f>IF(B54&lt;=$E$7,$D$13*12*(1+$E$6)^(B54-1),0)</f>
        <v>0</v>
      </c>
      <c r="K54" s="10">
        <f>I54*$E$5</f>
        <v>0</v>
      </c>
      <c r="L54" s="10">
        <f>IF(OR(AND(B54&lt;=$E$7,B54&gt;=$F$13,MOD(B54-$F$13,5)=0),B54=$E$8,B54=51),I54+J54+K54,0)</f>
        <v>0</v>
      </c>
      <c r="M54" s="10">
        <f>I54+J54+K54-L54</f>
        <v>0</v>
      </c>
      <c r="N54" s="10">
        <f>R53</f>
        <v>0</v>
      </c>
      <c r="O54" s="10">
        <f>IF(B54&lt;=$E$7,$D$14*12*(1+$E$6)^(B54-1),0)</f>
        <v>0</v>
      </c>
      <c r="P54" s="10">
        <f>N54*$E$5</f>
        <v>0</v>
      </c>
      <c r="Q54" s="10">
        <f>IF(OR(B54=$F$14,AND(B54&gt;$F$14,B54=$E$8),B54=51),N54+O54+P54,0)</f>
        <v>0</v>
      </c>
      <c r="R54" s="10">
        <f>N54+O54+P54-Q54</f>
        <v>0</v>
      </c>
      <c r="S54" s="10">
        <f>L54+Q54</f>
        <v>0</v>
      </c>
      <c r="T54" s="10">
        <f>G54</f>
        <v>25747</v>
      </c>
    </row>
    <row r="55">
      <c r="B55" s="9">
        <v>37</v>
      </c>
      <c r="C55" s="9">
        <f>'Proyección'!B53</f>
        <v>2062</v>
      </c>
      <c r="D55" s="10">
        <f>H54</f>
        <v>143732</v>
      </c>
      <c r="E55" s="10">
        <f>IF(B55&lt;=$E$7,$D$12*12*(1+$E$6)^(B55-1),0)</f>
        <v>0</v>
      </c>
      <c r="F55" s="10">
        <f>D55*$E$5</f>
        <v>8624</v>
      </c>
      <c r="G55" s="10">
        <f>IF(B55&gt;=$F$12,IF(($I$12-$E$9-B55+2)&lt;=1,D55+F55,IF($E$5=0,D55/($I$12-$E$9-B55+2),D55*$E$5/(1-(1+$E$5)^(-($I$12-$E$9-B55+2))))),0)</f>
        <v>25747</v>
      </c>
      <c r="H55" s="10">
        <f>D55+E55+F55-G55</f>
        <v>126608</v>
      </c>
      <c r="I55" s="10">
        <f>M54</f>
        <v>0</v>
      </c>
      <c r="J55" s="10">
        <f>IF(B55&lt;=$E$7,$D$13*12*(1+$E$6)^(B55-1),0)</f>
        <v>0</v>
      </c>
      <c r="K55" s="10">
        <f>I55*$E$5</f>
        <v>0</v>
      </c>
      <c r="L55" s="10">
        <f>IF(OR(AND(B55&lt;=$E$7,B55&gt;=$F$13,MOD(B55-$F$13,5)=0),B55=$E$8,B55=51),I55+J55+K55,0)</f>
        <v>0</v>
      </c>
      <c r="M55" s="10">
        <f>I55+J55+K55-L55</f>
        <v>0</v>
      </c>
      <c r="N55" s="10">
        <f>R54</f>
        <v>0</v>
      </c>
      <c r="O55" s="10">
        <f>IF(B55&lt;=$E$7,$D$14*12*(1+$E$6)^(B55-1),0)</f>
        <v>0</v>
      </c>
      <c r="P55" s="10">
        <f>N55*$E$5</f>
        <v>0</v>
      </c>
      <c r="Q55" s="10">
        <f>IF(OR(B55=$F$14,AND(B55&gt;$F$14,B55=$E$8),B55=51),N55+O55+P55,0)</f>
        <v>0</v>
      </c>
      <c r="R55" s="10">
        <f>N55+O55+P55-Q55</f>
        <v>0</v>
      </c>
      <c r="S55" s="10">
        <f>L55+Q55</f>
        <v>0</v>
      </c>
      <c r="T55" s="10">
        <f>G55</f>
        <v>25747</v>
      </c>
    </row>
    <row r="56">
      <c r="B56" s="9">
        <v>38</v>
      </c>
      <c r="C56" s="9">
        <f>'Proyección'!B54</f>
        <v>2063</v>
      </c>
      <c r="D56" s="10">
        <f>H55</f>
        <v>126608</v>
      </c>
      <c r="E56" s="10">
        <f>IF(B56&lt;=$E$7,$D$12*12*(1+$E$6)^(B56-1),0)</f>
        <v>0</v>
      </c>
      <c r="F56" s="10">
        <f>D56*$E$5</f>
        <v>7597</v>
      </c>
      <c r="G56" s="10">
        <f>IF(B56&gt;=$F$12,IF(($I$12-$E$9-B56+2)&lt;=1,D56+F56,IF($E$5=0,D56/($I$12-$E$9-B56+2),D56*$E$5/(1-(1+$E$5)^(-($I$12-$E$9-B56+2))))),0)</f>
        <v>25747</v>
      </c>
      <c r="H56" s="10">
        <f>D56+E56+F56-G56</f>
        <v>108457</v>
      </c>
      <c r="I56" s="10">
        <f>M55</f>
        <v>0</v>
      </c>
      <c r="J56" s="10">
        <f>IF(B56&lt;=$E$7,$D$13*12*(1+$E$6)^(B56-1),0)</f>
        <v>0</v>
      </c>
      <c r="K56" s="10">
        <f>I56*$E$5</f>
        <v>0</v>
      </c>
      <c r="L56" s="10">
        <f>IF(OR(AND(B56&lt;=$E$7,B56&gt;=$F$13,MOD(B56-$F$13,5)=0),B56=$E$8,B56=51),I56+J56+K56,0)</f>
        <v>0</v>
      </c>
      <c r="M56" s="10">
        <f>I56+J56+K56-L56</f>
        <v>0</v>
      </c>
      <c r="N56" s="10">
        <f>R55</f>
        <v>0</v>
      </c>
      <c r="O56" s="10">
        <f>IF(B56&lt;=$E$7,$D$14*12*(1+$E$6)^(B56-1),0)</f>
        <v>0</v>
      </c>
      <c r="P56" s="10">
        <f>N56*$E$5</f>
        <v>0</v>
      </c>
      <c r="Q56" s="10">
        <f>IF(OR(B56=$F$14,AND(B56&gt;$F$14,B56=$E$8),B56=51),N56+O56+P56,0)</f>
        <v>0</v>
      </c>
      <c r="R56" s="10">
        <f>N56+O56+P56-Q56</f>
        <v>0</v>
      </c>
      <c r="S56" s="10">
        <f>L56+Q56</f>
        <v>0</v>
      </c>
      <c r="T56" s="10">
        <f>G56</f>
        <v>25747</v>
      </c>
    </row>
    <row r="57">
      <c r="B57" s="9">
        <v>39</v>
      </c>
      <c r="C57" s="9">
        <f>'Proyección'!B55</f>
        <v>2064</v>
      </c>
      <c r="D57" s="10">
        <f>H56</f>
        <v>108457</v>
      </c>
      <c r="E57" s="10">
        <f>IF(B57&lt;=$E$7,$D$12*12*(1+$E$6)^(B57-1),0)</f>
        <v>0</v>
      </c>
      <c r="F57" s="10">
        <f>D57*$E$5</f>
        <v>6507</v>
      </c>
      <c r="G57" s="10">
        <f>IF(B57&gt;=$F$12,IF(($I$12-$E$9-B57+2)&lt;=1,D57+F57,IF($E$5=0,D57/($I$12-$E$9-B57+2),D57*$E$5/(1-(1+$E$5)^(-($I$12-$E$9-B57+2))))),0)</f>
        <v>25747</v>
      </c>
      <c r="H57" s="10">
        <f>D57+E57+F57-G57</f>
        <v>89217</v>
      </c>
      <c r="I57" s="10">
        <f>M56</f>
        <v>0</v>
      </c>
      <c r="J57" s="10">
        <f>IF(B57&lt;=$E$7,$D$13*12*(1+$E$6)^(B57-1),0)</f>
        <v>0</v>
      </c>
      <c r="K57" s="10">
        <f>I57*$E$5</f>
        <v>0</v>
      </c>
      <c r="L57" s="10">
        <f>IF(OR(AND(B57&lt;=$E$7,B57&gt;=$F$13,MOD(B57-$F$13,5)=0),B57=$E$8,B57=51),I57+J57+K57,0)</f>
        <v>0</v>
      </c>
      <c r="M57" s="10">
        <f>I57+J57+K57-L57</f>
        <v>0</v>
      </c>
      <c r="N57" s="10">
        <f>R56</f>
        <v>0</v>
      </c>
      <c r="O57" s="10">
        <f>IF(B57&lt;=$E$7,$D$14*12*(1+$E$6)^(B57-1),0)</f>
        <v>0</v>
      </c>
      <c r="P57" s="10">
        <f>N57*$E$5</f>
        <v>0</v>
      </c>
      <c r="Q57" s="10">
        <f>IF(OR(B57=$F$14,AND(B57&gt;$F$14,B57=$E$8),B57=51),N57+O57+P57,0)</f>
        <v>0</v>
      </c>
      <c r="R57" s="10">
        <f>N57+O57+P57-Q57</f>
        <v>0</v>
      </c>
      <c r="S57" s="10">
        <f>L57+Q57</f>
        <v>0</v>
      </c>
      <c r="T57" s="10">
        <f>G57</f>
        <v>25747</v>
      </c>
    </row>
    <row r="58">
      <c r="B58" s="9">
        <v>40</v>
      </c>
      <c r="C58" s="9">
        <f>'Proyección'!B56</f>
        <v>2065</v>
      </c>
      <c r="D58" s="10">
        <f>H57</f>
        <v>89217</v>
      </c>
      <c r="E58" s="10">
        <f>IF(B58&lt;=$E$7,$D$12*12*(1+$E$6)^(B58-1),0)</f>
        <v>0</v>
      </c>
      <c r="F58" s="10">
        <f>D58*$E$5</f>
        <v>5353</v>
      </c>
      <c r="G58" s="10">
        <f>IF(B58&gt;=$F$12,IF(($I$12-$E$9-B58+2)&lt;=1,D58+F58,IF($E$5=0,D58/($I$12-$E$9-B58+2),D58*$E$5/(1-(1+$E$5)^(-($I$12-$E$9-B58+2))))),0)</f>
        <v>25747</v>
      </c>
      <c r="H58" s="10">
        <f>D58+E58+F58-G58</f>
        <v>68823</v>
      </c>
      <c r="I58" s="10">
        <f>M57</f>
        <v>0</v>
      </c>
      <c r="J58" s="10">
        <f>IF(B58&lt;=$E$7,$D$13*12*(1+$E$6)^(B58-1),0)</f>
        <v>0</v>
      </c>
      <c r="K58" s="10">
        <f>I58*$E$5</f>
        <v>0</v>
      </c>
      <c r="L58" s="10">
        <f>IF(OR(AND(B58&lt;=$E$7,B58&gt;=$F$13,MOD(B58-$F$13,5)=0),B58=$E$8,B58=51),I58+J58+K58,0)</f>
        <v>0</v>
      </c>
      <c r="M58" s="10">
        <f>I58+J58+K58-L58</f>
        <v>0</v>
      </c>
      <c r="N58" s="10">
        <f>R57</f>
        <v>0</v>
      </c>
      <c r="O58" s="10">
        <f>IF(B58&lt;=$E$7,$D$14*12*(1+$E$6)^(B58-1),0)</f>
        <v>0</v>
      </c>
      <c r="P58" s="10">
        <f>N58*$E$5</f>
        <v>0</v>
      </c>
      <c r="Q58" s="10">
        <f>IF(OR(B58=$F$14,AND(B58&gt;$F$14,B58=$E$8),B58=51),N58+O58+P58,0)</f>
        <v>0</v>
      </c>
      <c r="R58" s="10">
        <f>N58+O58+P58-Q58</f>
        <v>0</v>
      </c>
      <c r="S58" s="10">
        <f>L58+Q58</f>
        <v>0</v>
      </c>
      <c r="T58" s="10">
        <f>G58</f>
        <v>25747</v>
      </c>
    </row>
    <row r="59">
      <c r="B59" s="9">
        <v>41</v>
      </c>
      <c r="C59" s="9">
        <f>'Proyección'!B57</f>
        <v>2066</v>
      </c>
      <c r="D59" s="10">
        <f>H58</f>
        <v>68823</v>
      </c>
      <c r="E59" s="10">
        <f>IF(B59&lt;=$E$7,$D$12*12*(1+$E$6)^(B59-1),0)</f>
        <v>0</v>
      </c>
      <c r="F59" s="10">
        <f>D59*$E$5</f>
        <v>4129</v>
      </c>
      <c r="G59" s="10">
        <f>IF(B59&gt;=$F$12,IF(($I$12-$E$9-B59+2)&lt;=1,D59+F59,IF($E$5=0,D59/($I$12-$E$9-B59+2),D59*$E$5/(1-(1+$E$5)^(-($I$12-$E$9-B59+2))))),0)</f>
        <v>25747</v>
      </c>
      <c r="H59" s="10">
        <f>D59+E59+F59-G59</f>
        <v>47205</v>
      </c>
      <c r="I59" s="10">
        <f>M58</f>
        <v>0</v>
      </c>
      <c r="J59" s="10">
        <f>IF(B59&lt;=$E$7,$D$13*12*(1+$E$6)^(B59-1),0)</f>
        <v>0</v>
      </c>
      <c r="K59" s="10">
        <f>I59*$E$5</f>
        <v>0</v>
      </c>
      <c r="L59" s="10">
        <f>IF(OR(AND(B59&lt;=$E$7,B59&gt;=$F$13,MOD(B59-$F$13,5)=0),B59=$E$8,B59=51),I59+J59+K59,0)</f>
        <v>0</v>
      </c>
      <c r="M59" s="10">
        <f>I59+J59+K59-L59</f>
        <v>0</v>
      </c>
      <c r="N59" s="10">
        <f>R58</f>
        <v>0</v>
      </c>
      <c r="O59" s="10">
        <f>IF(B59&lt;=$E$7,$D$14*12*(1+$E$6)^(B59-1),0)</f>
        <v>0</v>
      </c>
      <c r="P59" s="10">
        <f>N59*$E$5</f>
        <v>0</v>
      </c>
      <c r="Q59" s="10">
        <f>IF(OR(B59=$F$14,AND(B59&gt;$F$14,B59=$E$8),B59=51),N59+O59+P59,0)</f>
        <v>0</v>
      </c>
      <c r="R59" s="10">
        <f>N59+O59+P59-Q59</f>
        <v>0</v>
      </c>
      <c r="S59" s="10">
        <f>L59+Q59</f>
        <v>0</v>
      </c>
      <c r="T59" s="10">
        <f>G59</f>
        <v>25747</v>
      </c>
    </row>
    <row r="60">
      <c r="B60" s="9">
        <v>42</v>
      </c>
      <c r="C60" s="9">
        <f>'Proyección'!B58</f>
        <v>2067</v>
      </c>
      <c r="D60" s="10">
        <f>H59</f>
        <v>47205</v>
      </c>
      <c r="E60" s="10">
        <f>IF(B60&lt;=$E$7,$D$12*12*(1+$E$6)^(B60-1),0)</f>
        <v>0</v>
      </c>
      <c r="F60" s="10">
        <f>D60*$E$5</f>
        <v>2832</v>
      </c>
      <c r="G60" s="10">
        <f>IF(B60&gt;=$F$12,IF(($I$12-$E$9-B60+2)&lt;=1,D60+F60,IF($E$5=0,D60/($I$12-$E$9-B60+2),D60*$E$5/(1-(1+$E$5)^(-($I$12-$E$9-B60+2))))),0)</f>
        <v>25747</v>
      </c>
      <c r="H60" s="10">
        <f>D60+E60+F60-G60</f>
        <v>24290</v>
      </c>
      <c r="I60" s="10">
        <f>M59</f>
        <v>0</v>
      </c>
      <c r="J60" s="10">
        <f>IF(B60&lt;=$E$7,$D$13*12*(1+$E$6)^(B60-1),0)</f>
        <v>0</v>
      </c>
      <c r="K60" s="10">
        <f>I60*$E$5</f>
        <v>0</v>
      </c>
      <c r="L60" s="10">
        <f>IF(OR(AND(B60&lt;=$E$7,B60&gt;=$F$13,MOD(B60-$F$13,5)=0),B60=$E$8,B60=51),I60+J60+K60,0)</f>
        <v>0</v>
      </c>
      <c r="M60" s="10">
        <f>I60+J60+K60-L60</f>
        <v>0</v>
      </c>
      <c r="N60" s="10">
        <f>R59</f>
        <v>0</v>
      </c>
      <c r="O60" s="10">
        <f>IF(B60&lt;=$E$7,$D$14*12*(1+$E$6)^(B60-1),0)</f>
        <v>0</v>
      </c>
      <c r="P60" s="10">
        <f>N60*$E$5</f>
        <v>0</v>
      </c>
      <c r="Q60" s="10">
        <f>IF(OR(B60=$F$14,AND(B60&gt;$F$14,B60=$E$8),B60=51),N60+O60+P60,0)</f>
        <v>0</v>
      </c>
      <c r="R60" s="10">
        <f>N60+O60+P60-Q60</f>
        <v>0</v>
      </c>
      <c r="S60" s="10">
        <f>L60+Q60</f>
        <v>0</v>
      </c>
      <c r="T60" s="10">
        <f>G60</f>
        <v>25747</v>
      </c>
    </row>
    <row r="61">
      <c r="B61" s="9">
        <v>43</v>
      </c>
      <c r="C61" s="9">
        <f>'Proyección'!B59</f>
        <v>2068</v>
      </c>
      <c r="D61" s="10">
        <f>H60</f>
        <v>24290</v>
      </c>
      <c r="E61" s="10">
        <f>IF(B61&lt;=$E$7,$D$12*12*(1+$E$6)^(B61-1),0)</f>
        <v>0</v>
      </c>
      <c r="F61" s="10">
        <f>D61*$E$5</f>
        <v>1457</v>
      </c>
      <c r="G61" s="10">
        <f>IF(B61&gt;=$F$12,IF(($I$12-$E$9-B61+2)&lt;=1,D61+F61,IF($E$5=0,D61/($I$12-$E$9-B61+2),D61*$E$5/(1-(1+$E$5)^(-($I$12-$E$9-B61+2))))),0)</f>
        <v>25747</v>
      </c>
      <c r="H61" s="10">
        <f>D61+E61+F61-G61</f>
        <v>0</v>
      </c>
      <c r="I61" s="10">
        <f>M60</f>
        <v>0</v>
      </c>
      <c r="J61" s="10">
        <f>IF(B61&lt;=$E$7,$D$13*12*(1+$E$6)^(B61-1),0)</f>
        <v>0</v>
      </c>
      <c r="K61" s="10">
        <f>I61*$E$5</f>
        <v>0</v>
      </c>
      <c r="L61" s="10">
        <f>IF(OR(AND(B61&lt;=$E$7,B61&gt;=$F$13,MOD(B61-$F$13,5)=0),B61=$E$8,B61=51),I61+J61+K61,0)</f>
        <v>0</v>
      </c>
      <c r="M61" s="10">
        <f>I61+J61+K61-L61</f>
        <v>0</v>
      </c>
      <c r="N61" s="10">
        <f>R60</f>
        <v>0</v>
      </c>
      <c r="O61" s="10">
        <f>IF(B61&lt;=$E$7,$D$14*12*(1+$E$6)^(B61-1),0)</f>
        <v>0</v>
      </c>
      <c r="P61" s="10">
        <f>N61*$E$5</f>
        <v>0</v>
      </c>
      <c r="Q61" s="10">
        <f>IF(OR(B61=$F$14,AND(B61&gt;$F$14,B61=$E$8),B61=51),N61+O61+P61,0)</f>
        <v>0</v>
      </c>
      <c r="R61" s="10">
        <f>N61+O61+P61-Q61</f>
        <v>0</v>
      </c>
      <c r="S61" s="10">
        <f>L61+Q61</f>
        <v>0</v>
      </c>
      <c r="T61" s="10">
        <f>G61</f>
        <v>25747</v>
      </c>
    </row>
    <row r="62">
      <c r="B62" s="9">
        <v>44</v>
      </c>
      <c r="C62" s="9">
        <f>'Proyección'!B60</f>
        <v>2069</v>
      </c>
      <c r="D62" s="10">
        <f>H61</f>
        <v>0</v>
      </c>
      <c r="E62" s="10">
        <f>IF(B62&lt;=$E$7,$D$12*12*(1+$E$6)^(B62-1),0)</f>
        <v>0</v>
      </c>
      <c r="F62" s="10">
        <f>D62*$E$5</f>
        <v>0</v>
      </c>
      <c r="G62" s="10">
        <f>IF(B62&gt;=$F$12,IF(($I$12-$E$9-B62+2)&lt;=1,D62+F62,IF($E$5=0,D62/($I$12-$E$9-B62+2),D62*$E$5/(1-(1+$E$5)^(-($I$12-$E$9-B62+2))))),0)</f>
        <v>0</v>
      </c>
      <c r="H62" s="10">
        <f>D62+E62+F62-G62</f>
        <v>0</v>
      </c>
      <c r="I62" s="10">
        <f>M61</f>
        <v>0</v>
      </c>
      <c r="J62" s="10">
        <f>IF(B62&lt;=$E$7,$D$13*12*(1+$E$6)^(B62-1),0)</f>
        <v>0</v>
      </c>
      <c r="K62" s="10">
        <f>I62*$E$5</f>
        <v>0</v>
      </c>
      <c r="L62" s="10">
        <f>IF(OR(AND(B62&lt;=$E$7,B62&gt;=$F$13,MOD(B62-$F$13,5)=0),B62=$E$8,B62=51),I62+J62+K62,0)</f>
        <v>0</v>
      </c>
      <c r="M62" s="10">
        <f>I62+J62+K62-L62</f>
        <v>0</v>
      </c>
      <c r="N62" s="10">
        <f>R61</f>
        <v>0</v>
      </c>
      <c r="O62" s="10">
        <f>IF(B62&lt;=$E$7,$D$14*12*(1+$E$6)^(B62-1),0)</f>
        <v>0</v>
      </c>
      <c r="P62" s="10">
        <f>N62*$E$5</f>
        <v>0</v>
      </c>
      <c r="Q62" s="10">
        <f>IF(OR(B62=$F$14,AND(B62&gt;$F$14,B62=$E$8),B62=51),N62+O62+P62,0)</f>
        <v>0</v>
      </c>
      <c r="R62" s="10">
        <f>N62+O62+P62-Q62</f>
        <v>0</v>
      </c>
      <c r="S62" s="10">
        <f>L62+Q62</f>
        <v>0</v>
      </c>
      <c r="T62" s="10">
        <f>G62</f>
        <v>0</v>
      </c>
    </row>
    <row r="63">
      <c r="B63" s="9">
        <v>45</v>
      </c>
      <c r="C63" s="9">
        <f>'Proyección'!B61</f>
        <v>2070</v>
      </c>
      <c r="D63" s="10">
        <f>H62</f>
        <v>0</v>
      </c>
      <c r="E63" s="10">
        <f>IF(B63&lt;=$E$7,$D$12*12*(1+$E$6)^(B63-1),0)</f>
        <v>0</v>
      </c>
      <c r="F63" s="10">
        <f>D63*$E$5</f>
        <v>0</v>
      </c>
      <c r="G63" s="10">
        <f>IF(B63&gt;=$F$12,IF(($I$12-$E$9-B63+2)&lt;=1,D63+F63,IF($E$5=0,D63/($I$12-$E$9-B63+2),D63*$E$5/(1-(1+$E$5)^(-($I$12-$E$9-B63+2))))),0)</f>
        <v>0</v>
      </c>
      <c r="H63" s="10">
        <f>D63+E63+F63-G63</f>
        <v>0</v>
      </c>
      <c r="I63" s="10">
        <f>M62</f>
        <v>0</v>
      </c>
      <c r="J63" s="10">
        <f>IF(B63&lt;=$E$7,$D$13*12*(1+$E$6)^(B63-1),0)</f>
        <v>0</v>
      </c>
      <c r="K63" s="10">
        <f>I63*$E$5</f>
        <v>0</v>
      </c>
      <c r="L63" s="10">
        <f>IF(OR(AND(B63&lt;=$E$7,B63&gt;=$F$13,MOD(B63-$F$13,5)=0),B63=$E$8,B63=51),I63+J63+K63,0)</f>
        <v>0</v>
      </c>
      <c r="M63" s="10">
        <f>I63+J63+K63-L63</f>
        <v>0</v>
      </c>
      <c r="N63" s="10">
        <f>R62</f>
        <v>0</v>
      </c>
      <c r="O63" s="10">
        <f>IF(B63&lt;=$E$7,$D$14*12*(1+$E$6)^(B63-1),0)</f>
        <v>0</v>
      </c>
      <c r="P63" s="10">
        <f>N63*$E$5</f>
        <v>0</v>
      </c>
      <c r="Q63" s="10">
        <f>IF(OR(B63=$F$14,AND(B63&gt;$F$14,B63=$E$8),B63=51),N63+O63+P63,0)</f>
        <v>0</v>
      </c>
      <c r="R63" s="10">
        <f>N63+O63+P63-Q63</f>
        <v>0</v>
      </c>
      <c r="S63" s="10">
        <f>L63+Q63</f>
        <v>0</v>
      </c>
      <c r="T63" s="10">
        <f>G63</f>
        <v>0</v>
      </c>
    </row>
    <row r="64">
      <c r="B64" s="9">
        <v>46</v>
      </c>
      <c r="C64" s="9">
        <f>'Proyección'!B62</f>
        <v>2071</v>
      </c>
      <c r="D64" s="10">
        <f>H63</f>
        <v>0</v>
      </c>
      <c r="E64" s="10">
        <f>IF(B64&lt;=$E$7,$D$12*12*(1+$E$6)^(B64-1),0)</f>
        <v>0</v>
      </c>
      <c r="F64" s="10">
        <f>D64*$E$5</f>
        <v>0</v>
      </c>
      <c r="G64" s="10">
        <f>IF(B64&gt;=$F$12,IF(($I$12-$E$9-B64+2)&lt;=1,D64+F64,IF($E$5=0,D64/($I$12-$E$9-B64+2),D64*$E$5/(1-(1+$E$5)^(-($I$12-$E$9-B64+2))))),0)</f>
        <v>0</v>
      </c>
      <c r="H64" s="10">
        <f>D64+E64+F64-G64</f>
        <v>0</v>
      </c>
      <c r="I64" s="10">
        <f>M63</f>
        <v>0</v>
      </c>
      <c r="J64" s="10">
        <f>IF(B64&lt;=$E$7,$D$13*12*(1+$E$6)^(B64-1),0)</f>
        <v>0</v>
      </c>
      <c r="K64" s="10">
        <f>I64*$E$5</f>
        <v>0</v>
      </c>
      <c r="L64" s="10">
        <f>IF(OR(AND(B64&lt;=$E$7,B64&gt;=$F$13,MOD(B64-$F$13,5)=0),B64=$E$8,B64=51),I64+J64+K64,0)</f>
        <v>0</v>
      </c>
      <c r="M64" s="10">
        <f>I64+J64+K64-L64</f>
        <v>0</v>
      </c>
      <c r="N64" s="10">
        <f>R63</f>
        <v>0</v>
      </c>
      <c r="O64" s="10">
        <f>IF(B64&lt;=$E$7,$D$14*12*(1+$E$6)^(B64-1),0)</f>
        <v>0</v>
      </c>
      <c r="P64" s="10">
        <f>N64*$E$5</f>
        <v>0</v>
      </c>
      <c r="Q64" s="10">
        <f>IF(OR(B64=$F$14,AND(B64&gt;$F$14,B64=$E$8),B64=51),N64+O64+P64,0)</f>
        <v>0</v>
      </c>
      <c r="R64" s="10">
        <f>N64+O64+P64-Q64</f>
        <v>0</v>
      </c>
      <c r="S64" s="10">
        <f>L64+Q64</f>
        <v>0</v>
      </c>
      <c r="T64" s="10">
        <f>G64</f>
        <v>0</v>
      </c>
    </row>
    <row r="65">
      <c r="B65" s="9">
        <v>47</v>
      </c>
      <c r="C65" s="9">
        <f>'Proyección'!B63</f>
        <v>2072</v>
      </c>
      <c r="D65" s="10">
        <f>H64</f>
        <v>0</v>
      </c>
      <c r="E65" s="10">
        <f>IF(B65&lt;=$E$7,$D$12*12*(1+$E$6)^(B65-1),0)</f>
        <v>0</v>
      </c>
      <c r="F65" s="10">
        <f>D65*$E$5</f>
        <v>0</v>
      </c>
      <c r="G65" s="10">
        <f>IF(B65&gt;=$F$12,IF(($I$12-$E$9-B65+2)&lt;=1,D65+F65,IF($E$5=0,D65/($I$12-$E$9-B65+2),D65*$E$5/(1-(1+$E$5)^(-($I$12-$E$9-B65+2))))),0)</f>
        <v>0</v>
      </c>
      <c r="H65" s="10">
        <f>D65+E65+F65-G65</f>
        <v>0</v>
      </c>
      <c r="I65" s="10">
        <f>M64</f>
        <v>0</v>
      </c>
      <c r="J65" s="10">
        <f>IF(B65&lt;=$E$7,$D$13*12*(1+$E$6)^(B65-1),0)</f>
        <v>0</v>
      </c>
      <c r="K65" s="10">
        <f>I65*$E$5</f>
        <v>0</v>
      </c>
      <c r="L65" s="10">
        <f>IF(OR(AND(B65&lt;=$E$7,B65&gt;=$F$13,MOD(B65-$F$13,5)=0),B65=$E$8,B65=51),I65+J65+K65,0)</f>
        <v>0</v>
      </c>
      <c r="M65" s="10">
        <f>I65+J65+K65-L65</f>
        <v>0</v>
      </c>
      <c r="N65" s="10">
        <f>R64</f>
        <v>0</v>
      </c>
      <c r="O65" s="10">
        <f>IF(B65&lt;=$E$7,$D$14*12*(1+$E$6)^(B65-1),0)</f>
        <v>0</v>
      </c>
      <c r="P65" s="10">
        <f>N65*$E$5</f>
        <v>0</v>
      </c>
      <c r="Q65" s="10">
        <f>IF(OR(B65=$F$14,AND(B65&gt;$F$14,B65=$E$8),B65=51),N65+O65+P65,0)</f>
        <v>0</v>
      </c>
      <c r="R65" s="10">
        <f>N65+O65+P65-Q65</f>
        <v>0</v>
      </c>
      <c r="S65" s="10">
        <f>L65+Q65</f>
        <v>0</v>
      </c>
      <c r="T65" s="10">
        <f>G65</f>
        <v>0</v>
      </c>
    </row>
    <row r="66">
      <c r="B66" s="9">
        <v>48</v>
      </c>
      <c r="C66" s="9">
        <f>'Proyección'!B64</f>
        <v>2073</v>
      </c>
      <c r="D66" s="10">
        <f>H65</f>
        <v>0</v>
      </c>
      <c r="E66" s="10">
        <f>IF(B66&lt;=$E$7,$D$12*12*(1+$E$6)^(B66-1),0)</f>
        <v>0</v>
      </c>
      <c r="F66" s="10">
        <f>D66*$E$5</f>
        <v>0</v>
      </c>
      <c r="G66" s="10">
        <f>IF(B66&gt;=$F$12,IF(($I$12-$E$9-B66+2)&lt;=1,D66+F66,IF($E$5=0,D66/($I$12-$E$9-B66+2),D66*$E$5/(1-(1+$E$5)^(-($I$12-$E$9-B66+2))))),0)</f>
        <v>0</v>
      </c>
      <c r="H66" s="10">
        <f>D66+E66+F66-G66</f>
        <v>0</v>
      </c>
      <c r="I66" s="10">
        <f>M65</f>
        <v>0</v>
      </c>
      <c r="J66" s="10">
        <f>IF(B66&lt;=$E$7,$D$13*12*(1+$E$6)^(B66-1),0)</f>
        <v>0</v>
      </c>
      <c r="K66" s="10">
        <f>I66*$E$5</f>
        <v>0</v>
      </c>
      <c r="L66" s="10">
        <f>IF(OR(AND(B66&lt;=$E$7,B66&gt;=$F$13,MOD(B66-$F$13,5)=0),B66=$E$8,B66=51),I66+J66+K66,0)</f>
        <v>0</v>
      </c>
      <c r="M66" s="10">
        <f>I66+J66+K66-L66</f>
        <v>0</v>
      </c>
      <c r="N66" s="10">
        <f>R65</f>
        <v>0</v>
      </c>
      <c r="O66" s="10">
        <f>IF(B66&lt;=$E$7,$D$14*12*(1+$E$6)^(B66-1),0)</f>
        <v>0</v>
      </c>
      <c r="P66" s="10">
        <f>N66*$E$5</f>
        <v>0</v>
      </c>
      <c r="Q66" s="10">
        <f>IF(OR(B66=$F$14,AND(B66&gt;$F$14,B66=$E$8),B66=51),N66+O66+P66,0)</f>
        <v>0</v>
      </c>
      <c r="R66" s="10">
        <f>N66+O66+P66-Q66</f>
        <v>0</v>
      </c>
      <c r="S66" s="10">
        <f>L66+Q66</f>
        <v>0</v>
      </c>
      <c r="T66" s="10">
        <f>G66</f>
        <v>0</v>
      </c>
    </row>
    <row r="67">
      <c r="B67" s="9">
        <v>49</v>
      </c>
      <c r="C67" s="9">
        <f>'Proyección'!B65</f>
        <v>2074</v>
      </c>
      <c r="D67" s="10">
        <f>H66</f>
        <v>0</v>
      </c>
      <c r="E67" s="10">
        <f>IF(B67&lt;=$E$7,$D$12*12*(1+$E$6)^(B67-1),0)</f>
        <v>0</v>
      </c>
      <c r="F67" s="10">
        <f>D67*$E$5</f>
        <v>0</v>
      </c>
      <c r="G67" s="10">
        <f>IF(B67&gt;=$F$12,IF(($I$12-$E$9-B67+2)&lt;=1,D67+F67,IF($E$5=0,D67/($I$12-$E$9-B67+2),D67*$E$5/(1-(1+$E$5)^(-($I$12-$E$9-B67+2))))),0)</f>
        <v>0</v>
      </c>
      <c r="H67" s="10">
        <f>D67+E67+F67-G67</f>
        <v>0</v>
      </c>
      <c r="I67" s="10">
        <f>M66</f>
        <v>0</v>
      </c>
      <c r="J67" s="10">
        <f>IF(B67&lt;=$E$7,$D$13*12*(1+$E$6)^(B67-1),0)</f>
        <v>0</v>
      </c>
      <c r="K67" s="10">
        <f>I67*$E$5</f>
        <v>0</v>
      </c>
      <c r="L67" s="10">
        <f>IF(OR(AND(B67&lt;=$E$7,B67&gt;=$F$13,MOD(B67-$F$13,5)=0),B67=$E$8,B67=51),I67+J67+K67,0)</f>
        <v>0</v>
      </c>
      <c r="M67" s="10">
        <f>I67+J67+K67-L67</f>
        <v>0</v>
      </c>
      <c r="N67" s="10">
        <f>R66</f>
        <v>0</v>
      </c>
      <c r="O67" s="10">
        <f>IF(B67&lt;=$E$7,$D$14*12*(1+$E$6)^(B67-1),0)</f>
        <v>0</v>
      </c>
      <c r="P67" s="10">
        <f>N67*$E$5</f>
        <v>0</v>
      </c>
      <c r="Q67" s="10">
        <f>IF(OR(B67=$F$14,AND(B67&gt;$F$14,B67=$E$8),B67=51),N67+O67+P67,0)</f>
        <v>0</v>
      </c>
      <c r="R67" s="10">
        <f>N67+O67+P67-Q67</f>
        <v>0</v>
      </c>
      <c r="S67" s="10">
        <f>L67+Q67</f>
        <v>0</v>
      </c>
      <c r="T67" s="10">
        <f>G67</f>
        <v>0</v>
      </c>
    </row>
    <row r="68">
      <c r="B68" s="9">
        <v>50</v>
      </c>
      <c r="C68" s="9">
        <f>'Proyección'!B66</f>
        <v>2075</v>
      </c>
      <c r="D68" s="10">
        <f>H67</f>
        <v>0</v>
      </c>
      <c r="E68" s="10">
        <f>IF(B68&lt;=$E$7,$D$12*12*(1+$E$6)^(B68-1),0)</f>
        <v>0</v>
      </c>
      <c r="F68" s="10">
        <f>D68*$E$5</f>
        <v>0</v>
      </c>
      <c r="G68" s="10">
        <f>IF(B68&gt;=$F$12,IF(($I$12-$E$9-B68+2)&lt;=1,D68+F68,IF($E$5=0,D68/($I$12-$E$9-B68+2),D68*$E$5/(1-(1+$E$5)^(-($I$12-$E$9-B68+2))))),0)</f>
        <v>0</v>
      </c>
      <c r="H68" s="10">
        <f>D68+E68+F68-G68</f>
        <v>0</v>
      </c>
      <c r="I68" s="10">
        <f>M67</f>
        <v>0</v>
      </c>
      <c r="J68" s="10">
        <f>IF(B68&lt;=$E$7,$D$13*12*(1+$E$6)^(B68-1),0)</f>
        <v>0</v>
      </c>
      <c r="K68" s="10">
        <f>I68*$E$5</f>
        <v>0</v>
      </c>
      <c r="L68" s="10">
        <f>IF(OR(AND(B68&lt;=$E$7,B68&gt;=$F$13,MOD(B68-$F$13,5)=0),B68=$E$8,B68=51),I68+J68+K68,0)</f>
        <v>0</v>
      </c>
      <c r="M68" s="10">
        <f>I68+J68+K68-L68</f>
        <v>0</v>
      </c>
      <c r="N68" s="10">
        <f>R67</f>
        <v>0</v>
      </c>
      <c r="O68" s="10">
        <f>IF(B68&lt;=$E$7,$D$14*12*(1+$E$6)^(B68-1),0)</f>
        <v>0</v>
      </c>
      <c r="P68" s="10">
        <f>N68*$E$5</f>
        <v>0</v>
      </c>
      <c r="Q68" s="10">
        <f>IF(OR(B68=$F$14,AND(B68&gt;$F$14,B68=$E$8),B68=51),N68+O68+P68,0)</f>
        <v>0</v>
      </c>
      <c r="R68" s="10">
        <f>N68+O68+P68-Q68</f>
        <v>0</v>
      </c>
      <c r="S68" s="10">
        <f>L68+Q68</f>
        <v>0</v>
      </c>
      <c r="T68" s="10">
        <f>G68</f>
        <v>0</v>
      </c>
    </row>
    <row r="69">
      <c r="B69" s="9">
        <v>51</v>
      </c>
      <c r="C69" s="9">
        <f>'Proyección'!B67</f>
        <v>2076</v>
      </c>
      <c r="D69" s="10">
        <f>H68</f>
        <v>0</v>
      </c>
      <c r="E69" s="10">
        <f>IF(B69&lt;=$E$7,$D$12*12*(1+$E$6)^(B69-1),0)</f>
        <v>0</v>
      </c>
      <c r="F69" s="10">
        <f>D69*$E$5</f>
        <v>0</v>
      </c>
      <c r="G69" s="10">
        <f>IF(B69&gt;=$F$12,IF(($I$12-$E$9-B69+2)&lt;=1,D69+F69,IF($E$5=0,D69/($I$12-$E$9-B69+2),D69*$E$5/(1-(1+$E$5)^(-($I$12-$E$9-B69+2))))),0)</f>
        <v>0</v>
      </c>
      <c r="H69" s="10">
        <f>D69+E69+F69-G69</f>
        <v>0</v>
      </c>
      <c r="I69" s="10">
        <f>M68</f>
        <v>0</v>
      </c>
      <c r="J69" s="10">
        <f>IF(B69&lt;=$E$7,$D$13*12*(1+$E$6)^(B69-1),0)</f>
        <v>0</v>
      </c>
      <c r="K69" s="10">
        <f>I69*$E$5</f>
        <v>0</v>
      </c>
      <c r="L69" s="10">
        <f>IF(OR(AND(B69&lt;=$E$7,B69&gt;=$F$13,MOD(B69-$F$13,5)=0),B69=$E$8,B69=51),I69+J69+K69,0)</f>
        <v>0</v>
      </c>
      <c r="M69" s="10">
        <f>I69+J69+K69-L69</f>
        <v>0</v>
      </c>
      <c r="N69" s="10">
        <f>R68</f>
        <v>0</v>
      </c>
      <c r="O69" s="10">
        <f>IF(B69&lt;=$E$7,$D$14*12*(1+$E$6)^(B69-1),0)</f>
        <v>0</v>
      </c>
      <c r="P69" s="10">
        <f>N69*$E$5</f>
        <v>0</v>
      </c>
      <c r="Q69" s="10">
        <f>IF(OR(B69=$F$14,AND(B69&gt;$F$14,B69=$E$8),B69=51),N69+O69+P69,0)</f>
        <v>0</v>
      </c>
      <c r="R69" s="10">
        <f>N69+O69+P69-Q69</f>
        <v>0</v>
      </c>
      <c r="S69" s="10">
        <f>L69+Q69</f>
        <v>0</v>
      </c>
      <c r="T69" s="10">
        <f>G69</f>
        <v>0</v>
      </c>
    </row>
  </sheetData>
  <mergeCells count="5">
    <mergeCell ref="B5:D5"/>
    <mergeCell ref="B6:D6"/>
    <mergeCell ref="B7:D7"/>
    <mergeCell ref="B8:D8"/>
    <mergeCell ref="B9:D9"/>
  </mergeCell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