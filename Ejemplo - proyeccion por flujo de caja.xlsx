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e" sheetId="1" state="visible" r:id="rId1"/>
    <sheet xmlns:r="http://schemas.openxmlformats.org/officeDocument/2006/relationships" name="Proyección" sheetId="2" state="visible" r:id="rId2"/>
    <sheet xmlns:r="http://schemas.openxmlformats.org/officeDocument/2006/relationships" name="Ingresos" sheetId="5" state="visible" r:id="rId20"/>
    <sheet xmlns:r="http://schemas.openxmlformats.org/officeDocument/2006/relationships" name="Gastos" sheetId="6" state="visible" r:id="rId21"/>
    <sheet xmlns:r="http://schemas.openxmlformats.org/officeDocument/2006/relationships" name="Inversiones" sheetId="7" state="visible" r:id="rId22"/>
    <sheet xmlns:r="http://schemas.openxmlformats.org/officeDocument/2006/relationships" name="Desinversiones" sheetId="8" state="visible" r:id="rId23"/>
    <sheet xmlns:r="http://schemas.openxmlformats.org/officeDocument/2006/relationships" name="Retiros del portafolio" sheetId="9" state="visible" r:id="rId24"/>
    <sheet xmlns:r="http://schemas.openxmlformats.org/officeDocument/2006/relationships" name="Pensiones" sheetId="4" state="visible" r:id="rId6"/>
    <sheet xmlns:r="http://schemas.openxmlformats.org/officeDocument/2006/relationships" name="Datos" sheetId="3" state="hidden" r:id="rId3"/>
  </sheets>
  <definedNames/>
  <calcPr calcId="124519" fullCalcOnLoad="1"/>
</workbook>
</file>

<file path=xl/styles.xml><?xml version="1.0" encoding="utf-8"?>
<styleSheet xmlns="http://schemas.openxmlformats.org/spreadsheetml/2006/main">
  <numFmts count="2">
    <numFmt numFmtId="170" formatCode="0.0"/>
    <numFmt numFmtId="164" formatCode="0.0%"/>
  </numFmts>
  <fonts count="12">
    <font>
      <name val="Calibri"/>
      <family val="2"/>
      <color theme="1"/>
      <sz val="11"/>
      <scheme val="minor"/>
    </font>
    <font>
      <b val="1"/>
    </font>
    <font>
      <b val="1"/>
      <sz val="14"/>
    </font>
    <font>
      <b val="1"/>
      <sz val="11.5"/>
    </font>
    <font>
      <b val="1"/>
      <sz val="16"/>
      <color rgb="FF2B3014"/>
      <name val="Calibri"/>
      <family val="2"/>
    </font>
    <font>
      <i val="1"/>
      <sz val="9.5"/>
      <color rgb="FF5A5E44"/>
      <name val="Calibri"/>
      <family val="2"/>
    </font>
    <font>
      <b val="1"/>
      <sz val="10.5"/>
      <color rgb="FFFFFFFF"/>
      <name val="Calibri"/>
      <family val="2"/>
    </font>
    <font>
      <b val="1"/>
      <sz val="10"/>
      <color rgb="FF918042"/>
      <name val="Calibri"/>
      <family val="2"/>
    </font>
    <font>
      <sz val="10"/>
      <color rgb="FF1E2010"/>
      <name val="Calibri"/>
      <family val="2"/>
    </font>
    <font>
      <b val="1"/>
      <sz val="9.5"/>
      <color rgb="FF2B3014"/>
      <name val="Calibri"/>
      <family val="2"/>
    </font>
    <font>
      <b val="1"/>
      <sz val="10"/>
      <color rgb="FF141709"/>
      <name val="Calibri"/>
      <family val="2"/>
    </font>
    <font>
      <i val="1"/>
      <sz val="9"/>
      <color rgb="FF6B6E55"/>
      <name val="Calibri"/>
      <family val="2"/>
    </font>
  </fonts>
  <fills count="7">
    <fill>
      <patternFill/>
    </fill>
    <fill>
      <patternFill patternType="gray125"/>
    </fill>
    <fill>
      <patternFill patternType="solid">
        <fgColor rgb="FF2B3014"/>
        <bgColor indexed="64"/>
      </patternFill>
    </fill>
    <fill>
      <patternFill patternType="solid">
        <fgColor rgb="FF918042"/>
        <bgColor indexed="64"/>
      </patternFill>
    </fill>
    <fill>
      <patternFill patternType="solid">
        <fgColor rgb="FFFFF8E5"/>
        <bgColor indexed="64"/>
      </patternFill>
    </fill>
    <fill>
      <patternFill patternType="solid">
        <fgColor rgb="FFEEF1E6"/>
        <bgColor indexed="64"/>
      </patternFill>
    </fill>
    <fill>
      <patternFill patternType="solid">
        <fgColor rgb="FFF4F5EE"/>
        <bgColor indexed="64"/>
      </patternFill>
    </fill>
  </fills>
  <borders count="7">
    <border>
      <left/>
      <right/>
      <top/>
      <bottom/>
      <diagonal/>
    </border>
    <border>
      <bottom style="medium"/>
    </border>
    <border>
      <bottom style="thin"/>
    </border>
    <border>
      <left/>
      <right/>
      <top/>
      <bottom style="thin">
        <color rgb="FFD9DDCB"/>
      </bottom>
      <diagonal/>
    </border>
    <border>
      <left/>
      <right/>
      <top/>
      <bottom style="medium">
        <color rgb="FF2B3014"/>
      </bottom>
      <diagonal/>
    </border>
    <border>
      <left/>
      <right/>
      <top/>
      <bottom style="thin">
        <color rgb="FF918042"/>
      </bottom>
      <diagonal/>
    </border>
    <border>
      <left style="thin">
        <color rgb="FFD9DDCB"/>
      </left>
      <right/>
      <top/>
      <bottom style="thin">
        <color rgb="FFD9DDCB"/>
      </bottom>
      <diagonal/>
    </border>
  </borders>
  <cellStyleXfs count="1">
    <xf numFmtId="0" fontId="0" fillId="0" borderId="0"/>
  </cellStyleXfs>
  <cellXfs count="37">
    <xf numFmtId="0" fontId="0" fillId="0" borderId="0" pivotButton="0" quotePrefix="0" xfId="0"/>
    <xf numFmtId="0" fontId="1" fillId="0" borderId="0" pivotButton="0" quotePrefix="0" xfId="0"/>
    <xf numFmtId="4" fontId="0" fillId="0" borderId="0" pivotButton="0" quotePrefix="0" xfId="0"/>
    <xf numFmtId="0" fontId="2" fillId="0" borderId="0" pivotButton="0" quotePrefix="0" xfId="0"/>
    <xf numFmtId="164" fontId="0" fillId="0" borderId="0" pivotButton="0" quotePrefix="0" xfId="0"/>
    <xf numFmtId="0" fontId="1" fillId="0" borderId="1" applyAlignment="1" pivotButton="0" quotePrefix="0" xfId="0">
      <alignment vertical="bottom" wrapText="1"/>
    </xf>
    <xf numFmtId="0" fontId="3" fillId="0" borderId="2" pivotButton="0" quotePrefix="0" xfId="0"/>
    <xf numFmtId="164" fontId="0" fillId="0" borderId="0" pivotButton="0" quotePrefix="0" xfId="0"/>
    <xf numFmtId="170" fontId="0" fillId="0" borderId="0" pivotButton="0" quotePrefix="0" xfId="0"/>
    <xf numFmtId="1" fontId="0" fillId="0" borderId="0" pivotButton="0" quotePrefix="0" xfId="0"/>
    <xf numFmtId="3" fontId="0" fillId="0" borderId="0" pivotButton="0" quotePrefix="0" xfId="0"/>
    <xf numFmtId="0" fontId="4" fillId="0" borderId="0" applyNumberFormat="1" applyFont="1" applyFill="1" applyBorder="1"/>
    <xf numFmtId="0" fontId="5" fillId="0" borderId="0" applyNumberFormat="1" applyFont="1" applyFill="1" applyBorder="1"/>
    <xf numFmtId="0" fontId="6" fillId="2" borderId="0" applyNumberFormat="1" applyFont="1" applyFill="1" applyBorder="1" applyAlignment="1">
      <alignment vertical="center" indent="1"/>
    </xf>
    <xf numFmtId="0" fontId="6" fillId="3" borderId="0" applyNumberFormat="1" applyFont="1" applyFill="1" applyBorder="1" applyAlignment="1">
      <alignment horizontal="center" vertical="center" wrapText="1"/>
    </xf>
    <xf numFmtId="0" fontId="7" fillId="0" borderId="5" applyNumberFormat="1" applyFont="1" applyFill="1" applyBorder="1" applyAlignment="1">
      <alignment vertical="bottom"/>
    </xf>
    <xf numFmtId="0" fontId="8" fillId="0" borderId="3" applyNumberFormat="1" applyFont="1" applyFill="1" applyBorder="1" applyAlignment="1">
      <alignment vertical="center"/>
    </xf>
    <xf numFmtId="3" fontId="8" fillId="4" borderId="3" applyNumberFormat="1" applyFont="1" applyFill="1" applyBorder="1" applyAlignment="1">
      <alignment vertical="center"/>
    </xf>
    <xf numFmtId="164" fontId="8" fillId="4" borderId="3" applyNumberFormat="1" applyFont="1" applyFill="1" applyBorder="1" applyAlignment="1">
      <alignment vertical="center"/>
    </xf>
    <xf numFmtId="1" fontId="8" fillId="4" borderId="3" applyNumberFormat="1" applyFont="1" applyFill="1" applyBorder="1" applyAlignment="1">
      <alignment vertical="center"/>
    </xf>
    <xf numFmtId="0" fontId="8" fillId="4" borderId="3" applyNumberFormat="1" applyFont="1" applyFill="1" applyBorder="1" applyAlignment="1">
      <alignment vertical="center" wrapText="1"/>
    </xf>
    <xf numFmtId="0" fontId="9" fillId="5" borderId="4" applyNumberFormat="1" applyFont="1" applyFill="1" applyBorder="1" applyAlignment="1">
      <alignment horizontal="center" vertical="center" wrapText="1"/>
    </xf>
    <xf numFmtId="3" fontId="8" fillId="0" borderId="3" applyNumberFormat="1" applyFont="1" applyFill="1" applyBorder="1" applyAlignment="1">
      <alignment vertical="center"/>
    </xf>
    <xf numFmtId="3" fontId="10" fillId="6" borderId="6" applyNumberFormat="1" applyFont="1" applyFill="1" applyBorder="1" applyAlignment="1">
      <alignment vertical="center"/>
    </xf>
    <xf numFmtId="164" fontId="8" fillId="0" borderId="3" applyNumberFormat="1" applyFont="1" applyFill="1" applyBorder="1" applyAlignment="1">
      <alignment vertical="center"/>
    </xf>
    <xf numFmtId="1" fontId="8" fillId="0" borderId="3" applyNumberFormat="1" applyFont="1" applyFill="1" applyBorder="1" applyAlignment="1">
      <alignment horizontal="center" vertical="center"/>
    </xf>
    <xf numFmtId="0" fontId="8" fillId="0" borderId="3" applyNumberFormat="1" applyFont="1" applyFill="1" applyBorder="1" applyAlignment="1">
      <alignment vertical="center"/>
    </xf>
    <xf numFmtId="1" fontId="9" fillId="5" borderId="4" applyNumberFormat="1" applyFont="1" applyFill="1" applyBorder="1" applyAlignment="1">
      <alignment horizontal="center"/>
    </xf>
    <xf numFmtId="164" fontId="10" fillId="6" borderId="6" applyNumberFormat="1" applyFont="1" applyFill="1" applyBorder="1"/>
    <xf numFmtId="0" fontId="11" fillId="0" borderId="0" applyNumberFormat="1" applyFont="1" applyFill="1" applyBorder="1" applyAlignment="1">
      <alignment vertical="top" wrapText="1"/>
    </xf>
    <xf numFmtId="0" fontId="8" fillId="0" borderId="3" applyNumberFormat="1" applyFont="1" applyFill="1" applyBorder="1" applyAlignment="1">
      <alignment vertical="center" wrapText="1"/>
    </xf>
    <xf numFmtId="170" fontId="8" fillId="0" borderId="3" applyNumberFormat="1" applyFont="1" applyFill="1" applyBorder="1" applyAlignment="1">
      <alignment vertical="center"/>
    </xf>
    <xf numFmtId="1" fontId="8" fillId="0" borderId="3" applyNumberFormat="1" applyFont="1" applyFill="1" applyBorder="1" applyAlignment="1">
      <alignment vertical="center"/>
    </xf>
    <xf numFmtId="0" fontId="8" fillId="4" borderId="3" applyNumberFormat="1" applyFont="1" applyFill="1" applyBorder="1" applyAlignment="1">
      <alignment horizontal="center" vertical="center" wrapText="1"/>
    </xf>
    <xf numFmtId="1" fontId="8" fillId="4" borderId="3" applyNumberFormat="1" applyFont="1" applyFill="1" applyBorder="1" applyAlignment="1">
      <alignment horizontal="center" vertical="center"/>
    </xf>
    <xf numFmtId="4" fontId="8" fillId="0" borderId="3" applyNumberFormat="1" applyFont="1" applyFill="1" applyBorder="1" applyAlignment="1">
      <alignment vertical="center"/>
    </xf>
    <xf numFmtId="4" fontId="8" fillId="4" borderId="3" applyNumberFormat="1" applyFont="1" applyFill="1" applyBorder="1" applyAlignment="1">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 Type="http://schemas.openxmlformats.org/officeDocument/2006/relationships/worksheet" Target="/xl/worksheets/sheet4.xml" Id="rId6"/><Relationship Type="http://schemas.openxmlformats.org/officeDocument/2006/relationships/worksheet" Target="/xl/worksheets/sheet5.xml" Id="rId20"/><Relationship Type="http://schemas.openxmlformats.org/officeDocument/2006/relationships/worksheet" Target="/xl/worksheets/sheet6.xml" Id="rId21"/><Relationship Type="http://schemas.openxmlformats.org/officeDocument/2006/relationships/worksheet" Target="/xl/worksheets/sheet7.xml" Id="rId22"/><Relationship Type="http://schemas.openxmlformats.org/officeDocument/2006/relationships/worksheet" Target="/xl/worksheets/sheet8.xml" Id="rId23"/><Relationship Type="http://schemas.openxmlformats.org/officeDocument/2006/relationships/worksheet" Target="/xl/worksheets/sheet9.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Cartera sugerida</a:t>
            </a:r>
          </a:p>
        </rich>
      </tx>
    </title>
    <plotArea>
      <pieChart>
        <varyColors val="1"/>
        <ser>
          <idx val="0"/>
          <order val="0"/>
          <tx>
            <strRef>
              <f>'Datos'!B1</f>
            </strRef>
          </tx>
          <spPr>
            <a:ln xmlns:a="http://schemas.openxmlformats.org/drawingml/2006/main">
              <a:prstDash val="solid"/>
            </a:ln>
          </spPr>
          <dPt>
            <idx val="0"/>
            <spPr>
              <a:solidFill xmlns:a="http://schemas.openxmlformats.org/drawingml/2006/main">
                <a:srgbClr val="2B3014"/>
              </a:solidFill>
              <a:ln xmlns:a="http://schemas.openxmlformats.org/drawingml/2006/main" w="19050">
                <a:solidFill>
                  <a:srgbClr val="FFFFFF"/>
                </a:solidFill>
                <a:prstDash val="solid"/>
              </a:ln>
            </spPr>
          </dPt>
          <dPt>
            <idx val="1"/>
            <spPr>
              <a:solidFill xmlns:a="http://schemas.openxmlformats.org/drawingml/2006/main">
                <a:srgbClr val="918042"/>
              </a:solidFill>
              <a:ln xmlns:a="http://schemas.openxmlformats.org/drawingml/2006/main" w="19050">
                <a:solidFill>
                  <a:srgbClr val="FFFFFF"/>
                </a:solidFill>
                <a:prstDash val="solid"/>
              </a:ln>
            </spPr>
          </dPt>
          <dPt>
            <idx val="2"/>
            <spPr>
              <a:solidFill xmlns:a="http://schemas.openxmlformats.org/drawingml/2006/main">
                <a:srgbClr val="B3BC80"/>
              </a:solidFill>
              <a:ln xmlns:a="http://schemas.openxmlformats.org/drawingml/2006/main" w="19050">
                <a:solidFill>
                  <a:srgbClr val="FFFFFF"/>
                </a:solidFill>
                <a:prstDash val="solid"/>
              </a:ln>
            </spPr>
          </dPt>
          <cat>
            <strRef>
              <f>'Datos'!$A$2:$A$4</f>
            </strRef>
          </cat>
          <val>
            <numRef>
              <f>'Datos'!$B$2:$B$4</f>
            </numRef>
          </val>
        </ser>
        <dLbls>
          <numFmt formatCode="0.0%" sourceLinked="0"/>
          <txPr>
            <a:bodyPr xmlns:a="http://schemas.openxmlformats.org/drawingml/2006/main"/>
            <a:p xmlns:a="http://schemas.openxmlformats.org/drawingml/2006/main">
              <a:pPr>
                <a:defRPr sz="1000" b="1">
                  <a:solidFill>
                    <a:srgbClr val="2B3014"/>
                  </a:solidFill>
                </a:defRPr>
              </a:pPr>
              <a:endParaRPr lang="es-CR"/>
            </a:p>
          </txPr>
          <dLblPos val="outEnd"/>
          <showLegendKey val="0"/>
          <showVal val="1"/>
          <showCatName val="0"/>
          <showSerName val="0"/>
          <showPercent val="0"/>
        </dLbls>
        <firstSliceAng val="0"/>
      </pieChart>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Proyección del portafolio</a:t>
            </a:r>
          </a:p>
        </rich>
      </tx>
    </title>
    <plotArea>
      <lineChart>
        <grouping val="standard"/>
        <ser>
          <idx val="0"/>
          <order val="0"/>
          <tx>
            <strRef>
              <f>'Proyección'!AJ29</f>
            </strRef>
          </tx>
          <spPr>
            <a:ln xmlns:a="http://schemas.openxmlformats.org/drawingml/2006/main" w="22000">
              <a:solidFill>
                <a:srgbClr val="2B3014"/>
              </a:solidFill>
              <a:prstDash val="solid"/>
            </a:ln>
          </spPr>
          <marker>
            <symbol val="none"/>
            <spPr>
              <a:ln xmlns:a="http://schemas.openxmlformats.org/drawingml/2006/main">
                <a:prstDash val="solid"/>
              </a:ln>
            </spPr>
          </marker>
          <cat>
            <numRef>
              <f>'Proyección'!$C$30:$C$79</f>
            </numRef>
          </cat>
          <val>
            <numRef>
              <f>'Proyección'!$AJ$30:$AJ$79</f>
            </numRef>
          </val>
          <smooth val="0"/>
        </ser>
        <ser>
          <idx val="1"/>
          <order val="1"/>
          <tx>
            <strRef>
              <f>'Proyección'!AK29</f>
            </strRef>
          </tx>
          <spPr>
            <a:ln xmlns:a="http://schemas.openxmlformats.org/drawingml/2006/main" w="22000">
              <a:solidFill>
                <a:srgbClr val="918042"/>
              </a:solidFill>
              <a:prstDash val="solid"/>
            </a:ln>
          </spPr>
          <marker>
            <symbol val="none"/>
            <spPr>
              <a:ln xmlns:a="http://schemas.openxmlformats.org/drawingml/2006/main">
                <a:prstDash val="solid"/>
              </a:ln>
            </spPr>
          </marker>
          <cat>
            <numRef>
              <f>'Proyección'!$C$30:$C$79</f>
            </numRef>
          </cat>
          <val>
            <numRef>
              <f>'Proyección'!$AK$30:$AK$79</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Edad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Dólares</a:t>
                </a:r>
              </a:p>
            </rich>
          </tx>
        </title>
        <numFmt formatCode="#,##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Cartera de equilibrio</a:t>
            </a:r>
          </a:p>
        </rich>
      </tx>
    </title>
    <plotArea>
      <pieChart>
        <varyColors val="1"/>
        <ser>
          <idx val="0"/>
          <order val="0"/>
          <tx>
            <strRef>
              <f>'Datos'!C1</f>
            </strRef>
          </tx>
          <spPr>
            <a:ln xmlns:a="http://schemas.openxmlformats.org/drawingml/2006/main">
              <a:prstDash val="solid"/>
            </a:ln>
          </spPr>
          <dPt>
            <idx val="0"/>
            <spPr>
              <a:solidFill xmlns:a="http://schemas.openxmlformats.org/drawingml/2006/main">
                <a:srgbClr val="2B3014"/>
              </a:solidFill>
              <a:ln xmlns:a="http://schemas.openxmlformats.org/drawingml/2006/main" w="19050">
                <a:solidFill>
                  <a:srgbClr val="FFFFFF"/>
                </a:solidFill>
                <a:prstDash val="solid"/>
              </a:ln>
            </spPr>
          </dPt>
          <dPt>
            <idx val="1"/>
            <spPr>
              <a:solidFill xmlns:a="http://schemas.openxmlformats.org/drawingml/2006/main">
                <a:srgbClr val="918042"/>
              </a:solidFill>
              <a:ln xmlns:a="http://schemas.openxmlformats.org/drawingml/2006/main" w="19050">
                <a:solidFill>
                  <a:srgbClr val="FFFFFF"/>
                </a:solidFill>
                <a:prstDash val="solid"/>
              </a:ln>
            </spPr>
          </dPt>
          <dPt>
            <idx val="2"/>
            <spPr>
              <a:solidFill xmlns:a="http://schemas.openxmlformats.org/drawingml/2006/main">
                <a:srgbClr val="B3BC80"/>
              </a:solidFill>
              <a:ln xmlns:a="http://schemas.openxmlformats.org/drawingml/2006/main" w="19050">
                <a:solidFill>
                  <a:srgbClr val="FFFFFF"/>
                </a:solidFill>
                <a:prstDash val="solid"/>
              </a:ln>
            </spPr>
          </dPt>
          <cat>
            <strRef>
              <f>'Datos'!$A$2:$A$4</f>
            </strRef>
          </cat>
          <val>
            <numRef>
              <f>'Datos'!$C$2:$C$4</f>
            </numRef>
          </val>
        </ser>
        <dLbls>
          <numFmt formatCode="0.0%" sourceLinked="0"/>
          <txPr>
            <a:bodyPr xmlns:a="http://schemas.openxmlformats.org/drawingml/2006/main"/>
            <a:p xmlns:a="http://schemas.openxmlformats.org/drawingml/2006/main">
              <a:pPr>
                <a:defRPr sz="1000" b="1">
                  <a:solidFill>
                    <a:srgbClr val="2B3014"/>
                  </a:solidFill>
                </a:defRPr>
              </a:pPr>
              <a:endParaRPr lang="es-CR"/>
            </a:p>
          </txPr>
          <dLblPos val="outEnd"/>
          <showLegendKey val="0"/>
          <showVal val="1"/>
          <showCatName val="0"/>
          <showSerName val="0"/>
          <showPercent val="0"/>
        </dLbls>
        <firstSliceAng val="0"/>
      </pieChart>
    </plotArea>
    <legend>
      <legendPos val="b"/>
    </legend>
    <plotVisOnly val="1"/>
    <dispBlanksAs val="gap"/>
  </chart>
</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title>
      <c:tx>
        <c:rich>
          <a:bodyPr xmlns:a="http://schemas.openxmlformats.org/drawingml/2006/main"/>
          <a:p xmlns:a="http://schemas.openxmlformats.org/drawingml/2006/main">
            <a:pPr>
              <a:defRPr sz="1200" b="1"/>
            </a:pPr>
            <a:r>
              <a:rPr lang="es-CR" sz="1200" b="1"/>
              <a:t>Rendimiento de equilibrio</a:t>
            </a:r>
          </a:p>
        </c:rich>
      </c:tx>
      <c:overlay val="0"/>
    </c:title>
    <c:autoTitleDeleted val="0"/>
    <c:plotArea>
      <c:layout/>
      <c:scatterChart>
        <c:scatterStyle val="lineMarker"/>
        <c:varyColors val="0"/>
        <c:ser>
          <c:idx val="0"/>
          <c:order val="0"/>
          <c:tx>
            <c:strRef>
              <c:f>'Datos'!$E$1</c:f>
            </c:strRef>
          </c:tx>
          <c:spPr>
            <a:ln xmlns:a="http://schemas.openxmlformats.org/drawingml/2006/main" w="25400">
              <a:solidFill xmlns:a="http://schemas.openxmlformats.org/drawingml/2006/main">
                <a:srgbClr val="2B3014"/>
              </a:solidFill>
              <a:prstDash val="solid"/>
            </a:ln>
          </c:spPr>
          <c:marker>
            <c:symbol val="none"/>
          </c:marker>
          <c:xVal>
            <c:numRef>
              <c:f>'Datos'!$E$2:$E$82</c:f>
            </c:numRef>
          </c:xVal>
          <c:yVal>
            <c:numRef>
              <c:f>'Datos'!$F$2:$F$82</c:f>
            </c:numRef>
          </c:yVal>
          <c:smooth val="0"/>
        </c:ser>
        <c:ser>
          <c:idx val="1"/>
          <c:order val="1"/>
          <c:tx>
            <c:strRef>
              <c:f>'Datos'!$H$2</c:f>
            </c:strRef>
          </c:tx>
          <c:spPr>
            <a:ln xmlns:a="http://schemas.openxmlformats.org/drawingml/2006/main">
              <a:noFill xmlns:a="http://schemas.openxmlformats.org/drawingml/2006/main"/>
            </a:ln>
          </c:spPr>
          <c:marker>
            <c:symbol val="circle"/>
            <c:size val="5"/>
            <c:spPr>
              <a:solidFill xmlns:a="http://schemas.openxmlformats.org/drawingml/2006/main">
                <a:srgbClr val="2B3014"/>
              </a:solidFill>
              <a:ln w="15875">
                <a:solidFill xmlns:a="http://schemas.openxmlformats.org/drawingml/2006/main">
                  <a:srgbClr val="2B3014"/>
                </a:solidFill>
              </a:ln>
            </c:spPr>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2B3014"/>
                    </a:solidFill>
                  </a:defRPr>
                </a:pPr>
                <a:endParaRPr lang="es-CR"/>
              </a:p>
            </c:txPr>
            <c:dLblPos val="b"/>
            <c:showLegendKey val="0"/>
            <c:showVal val="0"/>
            <c:showCatName val="0"/>
            <c:showSerName val="1"/>
            <c:showPercent val="0"/>
            <c:showBubbleSize val="0"/>
          </c:dLbls>
          <c:xVal>
            <c:numRef>
              <c:f>'Datos'!$I$2</c:f>
            </c:numRef>
          </c:xVal>
          <c:yVal>
            <c:numRef>
              <c:f>'Datos'!$J$2</c:f>
            </c:numRef>
          </c:yVal>
          <c:smooth val="0"/>
        </c:ser>
        <c:ser>
          <c:idx val="2"/>
          <c:order val="2"/>
          <c:tx>
            <c:strRef>
              <c:f>'Datos'!$H$3</c:f>
            </c:strRef>
          </c:tx>
          <c:spPr>
            <a:ln xmlns:a="http://schemas.openxmlformats.org/drawingml/2006/main">
              <a:noFill xmlns:a="http://schemas.openxmlformats.org/drawingml/2006/main"/>
            </a:ln>
          </c:spPr>
          <c:marker>
            <c:symbol val="circle"/>
            <c:size val="5"/>
            <c:spPr>
              <a:solidFill xmlns:a="http://schemas.openxmlformats.org/drawingml/2006/main">
                <a:srgbClr val="2B3014"/>
              </a:solidFill>
              <a:ln w="15875">
                <a:solidFill xmlns:a="http://schemas.openxmlformats.org/drawingml/2006/main">
                  <a:srgbClr val="2B3014"/>
                </a:solidFill>
              </a:ln>
            </c:spPr>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2B3014"/>
                    </a:solidFill>
                  </a:defRPr>
                </a:pPr>
                <a:endParaRPr lang="es-CR"/>
              </a:p>
            </c:txPr>
            <c:dLblPos val="b"/>
            <c:showLegendKey val="0"/>
            <c:showVal val="0"/>
            <c:showCatName val="0"/>
            <c:showSerName val="1"/>
            <c:showPercent val="0"/>
            <c:showBubbleSize val="0"/>
          </c:dLbls>
          <c:xVal>
            <c:numRef>
              <c:f>'Datos'!$I$3</c:f>
            </c:numRef>
          </c:xVal>
          <c:yVal>
            <c:numRef>
              <c:f>'Datos'!$J$3</c:f>
            </c:numRef>
          </c:yVal>
          <c:smooth val="0"/>
        </c:ser>
        <c:ser>
          <c:idx val="3"/>
          <c:order val="3"/>
          <c:tx>
            <c:strRef>
              <c:f>'Datos'!$H$4</c:f>
            </c:strRef>
          </c:tx>
          <c:spPr>
            <a:ln xmlns:a="http://schemas.openxmlformats.org/drawingml/2006/main">
              <a:noFill xmlns:a="http://schemas.openxmlformats.org/drawingml/2006/main"/>
            </a:ln>
          </c:spPr>
          <c:marker>
            <c:symbol val="circle"/>
            <c:size val="5"/>
            <c:spPr>
              <a:solidFill xmlns:a="http://schemas.openxmlformats.org/drawingml/2006/main">
                <a:srgbClr val="2B3014"/>
              </a:solidFill>
              <a:ln w="15875">
                <a:solidFill xmlns:a="http://schemas.openxmlformats.org/drawingml/2006/main">
                  <a:srgbClr val="2B3014"/>
                </a:solidFill>
              </a:ln>
            </c:spPr>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2B3014"/>
                    </a:solidFill>
                  </a:defRPr>
                </a:pPr>
                <a:endParaRPr lang="es-CR"/>
              </a:p>
            </c:txPr>
            <c:dLblPos val="b"/>
            <c:showLegendKey val="0"/>
            <c:showVal val="0"/>
            <c:showCatName val="0"/>
            <c:showSerName val="1"/>
            <c:showPercent val="0"/>
            <c:showBubbleSize val="0"/>
          </c:dLbls>
          <c:xVal>
            <c:numRef>
              <c:f>'Datos'!$I$4</c:f>
            </c:numRef>
          </c:xVal>
          <c:yVal>
            <c:numRef>
              <c:f>'Datos'!$J$4</c:f>
            </c:numRef>
          </c:yVal>
          <c:smooth val="0"/>
        </c:ser>
        <c:ser>
          <c:idx val="4"/>
          <c:order val="4"/>
          <c:tx>
            <c:strRef>
              <c:f>'Datos'!$H$5</c:f>
            </c:strRef>
          </c:tx>
          <c:spPr>
            <a:ln xmlns:a="http://schemas.openxmlformats.org/drawingml/2006/main">
              <a:noFill xmlns:a="http://schemas.openxmlformats.org/drawingml/2006/main"/>
            </a:ln>
          </c:spPr>
          <c:marker>
            <c:symbol val="circle"/>
            <c:size val="5"/>
            <c:spPr>
              <a:solidFill xmlns:a="http://schemas.openxmlformats.org/drawingml/2006/main">
                <a:srgbClr val="2B3014"/>
              </a:solidFill>
              <a:ln w="15875">
                <a:solidFill xmlns:a="http://schemas.openxmlformats.org/drawingml/2006/main">
                  <a:srgbClr val="2B3014"/>
                </a:solidFill>
              </a:ln>
            </c:spPr>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2B3014"/>
                    </a:solidFill>
                  </a:defRPr>
                </a:pPr>
                <a:endParaRPr lang="es-CR"/>
              </a:p>
            </c:txPr>
            <c:dLblPos val="b"/>
            <c:showLegendKey val="0"/>
            <c:showVal val="0"/>
            <c:showCatName val="0"/>
            <c:showSerName val="1"/>
            <c:showPercent val="0"/>
            <c:showBubbleSize val="0"/>
          </c:dLbls>
          <c:xVal>
            <c:numRef>
              <c:f>'Datos'!$I$5</c:f>
            </c:numRef>
          </c:xVal>
          <c:yVal>
            <c:numRef>
              <c:f>'Datos'!$J$5</c:f>
            </c:numRef>
          </c:yVal>
          <c:smooth val="0"/>
        </c:ser>
        <c:ser>
          <c:idx val="5"/>
          <c:order val="5"/>
          <c:tx>
            <c:strRef>
              <c:f>'Datos'!$H$6</c:f>
            </c:strRef>
          </c:tx>
          <c:spPr>
            <a:ln xmlns:a="http://schemas.openxmlformats.org/drawingml/2006/main">
              <a:noFill xmlns:a="http://schemas.openxmlformats.org/drawingml/2006/main"/>
            </a:ln>
          </c:spPr>
          <c:marker>
            <c:symbol val="circle"/>
            <c:size val="5"/>
            <c:spPr>
              <a:solidFill xmlns:a="http://schemas.openxmlformats.org/drawingml/2006/main">
                <a:srgbClr val="2B3014"/>
              </a:solidFill>
              <a:ln w="15875">
                <a:solidFill xmlns:a="http://schemas.openxmlformats.org/drawingml/2006/main">
                  <a:srgbClr val="2B3014"/>
                </a:solidFill>
              </a:ln>
            </c:spPr>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2B3014"/>
                    </a:solidFill>
                  </a:defRPr>
                </a:pPr>
                <a:endParaRPr lang="es-CR"/>
              </a:p>
            </c:txPr>
            <c:dLblPos val="t"/>
            <c:showLegendKey val="0"/>
            <c:showVal val="0"/>
            <c:showCatName val="0"/>
            <c:showSerName val="1"/>
            <c:showPercent val="0"/>
            <c:showBubbleSize val="0"/>
          </c:dLbls>
          <c:xVal>
            <c:numRef>
              <c:f>'Datos'!$I$6</c:f>
            </c:numRef>
          </c:xVal>
          <c:yVal>
            <c:numRef>
              <c:f>'Datos'!$J$6</c:f>
            </c:numRef>
          </c:yVal>
          <c:smooth val="0"/>
        </c:ser>
        <c:ser>
          <c:idx val="6"/>
          <c:order val="6"/>
          <c:tx>
            <c:strRef>
              <c:f>'Datos'!$H$7</c:f>
            </c:strRef>
          </c:tx>
          <c:spPr>
            <a:ln xmlns:a="http://schemas.openxmlformats.org/drawingml/2006/main">
              <a:noFill xmlns:a="http://schemas.openxmlformats.org/drawingml/2006/main"/>
            </a:ln>
          </c:spPr>
          <c:marker>
            <c:symbol val="circle"/>
            <c:size val="12"/>
            <c:spPr>
              <a:noFill xmlns:a="http://schemas.openxmlformats.org/drawingml/2006/main"/>
              <a:ln w="15875">
                <a:solidFill xmlns:a="http://schemas.openxmlformats.org/drawingml/2006/main">
                  <a:srgbClr val="2B3014"/>
                </a:solidFill>
              </a:ln>
            </c:spPr>
          </c:marker>
          <c:xVal>
            <c:numRef>
              <c:f>'Datos'!$I$7</c:f>
            </c:numRef>
          </c:xVal>
          <c:yVal>
            <c:numRef>
              <c:f>'Datos'!$J$7</c:f>
            </c:numRef>
          </c:yVal>
          <c:smooth val="0"/>
        </c:ser>
        <c:ser>
          <c:idx val="7"/>
          <c:order val="7"/>
          <c:tx>
            <c:strRef>
              <c:f>'Datos'!$H$9</c:f>
            </c:strRef>
          </c:tx>
          <c:spPr>
            <a:ln xmlns:a="http://schemas.openxmlformats.org/drawingml/2006/main" w="15875">
              <a:solidFill xmlns:a="http://schemas.openxmlformats.org/drawingml/2006/main">
                <a:srgbClr val="A2543A"/>
              </a:solidFill>
              <a:prstDash val="dash"/>
            </a:ln>
          </c:spPr>
          <c:marker>
            <c:symbol val="none"/>
          </c:marker>
          <c:xVal>
            <c:numRef>
              <c:f>'Datos'!$I$9:$I$11</c:f>
            </c:numRef>
          </c:xVal>
          <c:yVal>
            <c:numRef>
              <c:f>'Datos'!$J$9:$J$11</c:f>
            </c:numRef>
          </c:yVal>
          <c:smooth val="0"/>
        </c:ser>
        <c:ser>
          <c:idx val="8"/>
          <c:order val="8"/>
          <c:tx>
            <c:strRef>
              <c:f>'Datos'!$H$8</c:f>
            </c:strRef>
          </c:tx>
          <c:spPr>
            <a:ln xmlns:a="http://schemas.openxmlformats.org/drawingml/2006/main">
              <a:noFill xmlns:a="http://schemas.openxmlformats.org/drawingml/2006/main"/>
            </a:ln>
          </c:spPr>
          <c:marker>
            <c:symbol val="circle"/>
            <c:size val="8"/>
            <c:spPr>
              <a:solidFill xmlns:a="http://schemas.openxmlformats.org/drawingml/2006/main">
                <a:srgbClr val="A2543A"/>
              </a:solidFill>
              <a:ln w="15875">
                <a:solidFill xmlns:a="http://schemas.openxmlformats.org/drawingml/2006/main">
                  <a:srgbClr val="FFFFFF"/>
                </a:solidFill>
              </a:ln>
            </c:spPr>
          </c:marker>
          <c:xVal>
            <c:numRef>
              <c:f>'Datos'!$I$8</c:f>
            </c:numRef>
          </c:xVal>
          <c:yVal>
            <c:numRef>
              <c:f>'Datos'!$J$8</c:f>
            </c:numRef>
          </c:yVal>
          <c:smooth val="0"/>
        </c:ser>
        <c:axId val="501"/>
        <c:axId val="502"/>
      </c:scatterChart>
      <c:valAx>
        <c:axId val="501"/>
        <c:scaling>
          <c:orientation val="minMax"/>
          <c:max val="0.2"/>
          <c:min val="0"/>
        </c:scaling>
        <c:delete val="0"/>
        <c:axPos val="b"/>
        <c:title>
          <c:tx>
            <c:rich>
              <a:bodyPr xmlns:a="http://schemas.openxmlformats.org/drawingml/2006/main"/>
              <a:p xmlns:a="http://schemas.openxmlformats.org/drawingml/2006/main">
                <a:pPr>
                  <a:defRPr sz="900" b="1"/>
                </a:pPr>
                <a:r>
                  <a:rPr lang="es-CR" sz="900" b="1"/>
                  <a:t>Riesgo del portafolio (volatilidad anual)</a:t>
                </a:r>
              </a:p>
            </c:rich>
          </c:tx>
          <c:overlay val="0"/>
        </c:title>
        <c:numFmt formatCode="0%" sourceLinked="0"/>
        <c:majorTickMark val="none"/>
        <c:minorTickMark val="none"/>
        <c:tickLblPos val="nextTo"/>
        <c:spPr>
          <a:ln xmlns:a="http://schemas.openxmlformats.org/drawingml/2006/main" w="9525">
            <a:solidFill xmlns:a="http://schemas.openxmlformats.org/drawingml/2006/main">
              <a:srgbClr val="2B3014"/>
            </a:solidFill>
            <a:prstDash val="solid"/>
          </a:ln>
        </c:spPr>
        <c:txPr>
          <a:bodyPr xmlns:a="http://schemas.openxmlformats.org/drawingml/2006/main"/>
          <a:lstStyle xmlns:a="http://schemas.openxmlformats.org/drawingml/2006/main"/>
          <a:p xmlns:a="http://schemas.openxmlformats.org/drawingml/2006/main">
            <a:pPr>
              <a:defRPr sz="800"/>
            </a:pPr>
            <a:endParaRPr lang="es-CR"/>
          </a:p>
        </c:txPr>
        <c:crossAx val="502"/>
        <c:crosses val="autoZero"/>
        <c:crossBetween val="midCat"/>
        <c:majorUnit val="0.05"/>
      </c:valAx>
      <c:valAx>
        <c:axId val="502"/>
        <c:scaling>
          <c:orientation val="minMax"/>
          <c:min val="0"/>
        </c:scaling>
        <c:delete val="0"/>
        <c:axPos val="l"/>
        <c:majorGridlines>
          <c:spPr>
            <a:ln xmlns:a="http://schemas.openxmlformats.org/drawingml/2006/main" w="6350">
              <a:solidFill xmlns:a="http://schemas.openxmlformats.org/drawingml/2006/main">
                <a:srgbClr val="D9DCCB"/>
              </a:solidFill>
              <a:prstDash val="solid"/>
            </a:ln>
          </c:spPr>
        </c:majorGridlines>
        <c:title>
          <c:tx>
            <c:rich>
              <a:bodyPr xmlns:a="http://schemas.openxmlformats.org/drawingml/2006/main"/>
              <a:p xmlns:a="http://schemas.openxmlformats.org/drawingml/2006/main">
                <a:pPr>
                  <a:defRPr sz="900" b="1"/>
                </a:pPr>
                <a:r>
                  <a:rPr lang="es-CR" sz="900" b="1"/>
                  <a:t>Rendimiento esperado anual</a:t>
                </a:r>
              </a:p>
            </c:rich>
          </c:tx>
          <c:overlay val="0"/>
        </c:title>
        <c:numFmt formatCode="0%" sourceLinked="0"/>
        <c:majorTickMark val="none"/>
        <c:minorTickMark val="none"/>
        <c:tickLblPos val="nextTo"/>
        <c:spPr>
          <a:ln xmlns:a="http://schemas.openxmlformats.org/drawingml/2006/main" w="9525">
            <a:solidFill xmlns:a="http://schemas.openxmlformats.org/drawingml/2006/main">
              <a:srgbClr val="2B3014"/>
            </a:solidFill>
            <a:prstDash val="solid"/>
          </a:ln>
        </c:spPr>
        <c:txPr>
          <a:bodyPr xmlns:a="http://schemas.openxmlformats.org/drawingml/2006/main"/>
          <a:lstStyle xmlns:a="http://schemas.openxmlformats.org/drawingml/2006/main"/>
          <a:p xmlns:a="http://schemas.openxmlformats.org/drawingml/2006/main">
            <a:pPr>
              <a:defRPr sz="800"/>
            </a:pPr>
            <a:endParaRPr lang="es-CR"/>
          </a:p>
        </c:txPr>
        <c:crossAx val="501"/>
        <c:crosses val="autoZero"/>
        <c:crossBetween val="midCat"/>
      </c:valAx>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7"/>
        <c:delete val="1"/>
      </c:legendEntry>
      <c:overlay val="0"/>
    </c:legend>
    <c:plotVisOnly val="1"/>
    <c:dispBlanksAs val="gap"/>
  </c:chart>
  <c:spPr>
    <a:solidFill xmlns:a="http://schemas.openxmlformats.org/drawingml/2006/main">
      <a:srgbClr val="FFFFFF"/>
    </a:solidFill>
    <a:ln xmlns:a="http://schemas.openxmlformats.org/drawingml/2006/main" w="9525">
      <a:solidFill xmlns:a="http://schemas.openxmlformats.org/drawingml/2006/main">
        <a:srgbClr val="D9DCCB"/>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title>
      <c:tx>
        <c:rich>
          <a:bodyPr xmlns:a="http://schemas.openxmlformats.org/drawingml/2006/main"/>
          <a:p xmlns:a="http://schemas.openxmlformats.org/drawingml/2006/main">
            <a:pPr>
              <a:defRPr sz="1200" b="1"/>
            </a:pPr>
            <a:r>
              <a:rPr lang="es-CR" sz="1200" b="1"/>
              <a:t>Perfil de riesgo: tolerancia y apetito · moderado conservador</a:t>
            </a:r>
          </a:p>
        </c:rich>
      </c:tx>
      <c:overlay val="0"/>
    </c:title>
    <c:autoTitleDeleted val="0"/>
    <c:plotArea>
      <c:layout/>
      <c:scatterChart>
        <c:scatterStyle val="lineMarker"/>
        <c:varyColors val="0"/>
        <c:ser>
          <c:idx val="0"/>
          <c:order val="0"/>
          <c:tx>
            <c:strRef>
              <c:f>'Datos'!$A$9</c:f>
            </c:strRef>
          </c:tx>
          <c:spPr>
            <a:ln xmlns:a="http://schemas.openxmlformats.org/drawingml/2006/main">
              <a:noFill xmlns:a="http://schemas.openxmlformats.org/drawingml/2006/main"/>
            </a:ln>
          </c:spPr>
          <c:marker>
            <c:symbol val="none"/>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6E7356"/>
                    </a:solidFill>
                  </a:defRPr>
                </a:pPr>
                <a:endParaRPr lang="es-CR"/>
              </a:p>
            </c:txPr>
            <c:dLblPos val="ctr"/>
            <c:showLegendKey val="0"/>
            <c:showVal val="0"/>
            <c:showCatName val="0"/>
            <c:showSerName val="1"/>
            <c:showPercent val="0"/>
            <c:showBubbleSize val="0"/>
          </c:dLbls>
          <c:xVal>
            <c:numRef>
              <c:f>'Datos'!$B$9</c:f>
            </c:numRef>
          </c:xVal>
          <c:yVal>
            <c:numRef>
              <c:f>'Datos'!$C$9</c:f>
            </c:numRef>
          </c:yVal>
          <c:smooth val="0"/>
        </c:ser>
        <c:ser>
          <c:idx val="1"/>
          <c:order val="1"/>
          <c:tx>
            <c:strRef>
              <c:f>'Datos'!$A$10</c:f>
            </c:strRef>
          </c:tx>
          <c:spPr>
            <a:ln xmlns:a="http://schemas.openxmlformats.org/drawingml/2006/main">
              <a:noFill xmlns:a="http://schemas.openxmlformats.org/drawingml/2006/main"/>
            </a:ln>
          </c:spPr>
          <c:marker>
            <c:symbol val="none"/>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6E7356"/>
                    </a:solidFill>
                  </a:defRPr>
                </a:pPr>
                <a:endParaRPr lang="es-CR"/>
              </a:p>
            </c:txPr>
            <c:dLblPos val="ctr"/>
            <c:showLegendKey val="0"/>
            <c:showVal val="0"/>
            <c:showCatName val="0"/>
            <c:showSerName val="1"/>
            <c:showPercent val="0"/>
            <c:showBubbleSize val="0"/>
          </c:dLbls>
          <c:xVal>
            <c:numRef>
              <c:f>'Datos'!$B$10</c:f>
            </c:numRef>
          </c:xVal>
          <c:yVal>
            <c:numRef>
              <c:f>'Datos'!$C$10</c:f>
            </c:numRef>
          </c:yVal>
          <c:smooth val="0"/>
        </c:ser>
        <c:ser>
          <c:idx val="2"/>
          <c:order val="2"/>
          <c:tx>
            <c:strRef>
              <c:f>'Datos'!$A$11</c:f>
            </c:strRef>
          </c:tx>
          <c:spPr>
            <a:ln xmlns:a="http://schemas.openxmlformats.org/drawingml/2006/main">
              <a:noFill xmlns:a="http://schemas.openxmlformats.org/drawingml/2006/main"/>
            </a:ln>
          </c:spPr>
          <c:marker>
            <c:symbol val="none"/>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6E7356"/>
                    </a:solidFill>
                  </a:defRPr>
                </a:pPr>
                <a:endParaRPr lang="es-CR"/>
              </a:p>
            </c:txPr>
            <c:dLblPos val="ctr"/>
            <c:showLegendKey val="0"/>
            <c:showVal val="0"/>
            <c:showCatName val="0"/>
            <c:showSerName val="1"/>
            <c:showPercent val="0"/>
            <c:showBubbleSize val="0"/>
          </c:dLbls>
          <c:xVal>
            <c:numRef>
              <c:f>'Datos'!$B$11</c:f>
            </c:numRef>
          </c:xVal>
          <c:yVal>
            <c:numRef>
              <c:f>'Datos'!$C$11</c:f>
            </c:numRef>
          </c:yVal>
          <c:smooth val="0"/>
        </c:ser>
        <c:ser>
          <c:idx val="3"/>
          <c:order val="3"/>
          <c:tx>
            <c:strRef>
              <c:f>'Datos'!$A$12</c:f>
            </c:strRef>
          </c:tx>
          <c:spPr>
            <a:ln xmlns:a="http://schemas.openxmlformats.org/drawingml/2006/main">
              <a:noFill xmlns:a="http://schemas.openxmlformats.org/drawingml/2006/main"/>
            </a:ln>
          </c:spPr>
          <c:marker>
            <c:symbol val="none"/>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6E7356"/>
                    </a:solidFill>
                  </a:defRPr>
                </a:pPr>
                <a:endParaRPr lang="es-CR"/>
              </a:p>
            </c:txPr>
            <c:dLblPos val="ctr"/>
            <c:showLegendKey val="0"/>
            <c:showVal val="0"/>
            <c:showCatName val="0"/>
            <c:showSerName val="1"/>
            <c:showPercent val="0"/>
            <c:showBubbleSize val="0"/>
          </c:dLbls>
          <c:xVal>
            <c:numRef>
              <c:f>'Datos'!$B$12</c:f>
            </c:numRef>
          </c:xVal>
          <c:yVal>
            <c:numRef>
              <c:f>'Datos'!$C$12</c:f>
            </c:numRef>
          </c:yVal>
          <c:smooth val="0"/>
        </c:ser>
        <c:ser>
          <c:idx val="4"/>
          <c:order val="4"/>
          <c:tx>
            <c:strRef>
              <c:f>'Datos'!$A$13</c:f>
            </c:strRef>
          </c:tx>
          <c:spPr>
            <a:ln xmlns:a="http://schemas.openxmlformats.org/drawingml/2006/main">
              <a:noFill xmlns:a="http://schemas.openxmlformats.org/drawingml/2006/main"/>
            </a:ln>
          </c:spPr>
          <c:marker>
            <c:symbol val="none"/>
          </c:marker>
          <c:dLbls>
            <c:spPr>
              <a:noFill xmlns:a="http://schemas.openxmlformats.org/drawingml/2006/main"/>
              <a:ln xmlns:a="http://schemas.openxmlformats.org/drawingml/2006/main">
                <a:noFill xmlns:a="http://schemas.openxmlformats.org/drawingml/2006/main"/>
              </a:ln>
            </c:spPr>
            <c:txPr>
              <a:bodyPr xmlns:a="http://schemas.openxmlformats.org/drawingml/2006/main"/>
              <a:lstStyle xmlns:a="http://schemas.openxmlformats.org/drawingml/2006/main"/>
              <a:p xmlns:a="http://schemas.openxmlformats.org/drawingml/2006/main">
                <a:pPr>
                  <a:defRPr sz="900">
                    <a:solidFill xmlns:a="http://schemas.openxmlformats.org/drawingml/2006/main">
                      <a:srgbClr val="6E7356"/>
                    </a:solidFill>
                  </a:defRPr>
                </a:pPr>
                <a:endParaRPr lang="es-CR"/>
              </a:p>
            </c:txPr>
            <c:dLblPos val="ctr"/>
            <c:showLegendKey val="0"/>
            <c:showVal val="0"/>
            <c:showCatName val="0"/>
            <c:showSerName val="1"/>
            <c:showPercent val="0"/>
            <c:showBubbleSize val="0"/>
          </c:dLbls>
          <c:xVal>
            <c:numRef>
              <c:f>'Datos'!$B$13</c:f>
            </c:numRef>
          </c:xVal>
          <c:yVal>
            <c:numRef>
              <c:f>'Datos'!$C$13</c:f>
            </c:numRef>
          </c:yVal>
          <c:smooth val="0"/>
        </c:ser>
        <c:ser>
          <c:idx val="5"/>
          <c:order val="5"/>
          <c:tx>
            <c:strRef>
              <c:f>'Datos'!$A$7</c:f>
            </c:strRef>
          </c:tx>
          <c:spPr>
            <a:ln xmlns:a="http://schemas.openxmlformats.org/drawingml/2006/main">
              <a:noFill xmlns:a="http://schemas.openxmlformats.org/drawingml/2006/main"/>
            </a:ln>
          </c:spPr>
          <c:marker>
            <c:symbol val="circle"/>
            <c:size val="10"/>
            <c:spPr>
              <a:solidFill xmlns:a="http://schemas.openxmlformats.org/drawingml/2006/main">
                <a:srgbClr val="2B3014"/>
              </a:solidFill>
              <a:ln w="15875">
                <a:solidFill xmlns:a="http://schemas.openxmlformats.org/drawingml/2006/main">
                  <a:srgbClr val="FFFFFF"/>
                </a:solidFill>
              </a:ln>
            </c:spPr>
          </c:marker>
          <c:xVal>
            <c:numRef>
              <c:f>'Datos'!$B$7</c:f>
            </c:numRef>
          </c:xVal>
          <c:yVal>
            <c:numRef>
              <c:f>'Datos'!$C$7</c:f>
            </c:numRef>
          </c:yVal>
          <c:smooth val="0"/>
        </c:ser>
        <c:ser>
          <c:idx val="6"/>
          <c:order val="6"/>
          <c:tx>
            <c:strRef>
              <c:f>'Datos'!$L$1</c:f>
            </c:strRef>
          </c:tx>
          <c:spPr>
            <a:ln xmlns:a="http://schemas.openxmlformats.org/drawingml/2006/main" w="12700">
              <a:solidFill xmlns:a="http://schemas.openxmlformats.org/drawingml/2006/main">
                <a:srgbClr val="918042"/>
              </a:solidFill>
              <a:prstDash val="dash"/>
            </a:ln>
          </c:spPr>
          <c:marker>
            <c:symbol val="none"/>
          </c:marker>
          <c:xVal>
            <c:numRef>
              <c:f>'Datos'!$L$2:$L$3</c:f>
            </c:numRef>
          </c:xVal>
          <c:yVal>
            <c:numRef>
              <c:f>'Datos'!$M$2:$M$3</c:f>
            </c:numRef>
          </c:yVal>
          <c:smooth val="0"/>
        </c:ser>
        <c:ser>
          <c:idx val="7"/>
          <c:order val="7"/>
          <c:tx>
            <c:strRef>
              <c:f>'Datos'!$N$1</c:f>
            </c:strRef>
          </c:tx>
          <c:spPr>
            <a:ln xmlns:a="http://schemas.openxmlformats.org/drawingml/2006/main" w="12700">
              <a:solidFill xmlns:a="http://schemas.openxmlformats.org/drawingml/2006/main">
                <a:srgbClr val="918042"/>
              </a:solidFill>
              <a:prstDash val="dash"/>
            </a:ln>
          </c:spPr>
          <c:marker>
            <c:symbol val="none"/>
          </c:marker>
          <c:xVal>
            <c:numRef>
              <c:f>'Datos'!$N$2:$N$3</c:f>
            </c:numRef>
          </c:xVal>
          <c:yVal>
            <c:numRef>
              <c:f>'Datos'!$O$2:$O$3</c:f>
            </c:numRef>
          </c:yVal>
          <c:smooth val="0"/>
        </c:ser>
        <c:ser>
          <c:idx val="8"/>
          <c:order val="8"/>
          <c:tx>
            <c:strRef>
              <c:f>'Datos'!$P$1</c:f>
            </c:strRef>
          </c:tx>
          <c:spPr>
            <a:ln xmlns:a="http://schemas.openxmlformats.org/drawingml/2006/main" w="12700">
              <a:solidFill xmlns:a="http://schemas.openxmlformats.org/drawingml/2006/main">
                <a:srgbClr val="918042"/>
              </a:solidFill>
              <a:prstDash val="dash"/>
            </a:ln>
          </c:spPr>
          <c:marker>
            <c:symbol val="none"/>
          </c:marker>
          <c:xVal>
            <c:numRef>
              <c:f>'Datos'!$P$2:$P$3</c:f>
            </c:numRef>
          </c:xVal>
          <c:yVal>
            <c:numRef>
              <c:f>'Datos'!$Q$2:$Q$3</c:f>
            </c:numRef>
          </c:yVal>
          <c:smooth val="0"/>
        </c:ser>
        <c:ser>
          <c:idx val="9"/>
          <c:order val="9"/>
          <c:tx>
            <c:strRef>
              <c:f>'Datos'!$R$1</c:f>
            </c:strRef>
          </c:tx>
          <c:spPr>
            <a:ln xmlns:a="http://schemas.openxmlformats.org/drawingml/2006/main" w="12700">
              <a:solidFill xmlns:a="http://schemas.openxmlformats.org/drawingml/2006/main">
                <a:srgbClr val="918042"/>
              </a:solidFill>
              <a:prstDash val="dash"/>
            </a:ln>
          </c:spPr>
          <c:marker>
            <c:symbol val="none"/>
          </c:marker>
          <c:xVal>
            <c:numRef>
              <c:f>'Datos'!$R$2:$R$3</c:f>
            </c:numRef>
          </c:xVal>
          <c:yVal>
            <c:numRef>
              <c:f>'Datos'!$S$2:$S$3</c:f>
            </c:numRef>
          </c:yVal>
          <c:smooth val="0"/>
        </c:ser>
        <c:axId val="501"/>
        <c:axId val="502"/>
      </c:scatterChart>
      <c:valAx>
        <c:axId val="501"/>
        <c:scaling>
          <c:orientation val="minMax"/>
          <c:max val="10"/>
          <c:min val="0"/>
        </c:scaling>
        <c:delete val="0"/>
        <c:axPos val="b"/>
        <c:majorGridlines>
          <c:spPr>
            <a:ln xmlns:a="http://schemas.openxmlformats.org/drawingml/2006/main" w="6350">
              <a:solidFill xmlns:a="http://schemas.openxmlformats.org/drawingml/2006/main">
                <a:srgbClr val="D9DCCB"/>
              </a:solidFill>
              <a:prstDash val="solid"/>
            </a:ln>
          </c:spPr>
        </c:majorGridlines>
        <c:title>
          <c:tx>
            <c:rich>
              <a:bodyPr xmlns:a="http://schemas.openxmlformats.org/drawingml/2006/main"/>
              <a:p xmlns:a="http://schemas.openxmlformats.org/drawingml/2006/main">
                <a:pPr>
                  <a:defRPr sz="900" b="1"/>
                </a:pPr>
                <a:r>
                  <a:rPr lang="es-CR" sz="900" b="1"/>
                  <a:t>Tolerancia al riesgo</a:t>
                </a:r>
              </a:p>
            </c:rich>
          </c:tx>
          <c:overlay val="0"/>
        </c:title>
        <c:numFmt formatCode="0" sourceLinked="0"/>
        <c:majorTickMark val="none"/>
        <c:minorTickMark val="none"/>
        <c:tickLblPos val="nextTo"/>
        <c:spPr>
          <a:ln xmlns:a="http://schemas.openxmlformats.org/drawingml/2006/main" w="9525">
            <a:solidFill xmlns:a="http://schemas.openxmlformats.org/drawingml/2006/main">
              <a:srgbClr val="2B3014"/>
            </a:solidFill>
            <a:prstDash val="solid"/>
          </a:ln>
        </c:spPr>
        <c:txPr>
          <a:bodyPr xmlns:a="http://schemas.openxmlformats.org/drawingml/2006/main"/>
          <a:lstStyle xmlns:a="http://schemas.openxmlformats.org/drawingml/2006/main"/>
          <a:p xmlns:a="http://schemas.openxmlformats.org/drawingml/2006/main">
            <a:pPr>
              <a:defRPr sz="800"/>
            </a:pPr>
            <a:endParaRPr lang="es-CR"/>
          </a:p>
        </c:txPr>
        <c:crossAx val="502"/>
        <c:crosses val="autoZero"/>
        <c:crossBetween val="midCat"/>
        <c:majorUnit val="5"/>
      </c:valAx>
      <c:valAx>
        <c:axId val="502"/>
        <c:scaling>
          <c:orientation val="minMax"/>
          <c:max val="10"/>
          <c:min val="0"/>
        </c:scaling>
        <c:delete val="0"/>
        <c:axPos val="l"/>
        <c:majorGridlines>
          <c:spPr>
            <a:ln xmlns:a="http://schemas.openxmlformats.org/drawingml/2006/main" w="6350">
              <a:solidFill xmlns:a="http://schemas.openxmlformats.org/drawingml/2006/main">
                <a:srgbClr val="D9DCCB"/>
              </a:solidFill>
              <a:prstDash val="solid"/>
            </a:ln>
          </c:spPr>
        </c:majorGridlines>
        <c:title>
          <c:tx>
            <c:rich>
              <a:bodyPr xmlns:a="http://schemas.openxmlformats.org/drawingml/2006/main"/>
              <a:p xmlns:a="http://schemas.openxmlformats.org/drawingml/2006/main">
                <a:pPr>
                  <a:defRPr sz="900" b="1"/>
                </a:pPr>
                <a:r>
                  <a:rPr lang="es-CR" sz="900" b="1"/>
                  <a:t>Apetito de riesgo</a:t>
                </a:r>
              </a:p>
            </c:rich>
          </c:tx>
          <c:overlay val="0"/>
        </c:title>
        <c:numFmt formatCode="0" sourceLinked="0"/>
        <c:majorTickMark val="none"/>
        <c:minorTickMark val="none"/>
        <c:tickLblPos val="nextTo"/>
        <c:spPr>
          <a:ln xmlns:a="http://schemas.openxmlformats.org/drawingml/2006/main" w="9525">
            <a:solidFill xmlns:a="http://schemas.openxmlformats.org/drawingml/2006/main">
              <a:srgbClr val="2B3014"/>
            </a:solidFill>
            <a:prstDash val="solid"/>
          </a:ln>
        </c:spPr>
        <c:txPr>
          <a:bodyPr xmlns:a="http://schemas.openxmlformats.org/drawingml/2006/main"/>
          <a:lstStyle xmlns:a="http://schemas.openxmlformats.org/drawingml/2006/main"/>
          <a:p xmlns:a="http://schemas.openxmlformats.org/drawingml/2006/main">
            <a:pPr>
              <a:defRPr sz="800"/>
            </a:pPr>
            <a:endParaRPr lang="es-CR"/>
          </a:p>
        </c:txPr>
        <c:crossAx val="501"/>
        <c:crosses val="autoZero"/>
        <c:crossBetween val="midCat"/>
        <c:majorUnit val="5"/>
      </c:valAx>
    </c:plotArea>
    <c:plotVisOnly val="1"/>
    <c:dispBlanksAs val="gap"/>
  </c:chart>
  <c:spPr>
    <a:solidFill xmlns:a="http://schemas.openxmlformats.org/drawingml/2006/main">
      <a:srgbClr val="FFFFFF"/>
    </a:solidFill>
    <a:ln xmlns:a="http://schemas.openxmlformats.org/drawingml/2006/main" w="9525">
      <a:solidFill xmlns:a="http://schemas.openxmlformats.org/drawingml/2006/main">
        <a:srgbClr val="D9DCCB"/>
      </a:solidFill>
      <a:prstDash val="solid"/>
    </a:ln>
  </c:spPr>
</c: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5.xml" Id="rId2"/><Relationship Type="http://schemas.openxmlformats.org/officeDocument/2006/relationships/chart" Target="/xl/charts/chart6.xml" Id="rId6"/><Relationship Type="http://schemas.openxmlformats.org/officeDocument/2006/relationships/chart" Target="/xl/charts/chart7.xml" Id="rId7"/></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6</col>
      <colOff>0</colOff>
      <row>2</row>
      <rowOff>0</rowOff>
    </from>
    <ext cx="43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row>
      <rowOff>0</rowOff>
    </from>
    <ext cx="43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21</row>
      <rowOff>0</rowOff>
    </from>
    <ext cx="432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8</col>
      <colOff>0</colOff>
      <row>21</row>
      <rowOff>0</rowOff>
    </from>
    <ext cx="432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2.xml><?xml version="1.0" encoding="utf-8"?>
<wsDr xmlns="http://schemas.openxmlformats.org/drawingml/2006/spreadsheetDrawing">
  <oneCellAnchor>
    <from>
      <col>41</col>
      <colOff>0</colOff>
      <row>29</row>
      <rowOff>0</rowOff>
    </from>
    <ext cx="72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xmlns:r="http://schemas.openxmlformats.org/officeDocument/2006/relationships">
  <sheetViews>
    <sheetView workbookViewId="0" showGridLines="0"/>
  </sheetViews>
  <cols>
    <col width="2" customWidth="1" min="1" max="1"/>
    <col width="46" customWidth="1" min="2" max="2"/>
    <col width="16" customWidth="1" min="3" max="3"/>
    <col width="2" customWidth="1" min="4" max="4"/>
    <col width="62" customWidth="1" min="5" max="5"/>
    <col width="4" customWidth="1" min="6" max="6"/>
    <col width="66" customWidth="1" min="7" max="7"/>
    <col width="3" customWidth="1" min="8" max="8"/>
    <col width="66" customWidth="1" min="9" max="9"/>
  </cols>
  <sheetData>
    <row r="1" ht="26" customHeight="1">
      <c r="B1" s="11" t="inlineStr">
        <is>
          <t>Chotocruz &amp; Co. · Ficha de cliente</t>
        </is>
      </c>
    </row>
    <row r="3" ht="30" customHeight="1">
      <c r="B3" s="21" t="inlineStr">
        <is>
          <t>Concepto</t>
        </is>
      </c>
      <c r="C3" s="21" t="inlineStr">
        <is>
          <t>Dato numérico</t>
        </is>
      </c>
      <c r="D3" s="21"/>
      <c r="E3" s="21" t="inlineStr">
        <is>
          <t>Dato cualitativo</t>
        </is>
      </c>
    </row>
    <row r="5" ht="22" customHeight="1">
      <c r="B5" s="13" t="inlineStr">
        <is>
          <t>Identificación</t>
        </is>
      </c>
      <c r="C5" s="13"/>
      <c r="D5" s="13"/>
      <c r="E5" s="13"/>
    </row>
    <row r="6">
      <c r="B6" s="16" t="inlineStr">
        <is>
          <t>Nombre</t>
        </is>
      </c>
      <c r="C6" s="16"/>
      <c r="D6" s="16"/>
      <c r="E6" s="30" t="inlineStr">
        <is>
          <t>Cliente de ejemplo</t>
        </is>
      </c>
    </row>
    <row r="7">
      <c r="B7" s="16" t="inlineStr">
        <is>
          <t>Tipo de documento</t>
        </is>
      </c>
      <c r="C7" s="16"/>
      <c r="D7" s="16"/>
      <c r="E7" s="30" t="inlineStr">
        <is>
          <t>Cédula de identidad</t>
        </is>
      </c>
    </row>
    <row r="8">
      <c r="B8" s="16" t="inlineStr">
        <is>
          <t>Cédula</t>
        </is>
      </c>
      <c r="C8" s="16"/>
      <c r="D8" s="16"/>
      <c r="E8" s="30" t="inlineStr">
        <is>
          <t>1-1234-5678</t>
        </is>
      </c>
    </row>
    <row r="9">
      <c r="B9" s="16" t="inlineStr">
        <is>
          <t>Fecha de nacimiento</t>
        </is>
      </c>
      <c r="C9" s="16"/>
      <c r="D9" s="16"/>
      <c r="E9" s="30" t="inlineStr">
        <is>
          <t>1980-05-01</t>
        </is>
      </c>
    </row>
    <row r="10">
      <c r="B10" s="16" t="inlineStr">
        <is>
          <t>Ocupación</t>
        </is>
      </c>
      <c r="C10" s="16"/>
      <c r="D10" s="16"/>
      <c r="E10" s="30" t="inlineStr">
        <is>
          <t>Gerente general</t>
        </is>
      </c>
    </row>
    <row r="11">
      <c r="B11" s="16" t="inlineStr">
        <is>
          <t>Estado civil</t>
        </is>
      </c>
      <c r="C11" s="16"/>
      <c r="D11" s="16"/>
      <c r="E11" s="30" t="inlineStr">
        <is>
          <t>Casado(a)</t>
        </is>
      </c>
    </row>
    <row r="12">
      <c r="B12" s="16" t="inlineStr">
        <is>
          <t>Correo electrónico</t>
        </is>
      </c>
      <c r="C12" s="16"/>
      <c r="D12" s="16"/>
      <c r="E12" s="30" t="inlineStr">
        <is>
          <t>ejemplo@ejemplo.com</t>
        </is>
      </c>
    </row>
    <row r="13">
      <c r="B13" s="16" t="inlineStr">
        <is>
          <t>Teléfono</t>
        </is>
      </c>
      <c r="C13" s="16"/>
      <c r="D13" s="16"/>
      <c r="E13" s="30" t="inlineStr">
        <is>
          <t>+506 88887070</t>
        </is>
      </c>
    </row>
    <row r="14">
      <c r="B14" s="16" t="inlineStr">
        <is>
          <t>País de residencia</t>
        </is>
      </c>
      <c r="C14" s="16"/>
      <c r="D14" s="16"/>
      <c r="E14" s="30" t="inlineStr">
        <is>
          <t>Costa Rica</t>
        </is>
      </c>
    </row>
    <row r="15">
      <c r="B15" s="16" t="inlineStr">
        <is>
          <t>Provincia</t>
        </is>
      </c>
      <c r="C15" s="16"/>
      <c r="D15" s="16"/>
      <c r="E15" s="30" t="inlineStr">
        <is>
          <t>Alajuela</t>
        </is>
      </c>
    </row>
    <row r="16">
      <c r="B16" s="16" t="inlineStr">
        <is>
          <t>Cantón</t>
        </is>
      </c>
      <c r="C16" s="16"/>
      <c r="D16" s="16"/>
      <c r="E16" s="30" t="inlineStr">
        <is>
          <t>San Ramón</t>
        </is>
      </c>
    </row>
    <row r="17">
      <c r="B17" s="16" t="inlineStr">
        <is>
          <t>Distrito</t>
        </is>
      </c>
      <c r="C17" s="16"/>
      <c r="D17" s="16"/>
      <c r="E17" s="30" t="inlineStr">
        <is>
          <t>Santiago</t>
        </is>
      </c>
    </row>
    <row r="18">
      <c r="B18" s="16" t="inlineStr">
        <is>
          <t>Otras señas</t>
        </is>
      </c>
      <c r="C18" s="16"/>
      <c r="D18" s="16"/>
      <c r="E18" s="30" t="inlineStr">
        <is>
          <t>—</t>
        </is>
      </c>
    </row>
    <row r="19">
      <c r="B19" s="16" t="inlineStr">
        <is>
          <t>Edad actual</t>
        </is>
      </c>
      <c r="C19" s="32">
        <v>46</v>
      </c>
      <c r="D19" s="16"/>
      <c r="E19" s="16"/>
    </row>
    <row r="20">
      <c r="B20" s="16" t="inlineStr">
        <is>
          <t>Edad de independencia financiera</t>
        </is>
      </c>
      <c r="C20" s="32">
        <v>60</v>
      </c>
      <c r="D20" s="16"/>
      <c r="E20" s="16"/>
    </row>
    <row r="22" ht="22" customHeight="1">
      <c r="B22" s="13" t="inlineStr">
        <is>
          <t>Perfil de riesgo (cuestionario 1)</t>
        </is>
      </c>
      <c r="C22" s="13"/>
      <c r="D22" s="13"/>
      <c r="E22" s="13"/>
    </row>
    <row r="23">
      <c r="B23" s="16" t="inlineStr">
        <is>
          <t>Tolerancia al riesgo (0 a 10)</t>
        </is>
      </c>
      <c r="C23" s="31">
        <v>3.0928571428571425</v>
      </c>
      <c r="D23" s="16"/>
      <c r="E23" s="30" t="inlineStr">
        <is>
          <t>Preguntas 1, 2, 3, 7 y 9</t>
        </is>
      </c>
    </row>
    <row r="24">
      <c r="B24" s="16" t="inlineStr">
        <is>
          <t>Apetito de riesgo (0 a 10)</t>
        </is>
      </c>
      <c r="C24" s="31">
        <v>4.686249999999999</v>
      </c>
      <c r="D24" s="16"/>
      <c r="E24" s="30" t="inlineStr">
        <is>
          <t>Preguntas 4, 5, 6, 8 y 10</t>
        </is>
      </c>
    </row>
    <row r="25">
      <c r="B25" s="16" t="inlineStr">
        <is>
          <t>Puntaje del perfil de riesgo (0 a 10)</t>
        </is>
      </c>
      <c r="C25" s="31">
        <v>3.9426666666666668</v>
      </c>
      <c r="D25" s="16"/>
      <c r="E25" s="16"/>
    </row>
    <row r="26">
      <c r="B26" s="16" t="inlineStr">
        <is>
          <t>Perfil de riesgo</t>
        </is>
      </c>
      <c r="C26" s="16"/>
      <c r="D26" s="16"/>
      <c r="E26" s="30" t="inlineStr">
        <is>
          <t>Moderado conservador</t>
        </is>
      </c>
    </row>
    <row r="28" ht="22" customHeight="1">
      <c r="B28" s="13" t="inlineStr">
        <is>
          <t>Activos y pasivos (US$, sin la vivienda principal)</t>
        </is>
      </c>
      <c r="C28" s="13"/>
      <c r="D28" s="13"/>
      <c r="E28" s="13"/>
    </row>
    <row r="29">
      <c r="B29" s="16" t="inlineStr">
        <is>
          <t>Activo: Portafolio de inversión (este portafolio)</t>
        </is>
      </c>
      <c r="C29" s="22">
        <v>250000</v>
      </c>
      <c r="D29" s="16"/>
      <c r="E29" s="30" t="inlineStr">
        <is>
          <t>Liquidez inmediata · declarado en USD</t>
        </is>
      </c>
    </row>
    <row r="30">
      <c r="B30" s="16" t="inlineStr">
        <is>
          <t>Activo: Pensión voluntaria (saldo)</t>
        </is>
      </c>
      <c r="C30" s="22">
        <v>26667</v>
      </c>
      <c r="D30" s="16"/>
      <c r="E30" s="30" t="inlineStr">
        <is>
          <t>Liquidez media: según el plan de ahorro · declarado en CRC</t>
        </is>
      </c>
    </row>
    <row r="31">
      <c r="B31" s="16" t="inlineStr">
        <is>
          <t>Activo: FCL (saldo)</t>
        </is>
      </c>
      <c r="C31" s="22">
        <v>26667</v>
      </c>
      <c r="D31" s="16"/>
      <c r="E31" s="30" t="inlineStr">
        <is>
          <t>Liquidez media: cada quinquenio o al terminar la relación laboral · declarado en CRC</t>
        </is>
      </c>
    </row>
    <row r="32">
      <c r="B32" s="16" t="inlineStr">
        <is>
          <t>Activo: ROP (saldo)</t>
        </is>
      </c>
      <c r="C32" s="22">
        <v>26667</v>
      </c>
      <c r="D32" s="16"/>
      <c r="E32" s="30" t="inlineStr">
        <is>
          <t>Liquidez baja: disponible al pensionarse · declarado en CRC</t>
        </is>
      </c>
    </row>
    <row r="33">
      <c r="B33" s="16" t="inlineStr">
        <is>
          <t>Activo: Inmueble: Apartamento en Santa Ana</t>
        </is>
      </c>
      <c r="C33" s="22">
        <v>180000</v>
      </c>
      <c r="D33" s="16"/>
      <c r="E33" s="30" t="inlineStr">
        <is>
          <t>Liquidez baja: requiere su venta · declarado en USD</t>
        </is>
      </c>
    </row>
    <row r="34">
      <c r="B34" s="16" t="inlineStr">
        <is>
          <t>Activo: Empresa: EMPRESA</t>
        </is>
      </c>
      <c r="C34" s="22">
        <v>900000</v>
      </c>
      <c r="D34" s="16"/>
      <c r="E34" s="30" t="inlineStr">
        <is>
          <t>Liquidez baja: participación en una empresa · declarado en USD</t>
        </is>
      </c>
    </row>
    <row r="35">
      <c r="B35" s="16" t="inlineStr">
        <is>
          <t>Activo: Capital privado (15%)</t>
        </is>
      </c>
      <c r="C35" s="22">
        <v>120000</v>
      </c>
      <c r="D35" s="16"/>
      <c r="E35" s="30" t="inlineStr">
        <is>
          <t>Liquidez muy baja: sin mercado secundario · declarado en USD</t>
        </is>
      </c>
    </row>
    <row r="36">
      <c r="B36" s="16" t="inlineStr">
        <is>
          <t>Total de activos</t>
        </is>
      </c>
      <c r="C36" s="22">
        <v>1530000</v>
      </c>
      <c r="D36" s="16"/>
      <c r="E36" s="16"/>
    </row>
    <row r="37">
      <c r="B37" s="16" t="inlineStr">
        <is>
          <t>Pasivo: Deuda: Tarjeta de crédito</t>
        </is>
      </c>
      <c r="C37" s="22">
        <v>3000</v>
      </c>
      <c r="D37" s="16"/>
      <c r="E37" s="30" t="inlineStr">
        <is>
          <t>Corto plazo · termina en 2027 · declarado en USD</t>
        </is>
      </c>
    </row>
    <row r="38">
      <c r="B38" s="16" t="inlineStr">
        <is>
          <t>Pasivo: Deuda: Préstamo personal</t>
        </is>
      </c>
      <c r="C38" s="22">
        <v>12000</v>
      </c>
      <c r="D38" s="16"/>
      <c r="E38" s="30" t="inlineStr">
        <is>
          <t>Largo plazo · termina en 2029 · declarado en CRC</t>
        </is>
      </c>
    </row>
    <row r="39">
      <c r="B39" s="16" t="inlineStr">
        <is>
          <t>Pasivo: Hipoteca de la vivienda</t>
        </is>
      </c>
      <c r="C39" s="22">
        <v>120000</v>
      </c>
      <c r="D39" s="16"/>
      <c r="E39" s="30" t="inlineStr">
        <is>
          <t>Largo plazo · termina en 2040 · declarado en USD</t>
        </is>
      </c>
    </row>
    <row r="40">
      <c r="B40" s="16" t="inlineStr">
        <is>
          <t>Total de pasivos</t>
        </is>
      </c>
      <c r="C40" s="22">
        <v>135000</v>
      </c>
      <c r="D40" s="16"/>
      <c r="E40" s="16"/>
    </row>
    <row r="41">
      <c r="B41" s="16" t="inlineStr">
        <is>
          <t>Patrimonio neto</t>
        </is>
      </c>
      <c r="C41" s="22">
        <v>1395000</v>
      </c>
      <c r="D41" s="16"/>
      <c r="E41" s="16"/>
    </row>
    <row r="42">
      <c r="B42" s="16" t="inlineStr">
        <is>
          <t>Peso del portafolio declarado por el cliente</t>
        </is>
      </c>
      <c r="C42" s="16"/>
      <c r="D42" s="16"/>
      <c r="E42" s="30" t="inlineStr">
        <is>
          <t>40% del patrimonio total</t>
        </is>
      </c>
    </row>
    <row r="43">
      <c r="B43" s="16" t="inlineStr">
        <is>
          <t>Peso del portafolio calculado (control)</t>
        </is>
      </c>
      <c r="C43" s="16"/>
      <c r="D43" s="16"/>
      <c r="E43" s="30" t="inlineStr">
        <is>
          <t>16% de los activos declarados · no interviene en la proyección</t>
        </is>
      </c>
    </row>
    <row r="45" ht="22" customHeight="1">
      <c r="B45" s="13" t="inlineStr">
        <is>
          <t>Rendimientos del plan</t>
        </is>
      </c>
      <c r="C45" s="13"/>
      <c r="D45" s="13"/>
      <c r="E45" s="13"/>
    </row>
    <row r="46">
      <c r="B46" s="16" t="inlineStr">
        <is>
          <t>Rendimiento mínimo esperado</t>
        </is>
      </c>
      <c r="C46" s="24">
        <v>0.0585725</v>
      </c>
      <c r="D46" s="16"/>
      <c r="E46" s="30" t="inlineStr">
        <is>
          <t>Cartera del perfil moderado conservador</t>
        </is>
      </c>
    </row>
    <row r="47">
      <c r="B47" s="16" t="inlineStr">
        <is>
          <t>Rendimiento mínimo necesario (equilibrio)</t>
        </is>
      </c>
      <c r="C47" s="24">
        <v>0.07918073137952887</v>
      </c>
      <c r="D47" s="16"/>
      <c r="E47" s="16"/>
    </row>
    <row r="48">
      <c r="B48" s="16" t="inlineStr">
        <is>
          <t>Perfil que exige el objetivo</t>
        </is>
      </c>
      <c r="C48" s="16"/>
      <c r="D48" s="16"/>
      <c r="E48" s="30" t="inlineStr">
        <is>
          <t>Ninguna cartera modelo lo alcanza</t>
        </is>
      </c>
    </row>
    <row r="49">
      <c r="B49" s="16" t="inlineStr">
        <is>
          <t>Holgura frente a la cartera sugerida</t>
        </is>
      </c>
      <c r="C49" s="24">
        <v>-0.02060823137952887</v>
      </c>
      <c r="D49" s="16"/>
      <c r="E49" s="16"/>
    </row>
    <row r="50">
      <c r="B50" s="16" t="inlineStr">
        <is>
          <t>Preferencia de moneda</t>
        </is>
      </c>
      <c r="C50" s="16"/>
      <c r="D50" s="16"/>
      <c r="E50" s="16"/>
    </row>
    <row r="52" ht="22" customHeight="1">
      <c r="B52" s="13" t="inlineStr">
        <is>
          <t>Cartera sugerida y cartera de equilibrio</t>
        </is>
      </c>
      <c r="C52" s="13"/>
      <c r="D52" s="13"/>
      <c r="E52" s="13"/>
    </row>
    <row r="53" ht="30" customHeight="1">
      <c r="B53" s="21" t="inlineStr">
        <is>
          <t>Clase de activo</t>
        </is>
      </c>
      <c r="C53" s="21" t="inlineStr">
        <is>
          <t>Cartera sugerida</t>
        </is>
      </c>
      <c r="D53" s="21"/>
      <c r="E53" s="21" t="inlineStr">
        <is>
          <t>Cartera de equilibrio</t>
        </is>
      </c>
    </row>
    <row r="54">
      <c r="B54" s="16" t="inlineStr">
        <is>
          <t>Renta variable</t>
        </is>
      </c>
      <c r="C54" s="24">
        <v>0.35</v>
      </c>
      <c r="D54" s="16"/>
      <c r="E54" s="30" t="inlineStr">
        <is>
          <t>90.0%</t>
        </is>
      </c>
    </row>
    <row r="55">
      <c r="B55" s="16" t="inlineStr">
        <is>
          <t>Renta fija</t>
        </is>
      </c>
      <c r="C55" s="24">
        <v>0.475</v>
      </c>
      <c r="D55" s="16"/>
      <c r="E55" s="30" t="inlineStr">
        <is>
          <t>5.0%</t>
        </is>
      </c>
    </row>
    <row r="56">
      <c r="B56" s="16" t="inlineStr">
        <is>
          <t>Efectivo</t>
        </is>
      </c>
      <c r="C56" s="24">
        <v>0.175</v>
      </c>
      <c r="D56" s="16"/>
      <c r="E56" s="30" t="inlineStr">
        <is>
          <t>5.0%</t>
        </is>
      </c>
    </row>
    <row r="57">
      <c r="B57" s="16" t="inlineStr">
        <is>
          <t>Topes de la firma para el perfil</t>
        </is>
      </c>
      <c r="C57" s="16"/>
      <c r="D57" s="16"/>
      <c r="E57" s="30" t="inlineStr">
        <is>
          <t>Renta variable 20–35% · Renta fija 40–75% · Efectivo 5–30% · Alternativos 0–10%</t>
        </is>
      </c>
    </row>
    <row r="58">
      <c r="B58" s="16" t="inlineStr">
        <is>
          <t>Ajuste de la cartera sugerida</t>
        </is>
      </c>
      <c r="C58" s="16"/>
      <c r="D58" s="16"/>
      <c r="E58" s="30" t="inlineStr">
        <is>
          <t>Cartera modelo ajustada a los topes del perfil moderado conservador: renta variable de 40% a 35%, renta fija de 42,5% a 47,5%.</t>
        </is>
      </c>
    </row>
    <row r="59">
      <c r="B59" s="16" t="inlineStr">
        <is>
          <t>Rendimiento de la cartera de equilibrio</t>
        </is>
      </c>
      <c r="C59" s="24">
        <v>0.07853500000000001</v>
      </c>
      <c r="D59" s="16"/>
      <c r="E59" s="16"/>
    </row>
    <row r="60">
      <c r="B60" s="16" t="inlineStr">
        <is>
          <t>Volatilidad anual de la cartera de equilibrio</t>
        </is>
      </c>
      <c r="C60" s="24">
        <v>0.17473547913881615</v>
      </c>
      <c r="D60" s="16"/>
      <c r="E60" s="16"/>
    </row>
    <row r="61">
      <c r="B61" s="16" t="inlineStr">
        <is>
          <t>Nota</t>
        </is>
      </c>
      <c r="C61" s="16"/>
      <c r="D61" s="16"/>
      <c r="E61" s="30" t="inlineStr">
        <is>
          <t>Ninguna combinación de carteras modelo alcanza el equilibrio; se muestra la de mayor rendimiento.</t>
        </is>
      </c>
    </row>
    <row r="63" ht="22" customHeight="1">
      <c r="B63" s="13" t="inlineStr">
        <is>
          <t>Resultados de la proyección</t>
        </is>
      </c>
      <c r="C63" s="13"/>
      <c r="D63" s="13"/>
      <c r="E63" s="13"/>
    </row>
    <row r="64">
      <c r="B64" s="16" t="inlineStr">
        <is>
          <t>Portafolio máximo proyectado</t>
        </is>
      </c>
      <c r="C64" s="22">
        <v>1111058</v>
      </c>
      <c r="D64" s="16"/>
      <c r="E64" s="16"/>
    </row>
    <row r="65">
      <c r="B65" s="16" t="inlineStr">
        <is>
          <t>Portafolio final nominal</t>
        </is>
      </c>
      <c r="C65" s="22">
        <v>0</v>
      </c>
      <c r="D65" s="16"/>
      <c r="E65" s="16"/>
    </row>
    <row r="66">
      <c r="B66" s="16" t="inlineStr">
        <is>
          <t>Portafolio final en términos reales</t>
        </is>
      </c>
      <c r="C66" s="22">
        <v>0</v>
      </c>
      <c r="D66" s="16"/>
      <c r="E66" s="16"/>
    </row>
    <row r="67">
      <c r="B67" s="16" t="inlineStr">
        <is>
          <t>Tasa de retiro inicial</t>
        </is>
      </c>
      <c r="C67" s="24">
        <v>0.028085118081586206</v>
      </c>
      <c r="D67" s="16"/>
      <c r="E67" s="16"/>
    </row>
    <row r="68">
      <c r="B68" s="16" t="inlineStr">
        <is>
          <t>Años de acumulación</t>
        </is>
      </c>
      <c r="C68" s="32">
        <v>14</v>
      </c>
      <c r="D68" s="16"/>
      <c r="E68" s="16"/>
    </row>
    <row r="69">
      <c r="B69" s="16" t="inlineStr">
        <is>
          <t>Años de retiro</t>
        </is>
      </c>
      <c r="C69" s="32">
        <v>36</v>
      </c>
      <c r="D69" s="16"/>
      <c r="E69" s="16"/>
    </row>
    <row r="70">
      <c r="B70" s="16" t="inlineStr">
        <is>
          <t>Edad a la que se agota el portafolio</t>
        </is>
      </c>
      <c r="C70" s="32">
        <v>79</v>
      </c>
      <c r="D70" s="16"/>
      <c r="E70" s="16"/>
    </row>
    <row r="72" ht="22" customHeight="1">
      <c r="B72" s="13" t="inlineStr">
        <is>
          <t>Caminos para alcanzar el objetivo</t>
        </is>
      </c>
      <c r="C72" s="13"/>
      <c r="D72" s="13"/>
      <c r="E72" s="13"/>
    </row>
    <row r="73" ht="30" customHeight="1">
      <c r="B73" s="21" t="inlineStr">
        <is>
          <t>Camino</t>
        </is>
      </c>
      <c r="C73" s="21" t="inlineStr">
        <is>
          <t>Necesario</t>
        </is>
      </c>
      <c r="D73" s="21"/>
      <c r="E73" s="21" t="inlineStr">
        <is>
          <t>Hoy · lectura</t>
        </is>
      </c>
    </row>
    <row r="74">
      <c r="B74" s="16" t="inlineStr">
        <is>
          <t>Mayor rendimiento del portafolio</t>
        </is>
      </c>
      <c r="C74" s="22" t="inlineStr">
        <is>
          <t>7,9%</t>
        </is>
      </c>
      <c r="D74" s="16"/>
      <c r="E74" s="30" t="inlineStr">
        <is>
          <t>Hoy 5,9% · Ninguna cartera modelo rinde lo necesario. (no basta por sí solo)</t>
        </is>
      </c>
    </row>
    <row r="75">
      <c r="B75" s="16" t="inlineStr">
        <is>
          <t>Mayor capital inicial</t>
        </is>
      </c>
      <c r="C75" s="22" t="inlineStr">
        <is>
          <t>$575 034</t>
        </is>
      </c>
      <c r="D75" s="16"/>
      <c r="E75" s="30" t="inlineStr">
        <is>
          <t>Hoy $250 000 · Aporte único hoy de $325 034.</t>
        </is>
      </c>
    </row>
    <row r="76">
      <c r="B76" s="16" t="inlineStr">
        <is>
          <t>Aporte anual adicional al portafolio</t>
        </is>
      </c>
      <c r="C76" s="22" t="inlineStr">
        <is>
          <t>$28 222 al año</t>
        </is>
      </c>
      <c r="D76" s="16"/>
      <c r="E76" s="30" t="inlineStr">
        <is>
          <t>Durante los 14 años de acumulación, en dólares de hoy (39% del ingreso anual).</t>
        </is>
      </c>
    </row>
    <row r="77">
      <c r="B77" s="16" t="inlineStr">
        <is>
          <t>Menor gasto familiar</t>
        </is>
      </c>
      <c r="C77" s="22" t="inlineStr">
        <is>
          <t>$4 643 al mes</t>
        </is>
      </c>
      <c r="D77" s="16"/>
      <c r="E77" s="30" t="inlineStr">
        <is>
          <t>Hoy $5 500 al mes · Reducción de 16% en todos los años.</t>
        </is>
      </c>
    </row>
    <row r="78">
      <c r="B78" s="16" t="inlineStr">
        <is>
          <t>Menores gastos extraordinarios</t>
        </is>
      </c>
      <c r="C78" s="22" t="inlineStr">
        <is>
          <t>—</t>
        </is>
      </c>
      <c r="D78" s="16"/>
      <c r="E78" s="30" t="inlineStr">
        <is>
          <t>Hoy $983 474 en total · Ni eliminándolos alcanza. (no basta por sí solo)</t>
        </is>
      </c>
    </row>
    <row r="79">
      <c r="B79" s="16" t="inlineStr">
        <is>
          <t>Aporte mensual adicional a la pensión voluntaria</t>
        </is>
      </c>
      <c r="C79" s="22" t="inlineStr">
        <is>
          <t>$2 172 al mes</t>
        </is>
      </c>
      <c r="D79" s="16"/>
      <c r="E79" s="30" t="inlineStr">
        <is>
          <t>Crece al 6,0% y se recibe al pensionarse, a los 65 años.</t>
        </is>
      </c>
    </row>
    <row r="80">
      <c r="B80" s="16" t="inlineStr">
        <is>
          <t>Postergar la independencia financiera</t>
        </is>
      </c>
      <c r="C80" s="22" t="inlineStr">
        <is>
          <t>66 años</t>
        </is>
      </c>
      <c r="D80" s="16"/>
      <c r="E80" s="30" t="inlineStr">
        <is>
          <t>Hoy 60 años · 6 años más de ingreso por actividad y de aportes.</t>
        </is>
      </c>
    </row>
    <row r="81">
      <c r="B81" s="16" t="inlineStr">
        <is>
          <t>Lectura</t>
        </is>
      </c>
      <c r="C81" s="16"/>
      <c r="D81" s="16"/>
      <c r="E81" s="30" t="inlineStr">
        <is>
          <t>Hay 5 caminos que alcanzan el objetivo cada uno por sí solo: mayor capital inicial, aporte anual adicional al portafolio, menor gasto familiar, aporte mensual adicional a la pensión voluntaria o postergar la independencia financiera. También pueden combinarse; combinados, cada uno exige un ajuste menor.</t>
        </is>
      </c>
    </row>
    <row r="83" ht="22" customHeight="1">
      <c r="B83" s="13" t="inlineStr">
        <is>
          <t>Datos financieros declarados</t>
        </is>
      </c>
      <c r="C83" s="13"/>
      <c r="D83" s="13"/>
      <c r="E83" s="13"/>
    </row>
    <row r="84">
      <c r="B84" s="16" t="inlineStr">
        <is>
          <t>Ingreso total mensual</t>
        </is>
      </c>
      <c r="C84" s="22">
        <v>2700000</v>
      </c>
      <c r="D84" s="16"/>
      <c r="E84" s="30" t="inlineStr">
        <is>
          <t>CRC</t>
        </is>
      </c>
    </row>
    <row r="85">
      <c r="B85" s="16" t="inlineStr">
        <is>
          <t>Gasto familiar mensual</t>
        </is>
      </c>
      <c r="C85" s="22">
        <v>5500</v>
      </c>
      <c r="D85" s="16"/>
      <c r="E85" s="30" t="inlineStr">
        <is>
          <t>USD</t>
        </is>
      </c>
    </row>
    <row r="86">
      <c r="B86" s="16" t="inlineStr">
        <is>
          <t>Capital inicial invertido</t>
        </is>
      </c>
      <c r="C86" s="22">
        <v>250000</v>
      </c>
      <c r="D86" s="16"/>
      <c r="E86" s="30" t="inlineStr">
        <is>
          <t>USD</t>
        </is>
      </c>
    </row>
    <row r="87">
      <c r="B87" s="16" t="inlineStr">
        <is>
          <t>Gasto familiar por moneda</t>
        </is>
      </c>
      <c r="C87" s="16"/>
      <c r="D87" s="16"/>
      <c r="E87" s="30" t="inlineStr">
        <is>
          <t>30% en dólares · 70% en colones (cada parte con la inflación de su moneda)</t>
        </is>
      </c>
    </row>
    <row r="88">
      <c r="B88" s="16" t="inlineStr">
        <is>
          <t>Comentarios del cliente</t>
        </is>
      </c>
      <c r="C88" s="16"/>
      <c r="D88" s="16"/>
      <c r="E88" s="16"/>
    </row>
    <row r="90" ht="22" customHeight="1">
      <c r="B90" s="13" t="inlineStr">
        <is>
          <t>Retiro, pensión, fondos y flujos previstos</t>
        </is>
      </c>
      <c r="C90" s="13"/>
      <c r="D90" s="13"/>
      <c r="E90" s="13"/>
    </row>
    <row r="91">
      <c r="B91" s="16" t="inlineStr">
        <is>
          <t>Gasto en el retiro (% del gasto actual)</t>
        </is>
      </c>
      <c r="C91" s="24">
        <v>1</v>
      </c>
      <c r="D91" s="16"/>
      <c r="E91" s="16"/>
    </row>
    <row r="92">
      <c r="B92" s="16" t="inlineStr">
        <is>
          <t>Régimen de pensión</t>
        </is>
      </c>
      <c r="C92" s="16"/>
      <c r="D92" s="16"/>
      <c r="E92" s="30" t="inlineStr">
        <is>
          <t>Magisterio Nacional</t>
        </is>
      </c>
    </row>
    <row r="93">
      <c r="B93" s="16" t="inlineStr">
        <is>
          <t>Pensión mensual estimada (valor de hoy)</t>
        </is>
      </c>
      <c r="C93" s="22">
        <v>800000</v>
      </c>
      <c r="D93" s="16"/>
      <c r="E93" s="30" t="inlineStr">
        <is>
          <t>CRC</t>
        </is>
      </c>
    </row>
    <row r="94">
      <c r="B94" s="16" t="inlineStr">
        <is>
          <t>Edad de inicio de la pensión</t>
        </is>
      </c>
      <c r="C94" s="32">
        <v>65</v>
      </c>
      <c r="D94" s="16"/>
      <c r="E94" s="16"/>
    </row>
    <row r="95">
      <c r="B95" s="16" t="inlineStr">
        <is>
          <t>Otros ingresos recurrentes mensuales (valor de hoy)</t>
        </is>
      </c>
      <c r="C95" s="22">
        <v>500000</v>
      </c>
      <c r="D95" s="16"/>
      <c r="E95" s="30" t="inlineStr">
        <is>
          <t>CRC · desde 2030 · durante toda la proyección</t>
        </is>
      </c>
    </row>
    <row r="96">
      <c r="B96" s="16" t="inlineStr">
        <is>
          <t>ROP: saldo actual</t>
        </is>
      </c>
      <c r="C96" s="22">
        <v>12000000</v>
      </c>
      <c r="D96" s="16"/>
      <c r="E96" s="30" t="inlineStr">
        <is>
          <t>CRC · pensión: retiro programado</t>
        </is>
      </c>
    </row>
    <row r="97">
      <c r="B97" s="16" t="inlineStr">
        <is>
          <t>ROP: aporte mensual</t>
        </is>
      </c>
      <c r="C97" s="16"/>
      <c r="D97" s="16"/>
      <c r="E97" s="30" t="inlineStr">
        <is>
          <t>No lo indicó: se estima con el salario</t>
        </is>
      </c>
    </row>
    <row r="98">
      <c r="B98" s="16" t="inlineStr">
        <is>
          <t>FCL: saldo actual</t>
        </is>
      </c>
      <c r="C98" s="22">
        <v>12000000</v>
      </c>
      <c r="D98" s="16"/>
      <c r="E98" s="30" t="inlineStr">
        <is>
          <t>CRC · traslado al momento del retiro</t>
        </is>
      </c>
    </row>
    <row r="99">
      <c r="B99" s="16" t="inlineStr">
        <is>
          <t>FCL: aporte mensual</t>
        </is>
      </c>
      <c r="C99" s="16"/>
      <c r="D99" s="16"/>
      <c r="E99" s="30" t="inlineStr">
        <is>
          <t>No lo indicó: se estima con el salario</t>
        </is>
      </c>
    </row>
    <row r="100">
      <c r="B100" s="16" t="inlineStr">
        <is>
          <t>Pensión voluntaria: saldo actual</t>
        </is>
      </c>
      <c r="C100" s="22">
        <v>12000000</v>
      </c>
      <c r="D100" s="16"/>
      <c r="E100" s="30" t="inlineStr">
        <is>
          <t>CRC · pensión mensual desde la edad de pensión</t>
        </is>
      </c>
    </row>
    <row r="101">
      <c r="B101" s="16" t="inlineStr">
        <is>
          <t>Pensión voluntaria: aporte mensual</t>
        </is>
      </c>
      <c r="C101" s="22">
        <v>150000</v>
      </c>
      <c r="D101" s="16"/>
      <c r="E101" s="30" t="inlineStr">
        <is>
          <t>CRC</t>
        </is>
      </c>
    </row>
    <row r="102">
      <c r="B102" s="16" t="inlineStr">
        <is>
          <t>Ingreso extraordinario 1: Bono por antigüedad (valor de hoy)</t>
        </is>
      </c>
      <c r="C102" s="22">
        <v>40000</v>
      </c>
      <c r="D102" s="16"/>
      <c r="E102" s="30" t="inlineStr">
        <is>
          <t>USD · año 2028</t>
        </is>
      </c>
    </row>
    <row r="103">
      <c r="B103" s="16" t="inlineStr">
        <is>
          <t>Ingreso extraordinario 2: Herencia esperada (valor de hoy)</t>
        </is>
      </c>
      <c r="C103" s="22">
        <v>120000</v>
      </c>
      <c r="D103" s="16"/>
      <c r="E103" s="30" t="inlineStr">
        <is>
          <t>USD · año 2032</t>
        </is>
      </c>
    </row>
    <row r="104">
      <c r="B104" s="16" t="inlineStr">
        <is>
          <t>Desinversión: Venta del inmueble 1</t>
        </is>
      </c>
      <c r="C104" s="22">
        <v>180000</v>
      </c>
      <c r="D104" s="16"/>
      <c r="E104" s="30" t="inlineStr">
        <is>
          <t>USD · año 2031 · monto que entra al portafolio</t>
        </is>
      </c>
    </row>
    <row r="105">
      <c r="B105" s="16" t="inlineStr">
        <is>
          <t>Desinversión: Venta de un lote</t>
        </is>
      </c>
      <c r="C105" s="22">
        <v>150000</v>
      </c>
      <c r="D105" s="16"/>
      <c r="E105" s="30" t="inlineStr">
        <is>
          <t>USD · año 2033 · monto que entra al portafolio</t>
        </is>
      </c>
    </row>
    <row r="106">
      <c r="B106" s="16" t="inlineStr">
        <is>
          <t>Gasto de dependiente 1 (valor de hoy, por año)</t>
        </is>
      </c>
      <c r="C106" s="22">
        <v>12000</v>
      </c>
      <c r="D106" s="16"/>
      <c r="E106" s="30" t="inlineStr">
        <is>
          <t>USD · Cónyuge o pareja · salud · desde 2030 por 5 años</t>
        </is>
      </c>
    </row>
    <row r="107">
      <c r="B107" s="16" t="inlineStr">
        <is>
          <t>Meta 1 (valor de hoy)</t>
        </is>
      </c>
      <c r="C107" s="22">
        <v>40000</v>
      </c>
      <c r="D107" s="16"/>
      <c r="E107" s="30" t="inlineStr">
        <is>
          <t>USD · Vivienda o propiedad · año 2031 · deseable · salida del portafolio</t>
        </is>
      </c>
    </row>
    <row r="109" ht="22" customHeight="1">
      <c r="B109" s="13" t="inlineStr">
        <is>
          <t>Perfil de permanencia y aportes</t>
        </is>
      </c>
      <c r="C109" s="13"/>
      <c r="D109" s="13"/>
      <c r="E109" s="13"/>
    </row>
    <row r="110">
      <c r="B110" s="16" t="inlineStr">
        <is>
          <t>Retiro: Retiro del portafolio (2031, valor de hoy)</t>
        </is>
      </c>
      <c r="C110" s="22">
        <v>50000</v>
      </c>
      <c r="D110" s="16"/>
      <c r="E110" s="30" t="inlineStr">
        <is>
          <t>USD</t>
        </is>
      </c>
    </row>
    <row r="111">
      <c r="B111" s="16" t="inlineStr">
        <is>
          <t>Destino del patrimonio</t>
        </is>
      </c>
      <c r="C111" s="16"/>
      <c r="D111" s="16"/>
      <c r="E111" s="30" t="inlineStr">
        <is>
          <t>Utilizarlo durante su vida</t>
        </is>
      </c>
    </row>
    <row r="113" ht="22" customHeight="1">
      <c r="B113" s="13" t="inlineStr">
        <is>
          <t>Hogar, patrimonio y protección</t>
        </is>
      </c>
      <c r="C113" s="13"/>
      <c r="D113" s="13"/>
      <c r="E113" s="13"/>
    </row>
    <row r="114">
      <c r="B114" s="16" t="inlineStr">
        <is>
          <t>Hijos</t>
        </is>
      </c>
      <c r="C114" s="16"/>
      <c r="D114" s="16"/>
      <c r="E114" s="30" t="inlineStr">
        <is>
          <t>No tiene</t>
        </is>
      </c>
    </row>
    <row r="115">
      <c r="B115" s="16" t="inlineStr">
        <is>
          <t>Otros dependientes</t>
        </is>
      </c>
      <c r="C115" s="32">
        <v>1</v>
      </c>
      <c r="D115" s="16"/>
      <c r="E115" s="30" t="inlineStr">
        <is>
          <t>otros 1</t>
        </is>
      </c>
    </row>
    <row r="116">
      <c r="B116" s="16" t="inlineStr">
        <is>
          <t>Fuentes del ingreso</t>
        </is>
      </c>
      <c r="C116" s="16"/>
      <c r="D116" s="16"/>
      <c r="E116" s="30" t="inlineStr">
        <is>
          <t>Salario · Empresa propia</t>
        </is>
      </c>
    </row>
    <row r="117">
      <c r="B117" s="16" t="inlineStr">
        <is>
          <t>Vivienda principal</t>
        </is>
      </c>
      <c r="C117" s="16"/>
      <c r="D117" s="16"/>
      <c r="E117" s="30" t="inlineStr">
        <is>
          <t>Propia, con hipoteca</t>
        </is>
      </c>
    </row>
    <row r="118">
      <c r="B118" s="16" t="inlineStr">
        <is>
          <t>Saldo de la hipoteca</t>
        </is>
      </c>
      <c r="C118" s="22">
        <v>120000</v>
      </c>
      <c r="D118" s="16"/>
      <c r="E118" s="30" t="inlineStr">
        <is>
          <t>USD</t>
        </is>
      </c>
    </row>
    <row r="119">
      <c r="B119" s="16" t="inlineStr">
        <is>
          <t>Cuota mensual de la hipoteca</t>
        </is>
      </c>
      <c r="C119" s="22">
        <v>1200</v>
      </c>
      <c r="D119" s="16"/>
      <c r="E119" s="30" t="inlineStr">
        <is>
          <t>USD</t>
        </is>
      </c>
    </row>
    <row r="120">
      <c r="B120" s="16" t="inlineStr">
        <is>
          <t>Tasa de interés anual de la hipoteca</t>
        </is>
      </c>
      <c r="C120" s="24">
        <v>0.085</v>
      </c>
      <c r="D120" s="16"/>
      <c r="E120" s="16"/>
    </row>
    <row r="121">
      <c r="B121" s="16" t="inlineStr">
        <is>
          <t>Plazo restante de la hipoteca (años)</t>
        </is>
      </c>
      <c r="C121" s="32">
        <v>15</v>
      </c>
      <c r="D121" s="16"/>
      <c r="E121" s="16"/>
    </row>
    <row r="122">
      <c r="B122" s="16" t="inlineStr">
        <is>
          <t>Apartamento en Santa Ana (valor)</t>
        </is>
      </c>
      <c r="C122" s="22">
        <v>180000</v>
      </c>
      <c r="D122" s="16"/>
      <c r="E122" s="30" t="inlineStr">
        <is>
          <t>USD · renta neta 1 100 USD · deuda 0 USD · estima venderlo en 2031 · invertiría todo aquí</t>
        </is>
      </c>
    </row>
    <row r="123">
      <c r="B123" s="16" t="inlineStr">
        <is>
          <t>Empresa 1: EMPRESA (valor estimado, 100%)</t>
        </is>
      </c>
      <c r="C123" s="22">
        <v>900000</v>
      </c>
      <c r="D123" s="16"/>
      <c r="E123" s="30" t="inlineStr">
        <is>
          <t>USD · participación 100% · estima traspasarla en 10 años</t>
        </is>
      </c>
    </row>
    <row r="124">
      <c r="B124" s="16" t="inlineStr">
        <is>
          <t>Capital privado: valor estimado (100%)</t>
        </is>
      </c>
      <c r="C124" s="22">
        <v>800000</v>
      </c>
      <c r="D124" s="16"/>
      <c r="E124" s="30" t="inlineStr">
        <is>
          <t>USD · participación 15%</t>
        </is>
      </c>
    </row>
    <row r="125">
      <c r="B125" s="16" t="inlineStr">
        <is>
          <t>Posee estructuras jurídicas</t>
        </is>
      </c>
      <c r="C125" s="16"/>
      <c r="D125" s="16"/>
      <c r="E125" s="30" t="inlineStr">
        <is>
          <t>No indicó</t>
        </is>
      </c>
    </row>
    <row r="126">
      <c r="B126" s="16" t="inlineStr">
        <is>
          <t>Deuda 1: Préstamo personal</t>
        </is>
      </c>
      <c r="C126" s="22">
        <v>5400000</v>
      </c>
      <c r="D126" s="16"/>
      <c r="E126" s="30" t="inlineStr">
        <is>
          <t>CRC · cuota 157 500 CRC al mes · tasa 11% · hasta 2029</t>
        </is>
      </c>
    </row>
    <row r="127">
      <c r="B127" s="16" t="inlineStr">
        <is>
          <t>Deuda 2: Tarjeta de crédito</t>
        </is>
      </c>
      <c r="C127" s="22">
        <v>3000</v>
      </c>
      <c r="D127" s="16"/>
      <c r="E127" s="30" t="inlineStr">
        <is>
          <t>USD · cuota 150 USD al mes · tasa 32% · hasta 2027</t>
        </is>
      </c>
    </row>
    <row r="128">
      <c r="B128" s="16" t="inlineStr">
        <is>
          <t>Donaciones al año (valor de hoy)</t>
        </is>
      </c>
      <c r="C128" s="22">
        <v>3000</v>
      </c>
      <c r="D128" s="16"/>
      <c r="E128" s="30" t="inlineStr">
        <is>
          <t>USD</t>
        </is>
      </c>
    </row>
    <row r="129">
      <c r="B129" s="16" t="inlineStr">
        <is>
          <t>Gasto extraordinario 1: Seguro y marchamo de vehículos</t>
        </is>
      </c>
      <c r="C129" s="22">
        <v>6000</v>
      </c>
      <c r="D129" s="16"/>
      <c r="E129" s="30" t="inlineStr">
        <is>
          <t>USD de hoy · cada año desde 2027</t>
        </is>
      </c>
    </row>
    <row r="130">
      <c r="B130" s="16" t="inlineStr">
        <is>
          <t>Gasto extraordinario 2: Remodelación de la casa</t>
        </is>
      </c>
      <c r="C130" s="22">
        <v>15750000</v>
      </c>
      <c r="D130" s="16"/>
      <c r="E130" s="30" t="inlineStr">
        <is>
          <t>CRC de hoy · en 2030</t>
        </is>
      </c>
    </row>
    <row r="131">
      <c r="B131" s="16" t="inlineStr">
        <is>
          <t>Seguros vigentes</t>
        </is>
      </c>
      <c r="C131" s="16"/>
      <c r="D131" s="16"/>
      <c r="E131" s="30" t="inlineStr">
        <is>
          <t>Ninguno</t>
        </is>
      </c>
    </row>
    <row r="133" ht="22" customHeight="1">
      <c r="B133" s="13" t="inlineStr">
        <is>
          <t>Supuestos aplicados</t>
        </is>
      </c>
      <c r="C133" s="13"/>
      <c r="D133" s="13"/>
      <c r="E133" s="13"/>
    </row>
    <row r="134">
      <c r="B134" s="16" t="inlineStr">
        <is>
          <t>Tipo de cambio ₡/US$</t>
        </is>
      </c>
      <c r="C134" s="22">
        <v>450</v>
      </c>
      <c r="D134" s="16"/>
      <c r="E134" s="16"/>
    </row>
    <row r="135">
      <c r="B135" s="16" t="inlineStr">
        <is>
          <t>Inflación local (Costa Rica)</t>
        </is>
      </c>
      <c r="C135" s="24">
        <v>0.039</v>
      </c>
      <c r="D135" s="16"/>
      <c r="E135" s="16"/>
    </row>
    <row r="136">
      <c r="B136" s="16" t="inlineStr">
        <is>
          <t>Inflación internacional (EE. UU.)</t>
        </is>
      </c>
      <c r="C136" s="24">
        <v>0.039</v>
      </c>
      <c r="D136" s="16"/>
      <c r="E136" s="16"/>
    </row>
    <row r="137">
      <c r="B137" s="16" t="inlineStr">
        <is>
          <t>Inflación de la pensión del IVM</t>
        </is>
      </c>
      <c r="C137" s="24">
        <v>0.01</v>
      </c>
      <c r="D137" s="16"/>
      <c r="E137" s="16"/>
    </row>
    <row r="138">
      <c r="B138" s="16" t="inlineStr">
        <is>
          <t>Inflación del ROP</t>
        </is>
      </c>
      <c r="C138" s="24">
        <v>0.039</v>
      </c>
      <c r="D138" s="16"/>
      <c r="E138" s="16"/>
    </row>
    <row r="139">
      <c r="B139" s="16" t="inlineStr">
        <is>
          <t>Inflación de la pensión voluntaria</t>
        </is>
      </c>
      <c r="C139" s="24">
        <v>0.039</v>
      </c>
      <c r="D139" s="16"/>
      <c r="E139" s="16"/>
    </row>
    <row r="140">
      <c r="B140" s="16" t="inlineStr">
        <is>
          <t>Año de inicio</t>
        </is>
      </c>
      <c r="C140" s="32">
        <v>2026</v>
      </c>
      <c r="D140" s="16"/>
      <c r="E140" s="16"/>
    </row>
    <row r="141">
      <c r="B141" s="16" t="inlineStr">
        <is>
          <t>Edad final de la proyección</t>
        </is>
      </c>
      <c r="C141" s="32">
        <v>95</v>
      </c>
      <c r="D141" s="16"/>
      <c r="E141" s="16"/>
    </row>
    <row r="142">
      <c r="B142" s="16" t="inlineStr">
        <is>
          <t>Rendimiento de los fondos de pensión</t>
        </is>
      </c>
      <c r="C142" s="24">
        <v>0.06</v>
      </c>
      <c r="D142" s="16"/>
      <c r="E142" s="16"/>
    </row>
    <row r="143">
      <c r="B143" s="16" t="inlineStr">
        <is>
          <t>Aporte al ROP (% del salario, estimado)</t>
        </is>
      </c>
      <c r="C143" s="24">
        <v>0.0425</v>
      </c>
      <c r="D143" s="16"/>
      <c r="E143" s="16"/>
    </row>
    <row r="144">
      <c r="B144" s="16" t="inlineStr">
        <is>
          <t>Aporte al FCL (% del salario, estimado)</t>
        </is>
      </c>
      <c r="C144" s="24">
        <v>0.015</v>
      </c>
      <c r="D144" s="16"/>
      <c r="E144" s="16"/>
    </row>
    <row r="145">
      <c r="B145" s="16" t="inlineStr">
        <is>
          <t>Expectativa de vida (renta temporal)</t>
        </is>
      </c>
      <c r="C145" s="16"/>
      <c r="D145" s="16"/>
      <c r="E145" s="30" t="inlineStr">
        <is>
          <t>N/A · su ROP no es renta temporal</t>
        </is>
      </c>
    </row>
    <row r="146">
      <c r="B146" s="16" t="inlineStr">
        <is>
          <t>Edad final del retiro programado</t>
        </is>
      </c>
      <c r="C146" s="32">
        <v>100</v>
      </c>
      <c r="D146" s="16"/>
      <c r="E146" s="16"/>
    </row>
    <row r="147">
      <c r="B147" s="16" t="inlineStr">
        <is>
          <t>Edad de independencia financiera</t>
        </is>
      </c>
      <c r="C147" s="16"/>
      <c r="D147" s="16"/>
      <c r="E147" s="30" t="inlineStr">
        <is>
          <t>60 años · dato del cuestionario</t>
        </is>
      </c>
    </row>
    <row r="148">
      <c r="B148" s="16" t="inlineStr">
        <is>
          <t>Gasto en el retiro</t>
        </is>
      </c>
      <c r="C148" s="16"/>
      <c r="D148" s="16"/>
      <c r="E148" s="30" t="inlineStr">
        <is>
          <t>100% del gasto actual · dato del cuestionario</t>
        </is>
      </c>
    </row>
    <row r="149">
      <c r="B149" s="16" t="inlineStr">
        <is>
          <t>Edad de inicio de la pensión</t>
        </is>
      </c>
      <c r="C149" s="16"/>
      <c r="D149" s="16"/>
      <c r="E149" s="30" t="inlineStr">
        <is>
          <t>65 años · dato del cuestionario</t>
        </is>
      </c>
    </row>
    <row r="150">
      <c r="B150" s="16" t="inlineStr">
        <is>
          <t>Modalidad del ROP</t>
        </is>
      </c>
      <c r="C150" s="16"/>
      <c r="D150" s="16"/>
      <c r="E150" s="30" t="inlineStr">
        <is>
          <t>Retiro programado · dato del cuestionario</t>
        </is>
      </c>
    </row>
    <row r="151">
      <c r="B151" s="16" t="inlineStr">
        <is>
          <t>Año de retiro de la pensión voluntaria</t>
        </is>
      </c>
      <c r="C151" s="16"/>
      <c r="D151" s="16"/>
      <c r="E151" s="30" t="inlineStr">
        <is>
          <t>2031 · dato del cuestionario</t>
        </is>
      </c>
    </row>
  </sheetData>
  <mergeCells count="12">
    <mergeCell ref="B5:E5"/>
    <mergeCell ref="B22:E22"/>
    <mergeCell ref="B28:E28"/>
    <mergeCell ref="B45:E45"/>
    <mergeCell ref="B52:E52"/>
    <mergeCell ref="B63:E63"/>
    <mergeCell ref="B72:E72"/>
    <mergeCell ref="B83:E83"/>
    <mergeCell ref="B90:E90"/>
    <mergeCell ref="B109:E109"/>
    <mergeCell ref="B113:E113"/>
    <mergeCell ref="B133:E133"/>
  </mergeCells>
  <pageMargins left="0.5" right="0.5" top="0.75" bottom="0.75" header="0.3" footer="0.3"/>
  <drawing r:id="rId1"/>
</worksheet>
</file>

<file path=xl/worksheets/sheet2.xml><?xml version="1.0" encoding="utf-8"?>
<worksheet xmlns="http://schemas.openxmlformats.org/spreadsheetml/2006/main" xmlns:r="http://schemas.openxmlformats.org/officeDocument/2006/relationships">
  <sheetViews>
    <sheetView workbookViewId="0" showGridLines="0" zoomScale="90">
      <pane xSplit="5" topLeftCell="F1" activePane="topRight" state="frozen"/>
    </sheetView>
  </sheetViews>
  <cols>
    <col width="2" customWidth="1" min="1" max="1"/>
    <col width="8" customWidth="1" min="2" max="2"/>
    <col width="7" customWidth="1" min="3" max="3"/>
    <col width="8" customWidth="1" min="4" max="4"/>
    <col width="12" customWidth="1" min="5" max="5"/>
    <col width="15" customWidth="1" min="6" max="6"/>
    <col width="17"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3" customWidth="1" min="38" max="38"/>
    <col width="15" customWidth="1" min="39" max="39"/>
    <col width="16" customWidth="1" min="40" max="40"/>
    <col width="16" customWidth="1" min="41" max="41"/>
  </cols>
  <sheetData>
    <row r="1" ht="24" customHeight="1">
      <c r="B1" s="11" t="inlineStr">
        <is>
          <t>Proyección por flujo de caja · Cliente de ejemplo</t>
        </is>
      </c>
    </row>
    <row r="2">
      <c r="B2" s="12" t="inlineStr">
        <is>
          <t>Arriba, los supuestos (columna F, con su origen en la G) y el resumen de ingresos, gastos, inversiones y desinversiones; a la derecha, el resumen del plan. Debajo, la proyección anual, toda con fórmulas. Los montos se registran, como los declaró el cliente (monto y moneda), en las hojas Ingresos, Gastos, Inversiones y Desinversiones, donde se ve el tipo de cambio aplicado y el monto en dólares; aquí solo se enlazan. Las celdas en color crema son insumos: si se cambian, toda la proyección se recalcula.</t>
        </is>
      </c>
    </row>
    <row r="4" ht="22" customHeight="1">
      <c r="B4" s="13" t="inlineStr">
        <is>
          <t>Supuestos</t>
        </is>
      </c>
      <c r="C4" s="13"/>
      <c r="D4" s="13"/>
      <c r="E4" s="13"/>
      <c r="F4" s="13"/>
      <c r="G4" s="13"/>
      <c r="I4" s="13" t="inlineStr">
        <is>
          <t>Ingresos</t>
        </is>
      </c>
      <c r="J4" s="13"/>
      <c r="K4" s="13"/>
      <c r="L4" s="13"/>
      <c r="M4" s="13"/>
      <c r="N4" s="13"/>
      <c r="O4" s="13"/>
      <c r="P4" s="13"/>
      <c r="R4" s="13" t="inlineStr">
        <is>
          <t>Gastos</t>
        </is>
      </c>
      <c r="S4" s="13"/>
      <c r="T4" s="13"/>
      <c r="U4" s="13"/>
      <c r="V4" s="13"/>
      <c r="W4" s="13"/>
      <c r="X4" s="13"/>
      <c r="Z4" s="13" t="inlineStr">
        <is>
          <t>Inversiones y desinversiones</t>
        </is>
      </c>
      <c r="AA4" s="13"/>
      <c r="AB4" s="13"/>
      <c r="AC4" s="13"/>
      <c r="AD4" s="13"/>
      <c r="AE4" s="13"/>
      <c r="AG4" s="13" t="inlineStr">
        <is>
          <t>Resumen del plan · toda la proyección</t>
        </is>
      </c>
      <c r="AH4" s="13"/>
      <c r="AI4" s="13"/>
      <c r="AJ4" s="13"/>
      <c r="AK4" s="13"/>
      <c r="AL4" s="13"/>
      <c r="AM4" s="13"/>
      <c r="AN4" s="13"/>
      <c r="AO4" s="13"/>
    </row>
    <row r="5" ht="30" customHeight="1">
      <c r="F5" s="21" t="inlineStr">
        <is>
          <t>Valor</t>
        </is>
      </c>
      <c r="G5" s="21" t="inlineStr">
        <is>
          <t>Origen</t>
        </is>
      </c>
      <c r="L5" s="21" t="inlineStr">
        <is>
          <t>Valor declarado</t>
        </is>
      </c>
      <c r="M5" s="21" t="inlineStr">
        <is>
          <t>Moneda</t>
        </is>
      </c>
      <c r="N5" s="21" t="inlineStr">
        <is>
          <t>Valor usado (US$)</t>
        </is>
      </c>
      <c r="O5" s="21" t="inlineStr">
        <is>
          <t>Desde el período</t>
        </is>
      </c>
      <c r="P5" s="21" t="inlineStr">
        <is>
          <t>Hasta el período</t>
        </is>
      </c>
      <c r="U5" s="21" t="inlineStr">
        <is>
          <t>Valor declarado</t>
        </is>
      </c>
      <c r="V5" s="21" t="inlineStr">
        <is>
          <t>Moneda</t>
        </is>
      </c>
      <c r="W5" s="21" t="inlineStr">
        <is>
          <t>Valor usado (US$)</t>
        </is>
      </c>
      <c r="X5" s="21" t="inlineStr">
        <is>
          <t>Hasta el período</t>
        </is>
      </c>
      <c r="AC5" s="21" t="inlineStr">
        <is>
          <t>Valor declarado</t>
        </is>
      </c>
      <c r="AD5" s="21" t="inlineStr">
        <is>
          <t>Moneda</t>
        </is>
      </c>
      <c r="AE5" s="21" t="inlineStr">
        <is>
          <t>Valor usado (US$)</t>
        </is>
      </c>
    </row>
    <row r="6" ht="20" customHeight="1">
      <c r="B6" s="15" t="inlineStr">
        <is>
          <t>Supuestos de mercado, del perfil y de la firma</t>
        </is>
      </c>
      <c r="C6" s="15"/>
      <c r="D6" s="15"/>
      <c r="E6" s="15"/>
      <c r="F6" s="15"/>
      <c r="G6" s="15"/>
      <c r="I6" s="15" t="inlineStr">
        <is>
          <t>Ingresos ordinarios · hoja «Ingresos»</t>
        </is>
      </c>
      <c r="J6" s="15"/>
      <c r="K6" s="15"/>
      <c r="L6" s="15"/>
      <c r="M6" s="15"/>
      <c r="N6" s="15"/>
      <c r="O6" s="15"/>
      <c r="P6" s="15"/>
      <c r="R6" s="15" t="inlineStr">
        <is>
          <t>Gastos ordinarios · hoja «Gastos»</t>
        </is>
      </c>
      <c r="S6" s="15"/>
      <c r="T6" s="15"/>
      <c r="U6" s="15"/>
      <c r="V6" s="15"/>
      <c r="W6" s="15"/>
      <c r="X6" s="15"/>
      <c r="Z6" s="15" t="inlineStr">
        <is>
          <t>Inversiones · hoja «Inversiones»</t>
        </is>
      </c>
      <c r="AA6" s="15"/>
      <c r="AB6" s="15"/>
      <c r="AC6" s="15"/>
      <c r="AD6" s="15"/>
      <c r="AE6" s="15"/>
      <c r="AG6" s="15" t="inlineStr">
        <is>
          <t>Flujo · US$ nominales</t>
        </is>
      </c>
      <c r="AH6" s="15"/>
      <c r="AI6" s="15"/>
      <c r="AJ6" s="15"/>
      <c r="AL6" s="15" t="inlineStr">
        <is>
          <t>Portafolio · US$ nominales</t>
        </is>
      </c>
      <c r="AM6" s="15"/>
      <c r="AN6" s="15"/>
      <c r="AO6" s="15"/>
    </row>
    <row r="7" ht="18" customHeight="1">
      <c r="B7" s="16" t="inlineStr">
        <is>
          <t>Tipo de cambio ₡/US$</t>
        </is>
      </c>
      <c r="C7" s="16"/>
      <c r="D7" s="16"/>
      <c r="E7" s="16"/>
      <c r="F7" s="36">
        <v>450</v>
      </c>
      <c r="G7" s="25" t="inlineStr">
        <is>
          <t>Asesor</t>
        </is>
      </c>
      <c r="I7" s="16" t="inlineStr">
        <is>
          <t>Ingreso total mensual (actividad)</t>
        </is>
      </c>
      <c r="J7" s="16"/>
      <c r="K7" s="16"/>
      <c r="L7" s="22">
        <f>'Ingresos'!$D$6</f>
        <v>2700000</v>
      </c>
      <c r="M7" s="25" t="str">
        <f>'Ingresos'!$E$6</f>
        <v>CRC</v>
      </c>
      <c r="N7" s="22">
        <f>'Ingresos'!$G$6</f>
        <v>6000</v>
      </c>
      <c r="O7" s="25">
        <f>'Ingresos'!$H$6</f>
        <v>1</v>
      </c>
      <c r="P7" s="25">
        <f>'Ingresos'!$I$6</f>
        <v>14</v>
      </c>
      <c r="R7" s="16" t="inlineStr">
        <is>
          <t>Gasto familiar mensual</t>
        </is>
      </c>
      <c r="S7" s="16"/>
      <c r="T7" s="16"/>
      <c r="U7" s="22">
        <f>'Gastos'!$D$6</f>
        <v>5500</v>
      </c>
      <c r="V7" s="25" t="str">
        <f>'Gastos'!$E$6</f>
        <v>USD</v>
      </c>
      <c r="W7" s="22">
        <f>'Gastos'!$G$6</f>
        <v>5500</v>
      </c>
      <c r="X7" s="16"/>
      <c r="Z7" s="16" t="inlineStr">
        <is>
          <t>Capital inicial del portafolio</t>
        </is>
      </c>
      <c r="AA7" s="16"/>
      <c r="AB7" s="16"/>
      <c r="AC7" s="22">
        <f>'Inversiones'!$D$6</f>
        <v>250000</v>
      </c>
      <c r="AD7" s="25" t="str">
        <f>'Inversiones'!$E$6</f>
        <v>USD</v>
      </c>
      <c r="AE7" s="22">
        <f>'Inversiones'!$G$6</f>
        <v>250000</v>
      </c>
      <c r="AG7" s="16" t="inlineStr">
        <is>
          <t>Ingresos ordinarios</t>
        </is>
      </c>
      <c r="AH7" s="16"/>
      <c r="AI7" s="16"/>
      <c r="AJ7" s="22">
        <f>SUM(M30:M79)</f>
        <v>5643124</v>
      </c>
      <c r="AL7" s="16" t="inlineStr">
        <is>
          <t>Capital inicial</t>
        </is>
      </c>
      <c r="AM7" s="16"/>
      <c r="AN7" s="16"/>
      <c r="AO7" s="22">
        <f>AG30</f>
        <v>250000</v>
      </c>
    </row>
    <row r="8" ht="18" customHeight="1">
      <c r="B8" s="16" t="inlineStr">
        <is>
          <t>Inflación local (Costa Rica)</t>
        </is>
      </c>
      <c r="C8" s="16"/>
      <c r="D8" s="16"/>
      <c r="E8" s="16"/>
      <c r="F8" s="18">
        <v>0.039</v>
      </c>
      <c r="G8" s="25" t="inlineStr">
        <is>
          <t>Asesor</t>
        </is>
      </c>
      <c r="I8" s="16" t="inlineStr">
        <is>
          <t>Ingreso mensual de la pareja</t>
        </is>
      </c>
      <c r="J8" s="16"/>
      <c r="K8" s="16"/>
      <c r="L8" s="22">
        <f>'Ingresos'!$D$7</f>
        <v>0</v>
      </c>
      <c r="M8" s="25" t="str">
        <f>'Ingresos'!$E$7</f>
        <v>USD</v>
      </c>
      <c r="N8" s="22">
        <f>'Ingresos'!$G$7</f>
        <v>0</v>
      </c>
      <c r="O8" s="25">
        <f>'Ingresos'!$H$7</f>
        <v>1</v>
      </c>
      <c r="P8" s="25">
        <f>'Ingresos'!$I$7</f>
        <v>0</v>
      </c>
      <c r="R8" s="16" t="inlineStr">
        <is>
          <t>Gasto en el retiro (% del actual, F18)</t>
        </is>
      </c>
      <c r="S8" s="16"/>
      <c r="T8" s="16"/>
      <c r="U8" s="16"/>
      <c r="V8" s="16"/>
      <c r="W8" s="24">
        <f>$F$18</f>
        <v>1</v>
      </c>
      <c r="X8" s="16"/>
      <c r="Z8" s="16" t="inlineStr">
        <is>
          <t>Rendimiento esperado (F13)</t>
        </is>
      </c>
      <c r="AA8" s="16"/>
      <c r="AB8" s="16"/>
      <c r="AC8" s="16"/>
      <c r="AD8" s="16"/>
      <c r="AE8" s="24">
        <f>$F$13</f>
        <v>0.0585725</v>
      </c>
      <c r="AG8" s="16" t="inlineStr">
        <is>
          <t>Ingresos extraordinarios</t>
        </is>
      </c>
      <c r="AH8" s="16"/>
      <c r="AI8" s="16"/>
      <c r="AJ8" s="22">
        <f>SUM(P30:P79)</f>
        <v>283622</v>
      </c>
      <c r="AL8" s="16" t="inlineStr">
        <is>
          <t>Flujo neto (ingresos − gastos)</t>
        </is>
      </c>
      <c r="AM8" s="16"/>
      <c r="AN8" s="16"/>
      <c r="AO8" s="22">
        <f>SUM(AA30:AA79)</f>
        <v>-5563769</v>
      </c>
    </row>
    <row r="9" ht="20" customHeight="1">
      <c r="B9" s="16" t="inlineStr">
        <is>
          <t>Inflación internacional (EE. UU.)</t>
        </is>
      </c>
      <c r="C9" s="16"/>
      <c r="D9" s="16"/>
      <c r="E9" s="16"/>
      <c r="F9" s="18">
        <v>0.039</v>
      </c>
      <c r="G9" s="25" t="inlineStr">
        <is>
          <t>Asesor</t>
        </is>
      </c>
      <c r="I9" s="16" t="inlineStr">
        <is>
          <t>Otros ingresos recurrentes al mes</t>
        </is>
      </c>
      <c r="J9" s="16"/>
      <c r="K9" s="16"/>
      <c r="L9" s="22">
        <f>'Ingresos'!$D$8</f>
        <v>500000</v>
      </c>
      <c r="M9" s="25" t="str">
        <f>'Ingresos'!$E$8</f>
        <v>CRC</v>
      </c>
      <c r="N9" s="22">
        <f>'Ingresos'!$G$8</f>
        <v>1111.11</v>
      </c>
      <c r="O9" s="25">
        <f>'Ingresos'!$H$8</f>
        <v>5</v>
      </c>
      <c r="P9" s="25">
        <f>'Ingresos'!$I$8</f>
        <v>50</v>
      </c>
      <c r="R9" s="16" t="inlineStr">
        <is>
          <t>Gastos de dependientes al año</t>
        </is>
      </c>
      <c r="S9" s="16"/>
      <c r="T9" s="16"/>
      <c r="U9" s="16"/>
      <c r="V9" s="16"/>
      <c r="W9" s="22">
        <f>'Gastos'!G18</f>
        <v>12000</v>
      </c>
      <c r="X9" s="16"/>
      <c r="Z9" s="15" t="inlineStr">
        <is>
          <t>Desinversiones · hoja «Desinversiones»</t>
        </is>
      </c>
      <c r="AA9" s="15"/>
      <c r="AB9" s="15"/>
      <c r="AC9" s="15"/>
      <c r="AD9" s="15"/>
      <c r="AE9" s="15"/>
      <c r="AG9" s="16" t="inlineStr">
        <is>
          <t>Gastos ordinarios</t>
        </is>
      </c>
      <c r="AH9" s="16"/>
      <c r="AI9" s="16"/>
      <c r="AJ9" s="22">
        <f>-SUM(V30:V79)</f>
        <v>-10458610</v>
      </c>
      <c r="AL9" s="16" t="inlineStr">
        <is>
          <t>Flujo neto de inversiones (desinversiones)</t>
        </is>
      </c>
      <c r="AM9" s="16"/>
      <c r="AN9" s="16"/>
      <c r="AO9" s="22">
        <f>SUM(AF30:AF79)</f>
        <v>414012</v>
      </c>
    </row>
    <row r="10" ht="18" customHeight="1">
      <c r="B10" s="16" t="inlineStr">
        <is>
          <t>Inflación de la pensión del IVM</t>
        </is>
      </c>
      <c r="C10" s="16"/>
      <c r="D10" s="16"/>
      <c r="E10" s="16"/>
      <c r="F10" s="18">
        <v>0.01</v>
      </c>
      <c r="G10" s="25" t="inlineStr">
        <is>
          <t>Asesor</t>
        </is>
      </c>
      <c r="I10" s="16" t="inlineStr">
        <is>
          <t>Pensión del Magisterio (mensual)</t>
        </is>
      </c>
      <c r="J10" s="16"/>
      <c r="K10" s="16"/>
      <c r="L10" s="22">
        <f>'Pensiones'!$H$6</f>
        <v>800000</v>
      </c>
      <c r="M10" s="25" t="str">
        <f>'Pensiones'!$I$6</f>
        <v>CRC</v>
      </c>
      <c r="N10" s="22">
        <f>'Pensiones'!$K$6</f>
        <v>1777.78</v>
      </c>
      <c r="O10" s="25">
        <f>'Pensiones'!$L$6</f>
        <v>20</v>
      </c>
      <c r="P10" s="16"/>
      <c r="R10" s="16" t="inlineStr">
        <is>
          <t>Donaciones al año</t>
        </is>
      </c>
      <c r="S10" s="16"/>
      <c r="T10" s="16"/>
      <c r="U10" s="22">
        <f>'Gastos'!$D$7</f>
        <v>3000</v>
      </c>
      <c r="V10" s="25" t="str">
        <f>'Gastos'!$E$7</f>
        <v>USD</v>
      </c>
      <c r="W10" s="22">
        <f>'Gastos'!$G$7</f>
        <v>3000</v>
      </c>
      <c r="X10" s="16"/>
      <c r="Z10" s="16" t="inlineStr">
        <is>
          <t>Venta de inmuebles</t>
        </is>
      </c>
      <c r="AA10" s="16"/>
      <c r="AB10" s="16"/>
      <c r="AC10" s="16"/>
      <c r="AD10" s="16"/>
      <c r="AE10" s="22">
        <f>'Desinversiones'!G11</f>
        <v>180000</v>
      </c>
      <c r="AG10" s="16" t="inlineStr">
        <is>
          <t>Gastos extraordinarios</t>
        </is>
      </c>
      <c r="AH10" s="16"/>
      <c r="AI10" s="16"/>
      <c r="AJ10" s="22">
        <f>-SUM(Y30:Y79)</f>
        <v>-1031906</v>
      </c>
      <c r="AL10" s="16" t="inlineStr">
        <is>
          <t>Rendimientos del portafolio</t>
        </is>
      </c>
      <c r="AM10" s="16"/>
      <c r="AN10" s="16"/>
      <c r="AO10" s="22">
        <f>SUM(AH30:AH79)</f>
        <v>1310831</v>
      </c>
    </row>
    <row r="11" ht="18" customHeight="1">
      <c r="B11" s="16" t="inlineStr">
        <is>
          <t>Inflación del ROP (aportes al ROP y al FCL)</t>
        </is>
      </c>
      <c r="C11" s="16"/>
      <c r="D11" s="16"/>
      <c r="E11" s="16"/>
      <c r="F11" s="18">
        <v>0.039</v>
      </c>
      <c r="G11" s="25" t="inlineStr">
        <is>
          <t>Asesor</t>
        </is>
      </c>
      <c r="I11" s="16" t="inlineStr">
        <is>
          <t>Alquileres de inmuebles al mes</t>
        </is>
      </c>
      <c r="J11" s="16"/>
      <c r="K11" s="16"/>
      <c r="L11" s="16"/>
      <c r="M11" s="16"/>
      <c r="N11" s="22">
        <f>'Ingresos'!G18</f>
        <v>1100</v>
      </c>
      <c r="O11" s="16"/>
      <c r="P11" s="16"/>
      <c r="R11" s="16" t="inlineStr">
        <is>
          <t>Cuota mensual de la hipoteca</t>
        </is>
      </c>
      <c r="S11" s="16"/>
      <c r="T11" s="16"/>
      <c r="U11" s="22">
        <f>'Gastos'!$D$8</f>
        <v>1200</v>
      </c>
      <c r="V11" s="25" t="str">
        <f>'Gastos'!$E$8</f>
        <v>USD</v>
      </c>
      <c r="W11" s="22">
        <f>'Gastos'!$G$8</f>
        <v>1200</v>
      </c>
      <c r="X11" s="25">
        <f>'Gastos'!$I$8</f>
        <v>15</v>
      </c>
      <c r="Z11" s="16" t="inlineStr">
        <is>
          <t>Venta de la empresa</t>
        </is>
      </c>
      <c r="AA11" s="16"/>
      <c r="AB11" s="16"/>
      <c r="AC11" s="16"/>
      <c r="AD11" s="16"/>
      <c r="AE11" s="22">
        <f>'Desinversiones'!G12</f>
        <v>0</v>
      </c>
      <c r="AG11" s="23" t="inlineStr">
        <is>
          <t>Flujo neto</t>
        </is>
      </c>
      <c r="AH11" s="23"/>
      <c r="AI11" s="23"/>
      <c r="AJ11" s="23">
        <f>SUM(AA30:AA79)</f>
        <v>-5563769</v>
      </c>
      <c r="AL11" s="16" t="inlineStr">
        <is>
          <t>Gasto no cubierto por el portafolio</t>
        </is>
      </c>
      <c r="AM11" s="16"/>
      <c r="AN11" s="16"/>
      <c r="AO11" s="22">
        <f>SUM(AM30:AM79)</f>
        <v>3588927</v>
      </c>
    </row>
    <row r="12" ht="20" customHeight="1">
      <c r="B12" s="16" t="inlineStr">
        <is>
          <t>Inflación de la pensión voluntaria</t>
        </is>
      </c>
      <c r="C12" s="16"/>
      <c r="D12" s="16"/>
      <c r="E12" s="16"/>
      <c r="F12" s="18">
        <v>0.039</v>
      </c>
      <c r="G12" s="25" t="inlineStr">
        <is>
          <t>Asesor</t>
        </is>
      </c>
      <c r="I12" s="16" t="inlineStr">
        <is>
          <t>Pensión del ROP</t>
        </is>
      </c>
      <c r="J12" s="16"/>
      <c r="K12" s="16"/>
      <c r="L12" s="26" t="inlineStr">
        <is>
          <t>Hoja «Pensiones»</t>
        </is>
      </c>
      <c r="M12" s="26"/>
      <c r="N12" s="26"/>
      <c r="O12" s="16"/>
      <c r="P12" s="16"/>
      <c r="R12" s="16" t="inlineStr">
        <is>
          <t>Cuotas mensuales de deudas</t>
        </is>
      </c>
      <c r="S12" s="16"/>
      <c r="T12" s="16"/>
      <c r="U12" s="16"/>
      <c r="V12" s="16"/>
      <c r="W12" s="22">
        <f>IF('Gastos'!$G$28="Sí",0,'Gastos'!G27)</f>
        <v>500</v>
      </c>
      <c r="X12" s="16"/>
      <c r="Z12" s="16" t="inlineStr">
        <is>
          <t>Venta de otros activos</t>
        </is>
      </c>
      <c r="AA12" s="16"/>
      <c r="AB12" s="16"/>
      <c r="AC12" s="16"/>
      <c r="AD12" s="16"/>
      <c r="AE12" s="22">
        <f>'Desinversiones'!G13</f>
        <v>150000</v>
      </c>
      <c r="AG12" s="15" t="inlineStr">
        <is>
          <t>Resultado</t>
        </is>
      </c>
      <c r="AH12" s="15"/>
      <c r="AI12" s="15"/>
      <c r="AJ12" s="15"/>
      <c r="AL12" s="23" t="inlineStr">
        <is>
          <t>Saldo final nominal</t>
        </is>
      </c>
      <c r="AM12" s="23"/>
      <c r="AN12" s="23"/>
      <c r="AO12" s="23">
        <f>AO7+AO8+AO9+AO10+AO11</f>
        <v>0</v>
      </c>
    </row>
    <row r="13" ht="20" customHeight="1">
      <c r="B13" s="16" t="inlineStr">
        <is>
          <t>Rendimiento esperado del portafolio</t>
        </is>
      </c>
      <c r="C13" s="16"/>
      <c r="D13" s="16"/>
      <c r="E13" s="16"/>
      <c r="F13" s="18">
        <v>0.0585725</v>
      </c>
      <c r="G13" s="25" t="inlineStr">
        <is>
          <t>Perfil de riesgo</t>
        </is>
      </c>
      <c r="I13" s="16" t="inlineStr">
        <is>
          <t>Pensión voluntaria</t>
        </is>
      </c>
      <c r="J13" s="16"/>
      <c r="K13" s="16"/>
      <c r="L13" s="26" t="inlineStr">
        <is>
          <t>Hoja «Pensiones»</t>
        </is>
      </c>
      <c r="M13" s="26"/>
      <c r="N13" s="26"/>
      <c r="O13" s="16"/>
      <c r="P13" s="16"/>
      <c r="R13" s="15" t="inlineStr">
        <is>
          <t>Gastos extraordinarios · valor de hoy</t>
        </is>
      </c>
      <c r="S13" s="15"/>
      <c r="T13" s="15"/>
      <c r="U13" s="15"/>
      <c r="V13" s="15"/>
      <c r="W13" s="15"/>
      <c r="X13" s="15"/>
      <c r="AG13" s="16" t="inlineStr">
        <is>
          <t>Herencia deseada (US$ de hoy)</t>
        </is>
      </c>
      <c r="AH13" s="16"/>
      <c r="AI13" s="16"/>
      <c r="AJ13" s="22">
        <v>0</v>
      </c>
      <c r="AL13" s="23" t="inlineStr">
        <is>
          <t>Saldo final en dólares de hoy</t>
        </is>
      </c>
      <c r="AM13" s="23"/>
      <c r="AN13" s="23"/>
      <c r="AO13" s="23">
        <f>AK79</f>
        <v>0</v>
      </c>
    </row>
    <row r="14" ht="20" customHeight="1">
      <c r="B14" s="16" t="inlineStr">
        <is>
          <t>Rendimiento de los fondos de pensión</t>
        </is>
      </c>
      <c r="C14" s="16"/>
      <c r="D14" s="16"/>
      <c r="E14" s="16"/>
      <c r="F14" s="18">
        <v>0.06</v>
      </c>
      <c r="G14" s="25" t="inlineStr">
        <is>
          <t>Asesor</t>
        </is>
      </c>
      <c r="I14" s="15" t="inlineStr">
        <is>
          <t>Ingresos extraordinarios · valor de hoy</t>
        </is>
      </c>
      <c r="J14" s="15"/>
      <c r="K14" s="15"/>
      <c r="L14" s="15"/>
      <c r="M14" s="15"/>
      <c r="N14" s="15"/>
      <c r="O14" s="15"/>
      <c r="P14" s="15"/>
      <c r="R14" s="16" t="inlineStr">
        <is>
          <t>Gastos extraordinarios</t>
        </is>
      </c>
      <c r="S14" s="16"/>
      <c r="T14" s="16"/>
      <c r="U14" s="16"/>
      <c r="V14" s="16"/>
      <c r="W14" s="22">
        <f>'Gastos'!G38</f>
        <v>41000</v>
      </c>
      <c r="X14" s="16"/>
      <c r="AG14" s="16" t="inlineStr">
        <is>
          <t>Edad a la que se agota el portafolio</t>
        </is>
      </c>
      <c r="AH14" s="16"/>
      <c r="AI14" s="16"/>
      <c r="AJ14" s="25">
        <f>IF(AO14&gt;0,SUMPRODUCT(MIN((AM30:AM79&gt;0)*C30:C79+(AM30:AM79&lt;=0)*1000)),"No se agota")</f>
        <v>79</v>
      </c>
      <c r="AL14" s="16" t="inlineStr">
        <is>
          <t>Gasto no cubierto, en dólares de hoy</t>
        </is>
      </c>
      <c r="AM14" s="16"/>
      <c r="AN14" s="16"/>
      <c r="AO14" s="22">
        <f>SUMPRODUCT(AM30:AM79/(1+$F$9)^D30:D79)</f>
        <v>689048</v>
      </c>
    </row>
    <row r="15" ht="18" customHeight="1">
      <c r="B15" s="16" t="inlineStr">
        <is>
          <t>Aporte al ROP (% del salario, si se estima)</t>
        </is>
      </c>
      <c r="C15" s="16"/>
      <c r="D15" s="16"/>
      <c r="E15" s="16"/>
      <c r="F15" s="18">
        <v>0.0425</v>
      </c>
      <c r="G15" s="25" t="inlineStr">
        <is>
          <t>Asesor</t>
        </is>
      </c>
      <c r="I15" s="16" t="inlineStr">
        <is>
          <t>Ingresos extraordinarios</t>
        </is>
      </c>
      <c r="J15" s="16"/>
      <c r="K15" s="16"/>
      <c r="L15" s="16"/>
      <c r="M15" s="16"/>
      <c r="N15" s="22">
        <f>'Ingresos'!G27</f>
        <v>160000</v>
      </c>
      <c r="O15" s="16"/>
      <c r="P15" s="16"/>
      <c r="R15" s="16" t="inlineStr">
        <is>
          <t>Retiros adicionales del portafolio</t>
        </is>
      </c>
      <c r="S15" s="16"/>
      <c r="T15" s="16"/>
      <c r="U15" s="16"/>
      <c r="V15" s="16"/>
      <c r="W15" s="22">
        <f>'Retiros del portafolio'!G19</f>
        <v>50000</v>
      </c>
      <c r="X15" s="16"/>
      <c r="AG15" s="23" t="inlineStr">
        <is>
          <t>¿Alcanza el plan?</t>
        </is>
      </c>
      <c r="AH15" s="23"/>
      <c r="AI15" s="23"/>
      <c r="AJ15" s="23" t="str">
        <f>IF(AND(AO14&lt;=0,AO13&gt;=AJ13),"Sí alcanza","No alcanza")</f>
        <v>No alcanza</v>
      </c>
      <c r="AL15" s="16" t="inlineStr">
        <is>
          <t>Saldo del ROP al final (fuera del portafolio)</t>
        </is>
      </c>
      <c r="AM15" s="16"/>
      <c r="AN15" s="16"/>
      <c r="AO15" s="22">
        <f>'Pensiones'!H68</f>
        <v>52882</v>
      </c>
    </row>
    <row r="16" ht="18" customHeight="1">
      <c r="B16" s="16" t="inlineStr">
        <is>
          <t>Aporte al FCL (% del salario, si se estima)</t>
        </is>
      </c>
      <c r="C16" s="16"/>
      <c r="D16" s="16"/>
      <c r="E16" s="16"/>
      <c r="F16" s="18">
        <v>0.015</v>
      </c>
      <c r="G16" s="25" t="inlineStr">
        <is>
          <t>Asesor</t>
        </is>
      </c>
      <c r="I16" s="16" t="inlineStr">
        <is>
          <t>Traslado del FCL</t>
        </is>
      </c>
      <c r="J16" s="16"/>
      <c r="K16" s="16"/>
      <c r="L16" s="26" t="inlineStr">
        <is>
          <t>Hoja «Pensiones»</t>
        </is>
      </c>
      <c r="M16" s="26"/>
      <c r="N16" s="26"/>
      <c r="O16" s="16"/>
      <c r="P16" s="16"/>
      <c r="R16" s="16" t="inlineStr">
        <is>
          <t>Metas pagadas con el portafolio</t>
        </is>
      </c>
      <c r="S16" s="16"/>
      <c r="T16" s="16"/>
      <c r="U16" s="16"/>
      <c r="V16" s="16"/>
      <c r="W16" s="22">
        <f>'Retiros del portafolio'!G10</f>
        <v>40000</v>
      </c>
      <c r="X16" s="16"/>
    </row>
    <row r="17" ht="20" customHeight="1">
      <c r="B17" s="15" t="inlineStr">
        <is>
          <t>Datos del cliente</t>
        </is>
      </c>
      <c r="C17" s="15"/>
      <c r="D17" s="15"/>
      <c r="E17" s="15"/>
      <c r="F17" s="15"/>
      <c r="G17" s="15"/>
    </row>
    <row r="18" ht="18" customHeight="1">
      <c r="B18" s="16" t="inlineStr">
        <is>
          <t>Gasto en el retiro (% del gasto actual)</t>
        </is>
      </c>
      <c r="C18" s="16"/>
      <c r="D18" s="16"/>
      <c r="E18" s="16"/>
      <c r="F18" s="18">
        <v>1</v>
      </c>
      <c r="G18" s="25" t="inlineStr">
        <is>
          <t>Cuestionario</t>
        </is>
      </c>
    </row>
    <row r="19" ht="18" customHeight="1">
      <c r="B19" s="16" t="inlineStr">
        <is>
          <t>Años hasta la independencia</t>
        </is>
      </c>
      <c r="C19" s="16"/>
      <c r="D19" s="16"/>
      <c r="E19" s="16"/>
      <c r="F19" s="19">
        <v>14</v>
      </c>
      <c r="G19" s="25" t="inlineStr">
        <is>
          <t>Cuestionario</t>
        </is>
      </c>
    </row>
    <row r="20" ht="18" customHeight="1">
      <c r="B20" s="16" t="inlineStr">
        <is>
          <t>Edad de inicio de la pensión</t>
        </is>
      </c>
      <c r="C20" s="16"/>
      <c r="D20" s="16"/>
      <c r="E20" s="16"/>
      <c r="F20" s="19">
        <v>65</v>
      </c>
      <c r="G20" s="25" t="inlineStr">
        <is>
          <t>Cuestionario</t>
        </is>
      </c>
    </row>
    <row r="21" ht="18" customHeight="1">
      <c r="B21" s="16" t="inlineStr">
        <is>
          <t>Mes de nacimiento (1 a 12)</t>
        </is>
      </c>
      <c r="C21" s="16"/>
      <c r="D21" s="16"/>
      <c r="E21" s="16"/>
      <c r="F21" s="19">
        <v>5</v>
      </c>
      <c r="G21" s="25" t="inlineStr">
        <is>
          <t>Cuestionario</t>
        </is>
      </c>
    </row>
    <row r="22" ht="18" customHeight="1">
      <c r="B22" s="16" t="inlineStr">
        <is>
          <t>Gasto familiar pagado en dólares (%)</t>
        </is>
      </c>
      <c r="C22" s="16"/>
      <c r="D22" s="16"/>
      <c r="E22" s="16"/>
      <c r="F22" s="18">
        <v>0.3</v>
      </c>
      <c r="G22" s="25" t="inlineStr">
        <is>
          <t>Cuestionario</t>
        </is>
      </c>
    </row>
    <row r="23" ht="18" customHeight="1">
      <c r="B23" s="16" t="inlineStr">
        <is>
          <t>Gasto familiar pagado en colones (%)</t>
        </is>
      </c>
      <c r="C23" s="16"/>
      <c r="D23" s="16"/>
      <c r="E23" s="16"/>
      <c r="F23" s="24">
        <f>1-$F$22</f>
        <v>0.7</v>
      </c>
      <c r="G23" s="25" t="inlineStr">
        <is>
          <t>El resto</t>
        </is>
      </c>
    </row>
    <row r="24" ht="18" customHeight="1">
      <c r="B24" s="16" t="inlineStr">
        <is>
          <t>Meses del primer año (1 a 12)</t>
        </is>
      </c>
      <c r="C24" s="16"/>
      <c r="D24" s="16"/>
      <c r="E24" s="16"/>
      <c r="F24" s="19">
        <v>3</v>
      </c>
      <c r="G24" s="25" t="inlineStr">
        <is>
          <t>Fecha del cuestionario</t>
        </is>
      </c>
    </row>
    <row r="27" ht="22" customHeight="1">
      <c r="B27" s="13" t="inlineStr">
        <is>
          <t>Proyección anual · dólares nominales</t>
        </is>
      </c>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row r="28" ht="30" customHeight="1">
      <c r="B28" s="14" t="inlineStr">
        <is>
          <t>Período</t>
        </is>
      </c>
      <c r="C28" s="14"/>
      <c r="D28" s="14"/>
      <c r="E28" s="14"/>
      <c r="F28" s="14" t="inlineStr">
        <is>
          <t>Ingresos ordinarios</t>
        </is>
      </c>
      <c r="G28" s="14"/>
      <c r="H28" s="14"/>
      <c r="I28" s="14"/>
      <c r="J28" s="14"/>
      <c r="K28" s="14"/>
      <c r="L28" s="14"/>
      <c r="M28" s="14"/>
      <c r="N28" s="14" t="inlineStr">
        <is>
          <t>Ingresos extraordinarios</t>
        </is>
      </c>
      <c r="O28" s="14"/>
      <c r="P28" s="14"/>
      <c r="Q28" s="14" t="inlineStr">
        <is>
          <t>Ingresos totales</t>
        </is>
      </c>
      <c r="R28" s="14" t="inlineStr">
        <is>
          <t>Gastos ordinarios</t>
        </is>
      </c>
      <c r="S28" s="14"/>
      <c r="T28" s="14"/>
      <c r="U28" s="14"/>
      <c r="V28" s="14"/>
      <c r="W28" s="14" t="inlineStr">
        <is>
          <t>Gastos extraordinarios</t>
        </is>
      </c>
      <c r="X28" s="14"/>
      <c r="Y28" s="14"/>
      <c r="Z28" s="14" t="inlineStr">
        <is>
          <t>Gastos totales</t>
        </is>
      </c>
      <c r="AA28" s="14" t="inlineStr">
        <is>
          <t>Flujo neto</t>
        </is>
      </c>
      <c r="AB28" s="14" t="inlineStr">
        <is>
          <t>Desinversiones</t>
        </is>
      </c>
      <c r="AC28" s="14"/>
      <c r="AD28" s="14"/>
      <c r="AE28" s="14"/>
      <c r="AF28" s="14" t="inlineStr">
        <is>
          <t>Flujo neto de inversiones</t>
        </is>
      </c>
      <c r="AG28" s="14" t="inlineStr">
        <is>
          <t>Portafolio</t>
        </is>
      </c>
      <c r="AH28" s="14"/>
      <c r="AI28" s="14"/>
      <c r="AJ28" s="14"/>
      <c r="AK28" s="14"/>
      <c r="AL28" s="14"/>
      <c r="AM28" s="14"/>
    </row>
    <row r="29" ht="44" customHeight="1">
      <c r="B29" s="21" t="inlineStr">
        <is>
          <t>Año</t>
        </is>
      </c>
      <c r="C29" s="21" t="inlineStr">
        <is>
          <t>Edad</t>
        </is>
      </c>
      <c r="D29" s="21" t="inlineStr">
        <is>
          <t>Período</t>
        </is>
      </c>
      <c r="E29" s="21" t="inlineStr">
        <is>
          <t>Fase</t>
        </is>
      </c>
      <c r="F29" s="21" t="inlineStr">
        <is>
          <t>Ingreso total (actividad)</t>
        </is>
      </c>
      <c r="G29" s="21" t="inlineStr">
        <is>
          <t>Ingreso de la pareja</t>
        </is>
      </c>
      <c r="H29" s="21" t="inlineStr">
        <is>
          <t>Otros ingresos recurrentes</t>
        </is>
      </c>
      <c r="I29" s="21" t="inlineStr">
        <is>
          <t>Alquileres de inmuebles</t>
        </is>
      </c>
      <c r="J29" s="21" t="inlineStr">
        <is>
          <t>Pensión del Magisterio</t>
        </is>
      </c>
      <c r="K29" s="21" t="inlineStr">
        <is>
          <t>Pensión del ROP</t>
        </is>
      </c>
      <c r="L29" s="21" t="inlineStr">
        <is>
          <t>Pensión voluntaria</t>
        </is>
      </c>
      <c r="M29" s="21" t="inlineStr">
        <is>
          <t>Total ingresos ordinarios</t>
        </is>
      </c>
      <c r="N29" s="21" t="inlineStr">
        <is>
          <t>Ingresos extraordinarios</t>
        </is>
      </c>
      <c r="O29" s="21" t="inlineStr">
        <is>
          <t>Traslado del FCL</t>
        </is>
      </c>
      <c r="P29" s="21" t="inlineStr">
        <is>
          <t>Total ingresos extraordinarios</t>
        </is>
      </c>
      <c r="Q29" s="21" t="inlineStr">
        <is>
          <t>Total ingresos</t>
        </is>
      </c>
      <c r="R29" s="21" t="inlineStr">
        <is>
          <t>Gasto familiar</t>
        </is>
      </c>
      <c r="S29" s="21" t="inlineStr">
        <is>
          <t>Gastos de dependientes</t>
        </is>
      </c>
      <c r="T29" s="21" t="inlineStr">
        <is>
          <t>Donaciones</t>
        </is>
      </c>
      <c r="U29" s="21" t="inlineStr">
        <is>
          <t>Cuotas de hipoteca y deudas</t>
        </is>
      </c>
      <c r="V29" s="21" t="inlineStr">
        <is>
          <t>Total gastos ordinarios</t>
        </is>
      </c>
      <c r="W29" s="21" t="inlineStr">
        <is>
          <t>Gastos extraordinarios</t>
        </is>
      </c>
      <c r="X29" s="21" t="inlineStr">
        <is>
          <t>Inversiones</t>
        </is>
      </c>
      <c r="Y29" s="21" t="inlineStr">
        <is>
          <t>Total salidas</t>
        </is>
      </c>
      <c r="Z29" s="21" t="inlineStr">
        <is>
          <t>Total gastos</t>
        </is>
      </c>
      <c r="AA29" s="21" t="inlineStr">
        <is>
          <t>Flujo neto (ingresos − gastos)</t>
        </is>
      </c>
      <c r="AB29" s="21" t="inlineStr">
        <is>
          <t>Venta de inmuebles</t>
        </is>
      </c>
      <c r="AC29" s="21" t="inlineStr">
        <is>
          <t>Venta de la empresa</t>
        </is>
      </c>
      <c r="AD29" s="21" t="inlineStr">
        <is>
          <t>Venta de otros activos</t>
        </is>
      </c>
      <c r="AE29" s="21" t="inlineStr">
        <is>
          <t>Total desinversiones</t>
        </is>
      </c>
      <c r="AF29" s="21" t="inlineStr">
        <is>
          <t>Flujo neto de inversiones (desinversiones)</t>
        </is>
      </c>
      <c r="AG29" s="21" t="inlineStr">
        <is>
          <t>Portafolio inicial</t>
        </is>
      </c>
      <c r="AH29" s="21" t="inlineStr">
        <is>
          <t>Rendimiento</t>
        </is>
      </c>
      <c r="AI29" s="21" t="inlineStr">
        <is>
          <t>Flujo neto</t>
        </is>
      </c>
      <c r="AJ29" s="21" t="inlineStr">
        <is>
          <t>Portafolio final nominal</t>
        </is>
      </c>
      <c r="AK29" s="21" t="inlineStr">
        <is>
          <t>Portafolio en términos reales</t>
        </is>
      </c>
      <c r="AL29" s="21" t="inlineStr">
        <is>
          <t>Tasa de retiro (% del portafolio)</t>
        </is>
      </c>
      <c r="AM29" s="21" t="inlineStr">
        <is>
          <t>Gasto no cubierto</t>
        </is>
      </c>
    </row>
    <row r="30">
      <c r="B30" s="19">
        <v>2026</v>
      </c>
      <c r="C30" s="19">
        <v>46</v>
      </c>
      <c r="D30" s="25">
        <v>1</v>
      </c>
      <c r="E30" s="26" t="str">
        <f>IF(D30&lt;=$F$19,"Acumulación","Retiro")</f>
        <v>Acumulación</v>
      </c>
      <c r="F30" s="22">
        <f>IF(D30&lt;=$P$7,$N$7*12*(1+IF($M$7="CRC",N($F$8),$F$9))^(D30-1),0)*$F$24/12</f>
        <v>18000</v>
      </c>
      <c r="G30" s="22">
        <f>IF(D30&lt;=$P$8,$N$8*12*(1+IF($M$8="CRC",N($F$8),$F$9))^(D30-1),0)*$F$24/12</f>
        <v>0</v>
      </c>
      <c r="H30" s="22">
        <f>IF(AND($N$9&gt;0,D30&gt;=$O$9,D30&lt;=$P$9),$N$9*12*(1+IF($M$9="CRC",N($F$8),$F$9))^(D30-1),0)*$F$24/12</f>
        <v>0</v>
      </c>
      <c r="I30" s="22">
        <f>SUMPRODUCT(('Ingresos'!$H$14:$H$17&gt;=B30)*'Ingresos'!$G$14:$G$17*(1+('Ingresos'!$E$14:$E$17="CRC")*N($F$8)+('Ingresos'!$E$14:$E$17&lt;&gt;"CRC")*$F$9)^(D30-1))*12*$F$24/12</f>
        <v>3300</v>
      </c>
      <c r="J30" s="22">
        <f>IF(AND($N$10&gt;0,D30&gt;=N($O$10)),$N$10*12*(1+IF($M$10="CRC",N($F$8),$F$9))^(N($O$10)-1)*(1+N($F$10))^(D30-N($O$10))*MIN(IF(D30=N($O$10),IF(AND(ISNUMBER($F$21),N($F$20)&gt;=$C$30),(12-$F$21)/12,1),1),$F$24/12),0)</f>
        <v>0</v>
      </c>
      <c r="K30" s="22">
        <f>'Pensiones'!T19</f>
        <v>0</v>
      </c>
      <c r="L30" s="22">
        <f>'Pensiones'!U19</f>
        <v>0</v>
      </c>
      <c r="M30" s="23">
        <f>SUM(F30:L30)</f>
        <v>21300</v>
      </c>
      <c r="N30" s="22">
        <f>SUMPRODUCT(('Ingresos'!$H$22:$H$26=B30)*'Ingresos'!$G$22:$G$26*(1+('Ingresos'!$E$22:$E$26="CRC")*N($F$8)+('Ingresos'!$E$22:$E$26&lt;&gt;"CRC")*$F$9)^(D30-1))</f>
        <v>0</v>
      </c>
      <c r="O30" s="22">
        <f>'Pensiones'!S19</f>
        <v>0</v>
      </c>
      <c r="P30" s="23">
        <f>SUM(N30:O30)</f>
        <v>0</v>
      </c>
      <c r="Q30" s="23">
        <f>M30+P30</f>
        <v>21300</v>
      </c>
      <c r="R30" s="22">
        <f>$W$7*12*(N($F$22)*(1+$F$9)^(D30-1)+(1-N($F$22))*(1+N($F$8))^(D30-1))*IF(D30&gt;$F$19,$F$18,1)*$F$24/12</f>
        <v>16500</v>
      </c>
      <c r="S30" s="22">
        <f>SUMPRODUCT(('Gastos'!$H$14:$H$17&lt;=B30)*('Gastos'!$H$14:$H$17+'Gastos'!$I$14:$I$17&gt;B30)*'Gastos'!$G$14:$G$17*(1+('Gastos'!$E$14:$E$17="CRC")*N($F$8)+('Gastos'!$E$14:$E$17&lt;&gt;"CRC")*$F$9)^(D30-1))*$F$24/12</f>
        <v>0</v>
      </c>
      <c r="T30" s="22">
        <f>$W$10*(1+IF($V$10="CRC",N($F$8),$F$9))^(D30-1)*$F$24/12</f>
        <v>750</v>
      </c>
      <c r="U30" s="22">
        <f>(IF(D30&lt;=$X$11,$W$11*12,0)+IF('Gastos'!$G$28="Sí",0,SUMPRODUCT(('Gastos'!$H$22:$H$26&gt;=B30)*'Gastos'!$G$22:$G$26)*12)+SUMPRODUCT(('Gastos'!$H$43:$H$45&lt;=B30)*('Gastos'!$H$43:$H$45+'Gastos'!$I$43:$I$45-1&gt;=B30)*'Gastos'!$K$43:$K$45))*$F$24/12</f>
        <v>5100</v>
      </c>
      <c r="V30" s="23">
        <f>SUM(R30:U30)</f>
        <v>22350</v>
      </c>
      <c r="W30" s="22">
        <f>SUMPRODUCT(('Gastos'!$I$33:$I$37=1)*('Gastos'!$H$33:$H$37=B30)*'Gastos'!$G$33:$G$37*(1+('Gastos'!$E$33:$E$37="CRC")*N($F$8)+('Gastos'!$E$33:$E$37&lt;&gt;"CRC")*$F$9)^(D30-1))+SUMPRODUCT(('Gastos'!$I$33:$I$37=2)*('Gastos'!$H$33:$H$37&lt;=B30)*'Gastos'!$G$33:$G$37*(1+('Gastos'!$E$33:$E$37="CRC")*N($F$8)+('Gastos'!$E$33:$E$37&lt;&gt;"CRC")*$F$9)^(D30-1))*$F$24/12+SUMPRODUCT(('Retiros del portafolio'!$H$15:$H$18=B30)*'Retiros del portafolio'!$G$15:$G$18*(1+('Retiros del portafolio'!$E$15:$E$18="CRC")*N($F$8)+('Retiros del portafolio'!$E$15:$E$18&lt;&gt;"CRC")*$F$9)^(D30-1))</f>
        <v>0</v>
      </c>
      <c r="X30" s="22">
        <f>SUMPRODUCT(('Retiros del portafolio'!$H$6:$H$9=B30)*'Retiros del portafolio'!$G$6:$G$9*(1+('Retiros del portafolio'!$E$6:$E$9="CRC")*N($F$8)+('Retiros del portafolio'!$E$6:$E$9&lt;&gt;"CRC")*$F$9)^(D30-1))</f>
        <v>0</v>
      </c>
      <c r="Y30" s="23">
        <f>W30+X30</f>
        <v>0</v>
      </c>
      <c r="Z30" s="23">
        <f>V30+Y30</f>
        <v>22350</v>
      </c>
      <c r="AA30" s="23">
        <f>Q30-Z30</f>
        <v>-1050</v>
      </c>
      <c r="AB30" s="22">
        <f>SUMPRODUCT(('Desinversiones'!$H$6:$H$10=B30)*('Desinversiones'!$I$6:$I$10=1)*'Desinversiones'!$G$6:$G$10*(1+('Desinversiones'!$E$6:$E$10="CRC")*N($F$8)+('Desinversiones'!$E$6:$E$10&lt;&gt;"CRC")*$F$9)^(D30-1))</f>
        <v>0</v>
      </c>
      <c r="AC30" s="22">
        <f>SUMPRODUCT(('Desinversiones'!$H$6:$H$10=B30)*('Desinversiones'!$I$6:$I$10=2)*'Desinversiones'!$G$6:$G$10*(1+('Desinversiones'!$E$6:$E$10="CRC")*N($F$8)+('Desinversiones'!$E$6:$E$10&lt;&gt;"CRC")*$F$9)^(D30-1))</f>
        <v>0</v>
      </c>
      <c r="AD30" s="22">
        <f>SUMPRODUCT(('Desinversiones'!$H$6:$H$10=B30)*('Desinversiones'!$I$6:$I$10=3)*'Desinversiones'!$G$6:$G$10*(1+('Desinversiones'!$E$6:$E$10="CRC")*N($F$8)+('Desinversiones'!$E$6:$E$10&lt;&gt;"CRC")*$F$9)^(D30-1))</f>
        <v>0</v>
      </c>
      <c r="AE30" s="23">
        <f>SUM(AB30:AD30)</f>
        <v>0</v>
      </c>
      <c r="AF30" s="23">
        <f>AE30</f>
        <v>0</v>
      </c>
      <c r="AG30" s="22">
        <f>$AE$7</f>
        <v>250000</v>
      </c>
      <c r="AH30" s="22">
        <f>AG30*$F$13*$F$24/12</f>
        <v>3661</v>
      </c>
      <c r="AI30" s="23">
        <f>AA30+AF30</f>
        <v>-1050</v>
      </c>
      <c r="AJ30" s="23">
        <f>AG30+AH30+AI30+AM30</f>
        <v>252611</v>
      </c>
      <c r="AK30" s="22">
        <f>AJ30/(1+$F$9)^(D30-1+$F$24/12)</f>
        <v>250206</v>
      </c>
      <c r="AL30" s="24">
        <f>IF(AG30&lt;=0,0,MAX(0,-AI30)/AG30)</f>
        <v>0.0042</v>
      </c>
      <c r="AM30" s="22">
        <f>MAX(0,-(AG30+AH30+AI30))</f>
        <v>0</v>
      </c>
    </row>
    <row r="31">
      <c r="B31" s="25">
        <f>B30+1</f>
        <v>2027</v>
      </c>
      <c r="C31" s="25">
        <f>C30+1</f>
        <v>47</v>
      </c>
      <c r="D31" s="25">
        <f>D30+1</f>
        <v>2</v>
      </c>
      <c r="E31" s="26" t="str">
        <f>IF(D31&lt;=$F$19,"Acumulación","Retiro")</f>
        <v>Acumulación</v>
      </c>
      <c r="F31" s="22">
        <f>IF(D31&lt;=$P$7,$N$7*12*(1+IF($M$7="CRC",N($F$8),$F$9))^(D31-1),0)</f>
        <v>74808</v>
      </c>
      <c r="G31" s="22">
        <f>IF(D31&lt;=$P$8,$N$8*12*(1+IF($M$8="CRC",N($F$8),$F$9))^(D31-1),0)</f>
        <v>0</v>
      </c>
      <c r="H31" s="22">
        <f>IF(AND($N$9&gt;0,D31&gt;=$O$9,D31&lt;=$P$9),$N$9*12*(1+IF($M$9="CRC",N($F$8),$F$9))^(D31-1),0)</f>
        <v>0</v>
      </c>
      <c r="I31" s="22">
        <f>SUMPRODUCT(('Ingresos'!$H$14:$H$17&gt;=B31)*'Ingresos'!$G$14:$G$17*(1+('Ingresos'!$E$14:$E$17="CRC")*N($F$8)+('Ingresos'!$E$14:$E$17&lt;&gt;"CRC")*$F$9)^(D31-1))*12</f>
        <v>13715</v>
      </c>
      <c r="J31" s="22">
        <f>IF(AND($N$10&gt;0,D31&gt;=N($O$10)),$N$10*12*(1+IF($M$10="CRC",N($F$8),$F$9))^(N($O$10)-1)*(1+N($F$10))^(D31-N($O$10))*IF(D31=N($O$10),IF(AND(ISNUMBER($F$21),N($F$20)&gt;=$C$30),(12-$F$21)/12,1),1),0)</f>
        <v>0</v>
      </c>
      <c r="K31" s="22">
        <f>'Pensiones'!T20</f>
        <v>0</v>
      </c>
      <c r="L31" s="22">
        <f>'Pensiones'!U20</f>
        <v>0</v>
      </c>
      <c r="M31" s="23">
        <f>SUM(F31:L31)</f>
        <v>88523</v>
      </c>
      <c r="N31" s="22">
        <f>SUMPRODUCT(('Ingresos'!$H$22:$H$26=B31)*'Ingresos'!$G$22:$G$26*(1+('Ingresos'!$E$22:$E$26="CRC")*N($F$8)+('Ingresos'!$E$22:$E$26&lt;&gt;"CRC")*$F$9)^(D31-1))</f>
        <v>0</v>
      </c>
      <c r="O31" s="22">
        <f>'Pensiones'!S20</f>
        <v>0</v>
      </c>
      <c r="P31" s="23">
        <f>SUM(N31:O31)</f>
        <v>0</v>
      </c>
      <c r="Q31" s="23">
        <f>M31+P31</f>
        <v>88523</v>
      </c>
      <c r="R31" s="22">
        <f>$W$7*12*(N($F$22)*(1+$F$9)^(D31-1)+(1-N($F$22))*(1+N($F$8))^(D31-1))*IF(D31&gt;$F$19,$F$18,1)</f>
        <v>68574</v>
      </c>
      <c r="S31" s="22">
        <f>SUMPRODUCT(('Gastos'!$H$14:$H$17&lt;=B31)*('Gastos'!$H$14:$H$17+'Gastos'!$I$14:$I$17&gt;B31)*'Gastos'!$G$14:$G$17*(1+('Gastos'!$E$14:$E$17="CRC")*N($F$8)+('Gastos'!$E$14:$E$17&lt;&gt;"CRC")*$F$9)^(D31-1))</f>
        <v>0</v>
      </c>
      <c r="T31" s="22">
        <f>$W$10*(1+IF($V$10="CRC",N($F$8),$F$9))^(D31-1)</f>
        <v>3117</v>
      </c>
      <c r="U31" s="22">
        <f>(IF(D31&lt;=$X$11,$W$11*12,0)+IF('Gastos'!$G$28="Sí",0,SUMPRODUCT(('Gastos'!$H$22:$H$26&gt;=B31)*'Gastos'!$G$22:$G$26)*12)+SUMPRODUCT(('Gastos'!$H$43:$H$45&lt;=B31)*('Gastos'!$H$43:$H$45+'Gastos'!$I$43:$I$45-1&gt;=B31)*'Gastos'!$K$43:$K$45))</f>
        <v>20400</v>
      </c>
      <c r="V31" s="23">
        <f>SUM(R31:U31)</f>
        <v>92091</v>
      </c>
      <c r="W31" s="22">
        <f>SUMPRODUCT(('Gastos'!$I$33:$I$37=1)*('Gastos'!$H$33:$H$37=B31)*'Gastos'!$G$33:$G$37*(1+('Gastos'!$E$33:$E$37="CRC")*N($F$8)+('Gastos'!$E$33:$E$37&lt;&gt;"CRC")*$F$9)^(D31-1))+SUMPRODUCT(('Gastos'!$I$33:$I$37=2)*('Gastos'!$H$33:$H$37&lt;=B31)*'Gastos'!$G$33:$G$37*(1+('Gastos'!$E$33:$E$37="CRC")*N($F$8)+('Gastos'!$E$33:$E$37&lt;&gt;"CRC")*$F$9)^(D31-1))+SUMPRODUCT(('Retiros del portafolio'!$H$15:$H$18=B31)*'Retiros del portafolio'!$G$15:$G$18*(1+('Retiros del portafolio'!$E$15:$E$18="CRC")*N($F$8)+('Retiros del portafolio'!$E$15:$E$18&lt;&gt;"CRC")*$F$9)^(D31-1))</f>
        <v>6234</v>
      </c>
      <c r="X31" s="22">
        <f>SUMPRODUCT(('Retiros del portafolio'!$H$6:$H$9=B31)*'Retiros del portafolio'!$G$6:$G$9*(1+('Retiros del portafolio'!$E$6:$E$9="CRC")*N($F$8)+('Retiros del portafolio'!$E$6:$E$9&lt;&gt;"CRC")*$F$9)^(D31-1))</f>
        <v>0</v>
      </c>
      <c r="Y31" s="23">
        <f>W31+X31</f>
        <v>6234</v>
      </c>
      <c r="Z31" s="23">
        <f>V31+Y31</f>
        <v>98325</v>
      </c>
      <c r="AA31" s="23">
        <f>Q31-Z31</f>
        <v>-9802</v>
      </c>
      <c r="AB31" s="22">
        <f>SUMPRODUCT(('Desinversiones'!$H$6:$H$10=B31)*('Desinversiones'!$I$6:$I$10=1)*'Desinversiones'!$G$6:$G$10*(1+('Desinversiones'!$E$6:$E$10="CRC")*N($F$8)+('Desinversiones'!$E$6:$E$10&lt;&gt;"CRC")*$F$9)^(D31-1))</f>
        <v>0</v>
      </c>
      <c r="AC31" s="22">
        <f>SUMPRODUCT(('Desinversiones'!$H$6:$H$10=B31)*('Desinversiones'!$I$6:$I$10=2)*'Desinversiones'!$G$6:$G$10*(1+('Desinversiones'!$E$6:$E$10="CRC")*N($F$8)+('Desinversiones'!$E$6:$E$10&lt;&gt;"CRC")*$F$9)^(D31-1))</f>
        <v>0</v>
      </c>
      <c r="AD31" s="22">
        <f>SUMPRODUCT(('Desinversiones'!$H$6:$H$10=B31)*('Desinversiones'!$I$6:$I$10=3)*'Desinversiones'!$G$6:$G$10*(1+('Desinversiones'!$E$6:$E$10="CRC")*N($F$8)+('Desinversiones'!$E$6:$E$10&lt;&gt;"CRC")*$F$9)^(D31-1))</f>
        <v>0</v>
      </c>
      <c r="AE31" s="23">
        <f>SUM(AB31:AD31)</f>
        <v>0</v>
      </c>
      <c r="AF31" s="23">
        <f>AE31</f>
        <v>0</v>
      </c>
      <c r="AG31" s="22">
        <f>AJ30</f>
        <v>252611</v>
      </c>
      <c r="AH31" s="22">
        <f>AG31*$F$13</f>
        <v>14796</v>
      </c>
      <c r="AI31" s="23">
        <f>AA31+AF31</f>
        <v>-9802</v>
      </c>
      <c r="AJ31" s="23">
        <f>AG31+AH31+AI31+AM31</f>
        <v>257605</v>
      </c>
      <c r="AK31" s="22">
        <f>AJ31/(1+$F$9)^(D31-1+$F$24/12)</f>
        <v>245575</v>
      </c>
      <c r="AL31" s="24">
        <f>IF(AG31&lt;=0,0,MAX(0,-AI31)/AG31)</f>
        <v>0.03880356947354161</v>
      </c>
      <c r="AM31" s="22">
        <f>MAX(0,-(AG31+AH31+AI31))</f>
        <v>0</v>
      </c>
    </row>
    <row r="32">
      <c r="B32" s="25">
        <f>B31+1</f>
        <v>2028</v>
      </c>
      <c r="C32" s="25">
        <f>C31+1</f>
        <v>48</v>
      </c>
      <c r="D32" s="25">
        <f>D31+1</f>
        <v>3</v>
      </c>
      <c r="E32" s="26" t="str">
        <f>IF(D32&lt;=$F$19,"Acumulación","Retiro")</f>
        <v>Acumulación</v>
      </c>
      <c r="F32" s="22">
        <f>IF(D32&lt;=$P$7,$N$7*12*(1+IF($M$7="CRC",N($F$8),$F$9))^(D32-1),0)</f>
        <v>77726</v>
      </c>
      <c r="G32" s="22">
        <f>IF(D32&lt;=$P$8,$N$8*12*(1+IF($M$8="CRC",N($F$8),$F$9))^(D32-1),0)</f>
        <v>0</v>
      </c>
      <c r="H32" s="22">
        <f>IF(AND($N$9&gt;0,D32&gt;=$O$9,D32&lt;=$P$9),$N$9*12*(1+IF($M$9="CRC",N($F$8),$F$9))^(D32-1),0)</f>
        <v>0</v>
      </c>
      <c r="I32" s="22">
        <f>SUMPRODUCT(('Ingresos'!$H$14:$H$17&gt;=B32)*'Ingresos'!$G$14:$G$17*(1+('Ingresos'!$E$14:$E$17="CRC")*N($F$8)+('Ingresos'!$E$14:$E$17&lt;&gt;"CRC")*$F$9)^(D32-1))*12</f>
        <v>14250</v>
      </c>
      <c r="J32" s="22">
        <f>IF(AND($N$10&gt;0,D32&gt;=N($O$10)),$N$10*12*(1+IF($M$10="CRC",N($F$8),$F$9))^(N($O$10)-1)*(1+N($F$10))^(D32-N($O$10))*IF(D32=N($O$10),IF(AND(ISNUMBER($F$21),N($F$20)&gt;=$C$30),(12-$F$21)/12,1),1),0)</f>
        <v>0</v>
      </c>
      <c r="K32" s="22">
        <f>'Pensiones'!T21</f>
        <v>0</v>
      </c>
      <c r="L32" s="22">
        <f>'Pensiones'!U21</f>
        <v>0</v>
      </c>
      <c r="M32" s="23">
        <f>SUM(F32:L32)</f>
        <v>91975</v>
      </c>
      <c r="N32" s="22">
        <f>SUMPRODUCT(('Ingresos'!$H$22:$H$26=B32)*'Ingresos'!$G$22:$G$26*(1+('Ingresos'!$E$22:$E$26="CRC")*N($F$8)+('Ingresos'!$E$22:$E$26&lt;&gt;"CRC")*$F$9)^(D32-1))</f>
        <v>43181</v>
      </c>
      <c r="O32" s="22">
        <f>'Pensiones'!S21</f>
        <v>0</v>
      </c>
      <c r="P32" s="23">
        <f>SUM(N32:O32)</f>
        <v>43181</v>
      </c>
      <c r="Q32" s="23">
        <f>M32+P32</f>
        <v>135156</v>
      </c>
      <c r="R32" s="22">
        <f>$W$7*12*(N($F$22)*(1+$F$9)^(D32-1)+(1-N($F$22))*(1+N($F$8))^(D32-1))*IF(D32&gt;$F$19,$F$18,1)</f>
        <v>71248</v>
      </c>
      <c r="S32" s="22">
        <f>SUMPRODUCT(('Gastos'!$H$14:$H$17&lt;=B32)*('Gastos'!$H$14:$H$17+'Gastos'!$I$14:$I$17&gt;B32)*'Gastos'!$G$14:$G$17*(1+('Gastos'!$E$14:$E$17="CRC")*N($F$8)+('Gastos'!$E$14:$E$17&lt;&gt;"CRC")*$F$9)^(D32-1))</f>
        <v>0</v>
      </c>
      <c r="T32" s="22">
        <f>$W$10*(1+IF($V$10="CRC",N($F$8),$F$9))^(D32-1)</f>
        <v>3239</v>
      </c>
      <c r="U32" s="22">
        <f>(IF(D32&lt;=$X$11,$W$11*12,0)+IF('Gastos'!$G$28="Sí",0,SUMPRODUCT(('Gastos'!$H$22:$H$26&gt;=B32)*'Gastos'!$G$22:$G$26)*12)+SUMPRODUCT(('Gastos'!$H$43:$H$45&lt;=B32)*('Gastos'!$H$43:$H$45+'Gastos'!$I$43:$I$45-1&gt;=B32)*'Gastos'!$K$43:$K$45))</f>
        <v>18600</v>
      </c>
      <c r="V32" s="23">
        <f>SUM(R32:U32)</f>
        <v>93087</v>
      </c>
      <c r="W32" s="22">
        <f>SUMPRODUCT(('Gastos'!$I$33:$I$37=1)*('Gastos'!$H$33:$H$37=B32)*'Gastos'!$G$33:$G$37*(1+('Gastos'!$E$33:$E$37="CRC")*N($F$8)+('Gastos'!$E$33:$E$37&lt;&gt;"CRC")*$F$9)^(D32-1))+SUMPRODUCT(('Gastos'!$I$33:$I$37=2)*('Gastos'!$H$33:$H$37&lt;=B32)*'Gastos'!$G$33:$G$37*(1+('Gastos'!$E$33:$E$37="CRC")*N($F$8)+('Gastos'!$E$33:$E$37&lt;&gt;"CRC")*$F$9)^(D32-1))+SUMPRODUCT(('Retiros del portafolio'!$H$15:$H$18=B32)*'Retiros del portafolio'!$G$15:$G$18*(1+('Retiros del portafolio'!$E$15:$E$18="CRC")*N($F$8)+('Retiros del portafolio'!$E$15:$E$18&lt;&gt;"CRC")*$F$9)^(D32-1))</f>
        <v>6477</v>
      </c>
      <c r="X32" s="22">
        <f>SUMPRODUCT(('Retiros del portafolio'!$H$6:$H$9=B32)*'Retiros del portafolio'!$G$6:$G$9*(1+('Retiros del portafolio'!$E$6:$E$9="CRC")*N($F$8)+('Retiros del portafolio'!$E$6:$E$9&lt;&gt;"CRC")*$F$9)^(D32-1))</f>
        <v>0</v>
      </c>
      <c r="Y32" s="23">
        <f>W32+X32</f>
        <v>6477</v>
      </c>
      <c r="Z32" s="23">
        <f>V32+Y32</f>
        <v>99564</v>
      </c>
      <c r="AA32" s="23">
        <f>Q32-Z32</f>
        <v>35592</v>
      </c>
      <c r="AB32" s="22">
        <f>SUMPRODUCT(('Desinversiones'!$H$6:$H$10=B32)*('Desinversiones'!$I$6:$I$10=1)*'Desinversiones'!$G$6:$G$10*(1+('Desinversiones'!$E$6:$E$10="CRC")*N($F$8)+('Desinversiones'!$E$6:$E$10&lt;&gt;"CRC")*$F$9)^(D32-1))</f>
        <v>0</v>
      </c>
      <c r="AC32" s="22">
        <f>SUMPRODUCT(('Desinversiones'!$H$6:$H$10=B32)*('Desinversiones'!$I$6:$I$10=2)*'Desinversiones'!$G$6:$G$10*(1+('Desinversiones'!$E$6:$E$10="CRC")*N($F$8)+('Desinversiones'!$E$6:$E$10&lt;&gt;"CRC")*$F$9)^(D32-1))</f>
        <v>0</v>
      </c>
      <c r="AD32" s="22">
        <f>SUMPRODUCT(('Desinversiones'!$H$6:$H$10=B32)*('Desinversiones'!$I$6:$I$10=3)*'Desinversiones'!$G$6:$G$10*(1+('Desinversiones'!$E$6:$E$10="CRC")*N($F$8)+('Desinversiones'!$E$6:$E$10&lt;&gt;"CRC")*$F$9)^(D32-1))</f>
        <v>0</v>
      </c>
      <c r="AE32" s="23">
        <f>SUM(AB32:AD32)</f>
        <v>0</v>
      </c>
      <c r="AF32" s="23">
        <f>AE32</f>
        <v>0</v>
      </c>
      <c r="AG32" s="22">
        <f>AJ31</f>
        <v>257605</v>
      </c>
      <c r="AH32" s="22">
        <f>AG32*$F$13</f>
        <v>15089</v>
      </c>
      <c r="AI32" s="23">
        <f>AA32+AF32</f>
        <v>35592</v>
      </c>
      <c r="AJ32" s="23">
        <f>AG32+AH32+AI32+AM32</f>
        <v>308285</v>
      </c>
      <c r="AK32" s="22">
        <f>AJ32/(1+$F$9)^(D32-1+$F$24/12)</f>
        <v>282857</v>
      </c>
      <c r="AL32" s="24">
        <f>IF(AG32&lt;=0,0,MAX(0,-AI32)/AG32)</f>
        <v>0</v>
      </c>
      <c r="AM32" s="22">
        <f>MAX(0,-(AG32+AH32+AI32))</f>
        <v>0</v>
      </c>
    </row>
    <row r="33">
      <c r="B33" s="25">
        <f>B32+1</f>
        <v>2029</v>
      </c>
      <c r="C33" s="25">
        <f>C32+1</f>
        <v>49</v>
      </c>
      <c r="D33" s="25">
        <f>D32+1</f>
        <v>4</v>
      </c>
      <c r="E33" s="26" t="str">
        <f>IF(D33&lt;=$F$19,"Acumulación","Retiro")</f>
        <v>Acumulación</v>
      </c>
      <c r="F33" s="22">
        <f>IF(D33&lt;=$P$7,$N$7*12*(1+IF($M$7="CRC",N($F$8),$F$9))^(D33-1),0)</f>
        <v>80757</v>
      </c>
      <c r="G33" s="22">
        <f>IF(D33&lt;=$P$8,$N$8*12*(1+IF($M$8="CRC",N($F$8),$F$9))^(D33-1),0)</f>
        <v>0</v>
      </c>
      <c r="H33" s="22">
        <f>IF(AND($N$9&gt;0,D33&gt;=$O$9,D33&lt;=$P$9),$N$9*12*(1+IF($M$9="CRC",N($F$8),$F$9))^(D33-1),0)</f>
        <v>0</v>
      </c>
      <c r="I33" s="22">
        <f>SUMPRODUCT(('Ingresos'!$H$14:$H$17&gt;=B33)*'Ingresos'!$G$14:$G$17*(1+('Ingresos'!$E$14:$E$17="CRC")*N($F$8)+('Ingresos'!$E$14:$E$17&lt;&gt;"CRC")*$F$9)^(D33-1))*12</f>
        <v>14805</v>
      </c>
      <c r="J33" s="22">
        <f>IF(AND($N$10&gt;0,D33&gt;=N($O$10)),$N$10*12*(1+IF($M$10="CRC",N($F$8),$F$9))^(N($O$10)-1)*(1+N($F$10))^(D33-N($O$10))*IF(D33=N($O$10),IF(AND(ISNUMBER($F$21),N($F$20)&gt;=$C$30),(12-$F$21)/12,1),1),0)</f>
        <v>0</v>
      </c>
      <c r="K33" s="22">
        <f>'Pensiones'!T22</f>
        <v>0</v>
      </c>
      <c r="L33" s="22">
        <f>'Pensiones'!U22</f>
        <v>0</v>
      </c>
      <c r="M33" s="23">
        <f>SUM(F33:L33)</f>
        <v>95562</v>
      </c>
      <c r="N33" s="22">
        <f>SUMPRODUCT(('Ingresos'!$H$22:$H$26=B33)*'Ingresos'!$G$22:$G$26*(1+('Ingresos'!$E$22:$E$26="CRC")*N($F$8)+('Ingresos'!$E$22:$E$26&lt;&gt;"CRC")*$F$9)^(D33-1))</f>
        <v>0</v>
      </c>
      <c r="O33" s="22">
        <f>'Pensiones'!S22</f>
        <v>0</v>
      </c>
      <c r="P33" s="23">
        <f>SUM(N33:O33)</f>
        <v>0</v>
      </c>
      <c r="Q33" s="23">
        <f>M33+P33</f>
        <v>95562</v>
      </c>
      <c r="R33" s="22">
        <f>$W$7*12*(N($F$22)*(1+$F$9)^(D33-1)+(1-N($F$22))*(1+N($F$8))^(D33-1))*IF(D33&gt;$F$19,$F$18,1)</f>
        <v>74027</v>
      </c>
      <c r="S33" s="22">
        <f>SUMPRODUCT(('Gastos'!$H$14:$H$17&lt;=B33)*('Gastos'!$H$14:$H$17+'Gastos'!$I$14:$I$17&gt;B33)*'Gastos'!$G$14:$G$17*(1+('Gastos'!$E$14:$E$17="CRC")*N($F$8)+('Gastos'!$E$14:$E$17&lt;&gt;"CRC")*$F$9)^(D33-1))</f>
        <v>0</v>
      </c>
      <c r="T33" s="22">
        <f>$W$10*(1+IF($V$10="CRC",N($F$8),$F$9))^(D33-1)</f>
        <v>3365</v>
      </c>
      <c r="U33" s="22">
        <f>(IF(D33&lt;=$X$11,$W$11*12,0)+IF('Gastos'!$G$28="Sí",0,SUMPRODUCT(('Gastos'!$H$22:$H$26&gt;=B33)*'Gastos'!$G$22:$G$26)*12)+SUMPRODUCT(('Gastos'!$H$43:$H$45&lt;=B33)*('Gastos'!$H$43:$H$45+'Gastos'!$I$43:$I$45-1&gt;=B33)*'Gastos'!$K$43:$K$45))</f>
        <v>18600</v>
      </c>
      <c r="V33" s="23">
        <f>SUM(R33:U33)</f>
        <v>95992</v>
      </c>
      <c r="W33" s="22">
        <f>SUMPRODUCT(('Gastos'!$I$33:$I$37=1)*('Gastos'!$H$33:$H$37=B33)*'Gastos'!$G$33:$G$37*(1+('Gastos'!$E$33:$E$37="CRC")*N($F$8)+('Gastos'!$E$33:$E$37&lt;&gt;"CRC")*$F$9)^(D33-1))+SUMPRODUCT(('Gastos'!$I$33:$I$37=2)*('Gastos'!$H$33:$H$37&lt;=B33)*'Gastos'!$G$33:$G$37*(1+('Gastos'!$E$33:$E$37="CRC")*N($F$8)+('Gastos'!$E$33:$E$37&lt;&gt;"CRC")*$F$9)^(D33-1))+SUMPRODUCT(('Retiros del portafolio'!$H$15:$H$18=B33)*'Retiros del portafolio'!$G$15:$G$18*(1+('Retiros del portafolio'!$E$15:$E$18="CRC")*N($F$8)+('Retiros del portafolio'!$E$15:$E$18&lt;&gt;"CRC")*$F$9)^(D33-1))</f>
        <v>6730</v>
      </c>
      <c r="X33" s="22">
        <f>SUMPRODUCT(('Retiros del portafolio'!$H$6:$H$9=B33)*'Retiros del portafolio'!$G$6:$G$9*(1+('Retiros del portafolio'!$E$6:$E$9="CRC")*N($F$8)+('Retiros del portafolio'!$E$6:$E$9&lt;&gt;"CRC")*$F$9)^(D33-1))</f>
        <v>0</v>
      </c>
      <c r="Y33" s="23">
        <f>W33+X33</f>
        <v>6730</v>
      </c>
      <c r="Z33" s="23">
        <f>V33+Y33</f>
        <v>102722</v>
      </c>
      <c r="AA33" s="23">
        <f>Q33-Z33</f>
        <v>-7159</v>
      </c>
      <c r="AB33" s="22">
        <f>SUMPRODUCT(('Desinversiones'!$H$6:$H$10=B33)*('Desinversiones'!$I$6:$I$10=1)*'Desinversiones'!$G$6:$G$10*(1+('Desinversiones'!$E$6:$E$10="CRC")*N($F$8)+('Desinversiones'!$E$6:$E$10&lt;&gt;"CRC")*$F$9)^(D33-1))</f>
        <v>0</v>
      </c>
      <c r="AC33" s="22">
        <f>SUMPRODUCT(('Desinversiones'!$H$6:$H$10=B33)*('Desinversiones'!$I$6:$I$10=2)*'Desinversiones'!$G$6:$G$10*(1+('Desinversiones'!$E$6:$E$10="CRC")*N($F$8)+('Desinversiones'!$E$6:$E$10&lt;&gt;"CRC")*$F$9)^(D33-1))</f>
        <v>0</v>
      </c>
      <c r="AD33" s="22">
        <f>SUMPRODUCT(('Desinversiones'!$H$6:$H$10=B33)*('Desinversiones'!$I$6:$I$10=3)*'Desinversiones'!$G$6:$G$10*(1+('Desinversiones'!$E$6:$E$10="CRC")*N($F$8)+('Desinversiones'!$E$6:$E$10&lt;&gt;"CRC")*$F$9)^(D33-1))</f>
        <v>0</v>
      </c>
      <c r="AE33" s="23">
        <f>SUM(AB33:AD33)</f>
        <v>0</v>
      </c>
      <c r="AF33" s="23">
        <f>AE33</f>
        <v>0</v>
      </c>
      <c r="AG33" s="22">
        <f>AJ32</f>
        <v>308285</v>
      </c>
      <c r="AH33" s="22">
        <f>AG33*$F$13</f>
        <v>18057</v>
      </c>
      <c r="AI33" s="23">
        <f>AA33+AF33</f>
        <v>-7159</v>
      </c>
      <c r="AJ33" s="23">
        <f>AG33+AH33+AI33+AM33</f>
        <v>319183</v>
      </c>
      <c r="AK33" s="22">
        <f>AJ33/(1+$F$9)^(D33-1+$F$24/12)</f>
        <v>281863</v>
      </c>
      <c r="AL33" s="24">
        <f>IF(AG33&lt;=0,0,MAX(0,-AI33)/AG33)</f>
        <v>0.023223476287900155</v>
      </c>
      <c r="AM33" s="22">
        <f>MAX(0,-(AG33+AH33+AI33))</f>
        <v>0</v>
      </c>
    </row>
    <row r="34">
      <c r="B34" s="25">
        <f>B33+1</f>
        <v>2030</v>
      </c>
      <c r="C34" s="25">
        <f>C33+1</f>
        <v>50</v>
      </c>
      <c r="D34" s="25">
        <f>D33+1</f>
        <v>5</v>
      </c>
      <c r="E34" s="26" t="str">
        <f>IF(D34&lt;=$F$19,"Acumulación","Retiro")</f>
        <v>Acumulación</v>
      </c>
      <c r="F34" s="22">
        <f>IF(D34&lt;=$P$7,$N$7*12*(1+IF($M$7="CRC",N($F$8),$F$9))^(D34-1),0)</f>
        <v>83906</v>
      </c>
      <c r="G34" s="22">
        <f>IF(D34&lt;=$P$8,$N$8*12*(1+IF($M$8="CRC",N($F$8),$F$9))^(D34-1),0)</f>
        <v>0</v>
      </c>
      <c r="H34" s="22">
        <f>IF(AND($N$9&gt;0,D34&gt;=$O$9,D34&lt;=$P$9),$N$9*12*(1+IF($M$9="CRC",N($F$8),$F$9))^(D34-1),0)</f>
        <v>15538</v>
      </c>
      <c r="I34" s="22">
        <f>SUMPRODUCT(('Ingresos'!$H$14:$H$17&gt;=B34)*'Ingresos'!$G$14:$G$17*(1+('Ingresos'!$E$14:$E$17="CRC")*N($F$8)+('Ingresos'!$E$14:$E$17&lt;&gt;"CRC")*$F$9)^(D34-1))*12</f>
        <v>15383</v>
      </c>
      <c r="J34" s="22">
        <f>IF(AND($N$10&gt;0,D34&gt;=N($O$10)),$N$10*12*(1+IF($M$10="CRC",N($F$8),$F$9))^(N($O$10)-1)*(1+N($F$10))^(D34-N($O$10))*IF(D34=N($O$10),IF(AND(ISNUMBER($F$21),N($F$20)&gt;=$C$30),(12-$F$21)/12,1),1),0)</f>
        <v>0</v>
      </c>
      <c r="K34" s="22">
        <f>'Pensiones'!T23</f>
        <v>0</v>
      </c>
      <c r="L34" s="22">
        <f>'Pensiones'!U23</f>
        <v>0</v>
      </c>
      <c r="M34" s="23">
        <f>SUM(F34:L34)</f>
        <v>114827</v>
      </c>
      <c r="N34" s="22">
        <f>SUMPRODUCT(('Ingresos'!$H$22:$H$26=B34)*'Ingresos'!$G$22:$G$26*(1+('Ingresos'!$E$22:$E$26="CRC")*N($F$8)+('Ingresos'!$E$22:$E$26&lt;&gt;"CRC")*$F$9)^(D34-1))</f>
        <v>0</v>
      </c>
      <c r="O34" s="22">
        <f>'Pensiones'!S23</f>
        <v>0</v>
      </c>
      <c r="P34" s="23">
        <f>SUM(N34:O34)</f>
        <v>0</v>
      </c>
      <c r="Q34" s="23">
        <f>M34+P34</f>
        <v>114827</v>
      </c>
      <c r="R34" s="22">
        <f>$W$7*12*(N($F$22)*(1+$F$9)^(D34-1)+(1-N($F$22))*(1+N($F$8))^(D34-1))*IF(D34&gt;$F$19,$F$18,1)</f>
        <v>76914</v>
      </c>
      <c r="S34" s="22">
        <f>SUMPRODUCT(('Gastos'!$H$14:$H$17&lt;=B34)*('Gastos'!$H$14:$H$17+'Gastos'!$I$14:$I$17&gt;B34)*'Gastos'!$G$14:$G$17*(1+('Gastos'!$E$14:$E$17="CRC")*N($F$8)+('Gastos'!$E$14:$E$17&lt;&gt;"CRC")*$F$9)^(D34-1))</f>
        <v>13984</v>
      </c>
      <c r="T34" s="22">
        <f>$W$10*(1+IF($V$10="CRC",N($F$8),$F$9))^(D34-1)</f>
        <v>3496</v>
      </c>
      <c r="U34" s="22">
        <f>(IF(D34&lt;=$X$11,$W$11*12,0)+IF('Gastos'!$G$28="Sí",0,SUMPRODUCT(('Gastos'!$H$22:$H$26&gt;=B34)*'Gastos'!$G$22:$G$26)*12)+SUMPRODUCT(('Gastos'!$H$43:$H$45&lt;=B34)*('Gastos'!$H$43:$H$45+'Gastos'!$I$43:$I$45-1&gt;=B34)*'Gastos'!$K$43:$K$45))</f>
        <v>14400</v>
      </c>
      <c r="V34" s="23">
        <f>SUM(R34:U34)</f>
        <v>108795</v>
      </c>
      <c r="W34" s="22">
        <f>SUMPRODUCT(('Gastos'!$I$33:$I$37=1)*('Gastos'!$H$33:$H$37=B34)*'Gastos'!$G$33:$G$37*(1+('Gastos'!$E$33:$E$37="CRC")*N($F$8)+('Gastos'!$E$33:$E$37&lt;&gt;"CRC")*$F$9)^(D34-1))+SUMPRODUCT(('Gastos'!$I$33:$I$37=2)*('Gastos'!$H$33:$H$37&lt;=B34)*'Gastos'!$G$33:$G$37*(1+('Gastos'!$E$33:$E$37="CRC")*N($F$8)+('Gastos'!$E$33:$E$37&lt;&gt;"CRC")*$F$9)^(D34-1))+SUMPRODUCT(('Retiros del portafolio'!$H$15:$H$18=B34)*'Retiros del portafolio'!$G$15:$G$18*(1+('Retiros del portafolio'!$E$15:$E$18="CRC")*N($F$8)+('Retiros del portafolio'!$E$15:$E$18&lt;&gt;"CRC")*$F$9)^(D34-1))</f>
        <v>47780</v>
      </c>
      <c r="X34" s="22">
        <f>SUMPRODUCT(('Retiros del portafolio'!$H$6:$H$9=B34)*'Retiros del portafolio'!$G$6:$G$9*(1+('Retiros del portafolio'!$E$6:$E$9="CRC")*N($F$8)+('Retiros del portafolio'!$E$6:$E$9&lt;&gt;"CRC")*$F$9)^(D34-1))</f>
        <v>0</v>
      </c>
      <c r="Y34" s="23">
        <f>W34+X34</f>
        <v>47780</v>
      </c>
      <c r="Z34" s="23">
        <f>V34+Y34</f>
        <v>156575</v>
      </c>
      <c r="AA34" s="23">
        <f>Q34-Z34</f>
        <v>-41747</v>
      </c>
      <c r="AB34" s="22">
        <f>SUMPRODUCT(('Desinversiones'!$H$6:$H$10=B34)*('Desinversiones'!$I$6:$I$10=1)*'Desinversiones'!$G$6:$G$10*(1+('Desinversiones'!$E$6:$E$10="CRC")*N($F$8)+('Desinversiones'!$E$6:$E$10&lt;&gt;"CRC")*$F$9)^(D34-1))</f>
        <v>0</v>
      </c>
      <c r="AC34" s="22">
        <f>SUMPRODUCT(('Desinversiones'!$H$6:$H$10=B34)*('Desinversiones'!$I$6:$I$10=2)*'Desinversiones'!$G$6:$G$10*(1+('Desinversiones'!$E$6:$E$10="CRC")*N($F$8)+('Desinversiones'!$E$6:$E$10&lt;&gt;"CRC")*$F$9)^(D34-1))</f>
        <v>0</v>
      </c>
      <c r="AD34" s="22">
        <f>SUMPRODUCT(('Desinversiones'!$H$6:$H$10=B34)*('Desinversiones'!$I$6:$I$10=3)*'Desinversiones'!$G$6:$G$10*(1+('Desinversiones'!$E$6:$E$10="CRC")*N($F$8)+('Desinversiones'!$E$6:$E$10&lt;&gt;"CRC")*$F$9)^(D34-1))</f>
        <v>0</v>
      </c>
      <c r="AE34" s="23">
        <f>SUM(AB34:AD34)</f>
        <v>0</v>
      </c>
      <c r="AF34" s="23">
        <f>AE34</f>
        <v>0</v>
      </c>
      <c r="AG34" s="22">
        <f>AJ33</f>
        <v>319183</v>
      </c>
      <c r="AH34" s="22">
        <f>AG34*$F$13</f>
        <v>18695</v>
      </c>
      <c r="AI34" s="23">
        <f>AA34+AF34</f>
        <v>-41747</v>
      </c>
      <c r="AJ34" s="23">
        <f>AG34+AH34+AI34+AM34</f>
        <v>296131</v>
      </c>
      <c r="AK34" s="22">
        <f>AJ34/(1+$F$9)^(D34-1+$F$24/12)</f>
        <v>251691</v>
      </c>
      <c r="AL34" s="24">
        <f>IF(AG34&lt;=0,0,MAX(0,-AI34)/AG34)</f>
        <v>0.13079419745753854</v>
      </c>
      <c r="AM34" s="22">
        <f>MAX(0,-(AG34+AH34+AI34))</f>
        <v>0</v>
      </c>
    </row>
    <row r="35">
      <c r="B35" s="25">
        <f>B34+1</f>
        <v>2031</v>
      </c>
      <c r="C35" s="25">
        <f>C34+1</f>
        <v>51</v>
      </c>
      <c r="D35" s="25">
        <f>D34+1</f>
        <v>6</v>
      </c>
      <c r="E35" s="26" t="str">
        <f>IF(D35&lt;=$F$19,"Acumulación","Retiro")</f>
        <v>Acumulación</v>
      </c>
      <c r="F35" s="22">
        <f>IF(D35&lt;=$P$7,$N$7*12*(1+IF($M$7="CRC",N($F$8),$F$9))^(D35-1),0)</f>
        <v>87179</v>
      </c>
      <c r="G35" s="22">
        <f>IF(D35&lt;=$P$8,$N$8*12*(1+IF($M$8="CRC",N($F$8),$F$9))^(D35-1),0)</f>
        <v>0</v>
      </c>
      <c r="H35" s="22">
        <f>IF(AND($N$9&gt;0,D35&gt;=$O$9,D35&lt;=$P$9),$N$9*12*(1+IF($M$9="CRC",N($F$8),$F$9))^(D35-1),0)</f>
        <v>16144</v>
      </c>
      <c r="I35" s="22">
        <f>SUMPRODUCT(('Ingresos'!$H$14:$H$17&gt;=B35)*'Ingresos'!$G$14:$G$17*(1+('Ingresos'!$E$14:$E$17="CRC")*N($F$8)+('Ingresos'!$E$14:$E$17&lt;&gt;"CRC")*$F$9)^(D35-1))*12</f>
        <v>0</v>
      </c>
      <c r="J35" s="22">
        <f>IF(AND($N$10&gt;0,D35&gt;=N($O$10)),$N$10*12*(1+IF($M$10="CRC",N($F$8),$F$9))^(N($O$10)-1)*(1+N($F$10))^(D35-N($O$10))*IF(D35=N($O$10),IF(AND(ISNUMBER($F$21),N($F$20)&gt;=$C$30),(12-$F$21)/12,1),1),0)</f>
        <v>0</v>
      </c>
      <c r="K35" s="22">
        <f>'Pensiones'!T24</f>
        <v>0</v>
      </c>
      <c r="L35" s="22">
        <f>'Pensiones'!U24</f>
        <v>0</v>
      </c>
      <c r="M35" s="23">
        <f>SUM(F35:L35)</f>
        <v>103323</v>
      </c>
      <c r="N35" s="22">
        <f>SUMPRODUCT(('Ingresos'!$H$22:$H$26=B35)*'Ingresos'!$G$22:$G$26*(1+('Ingresos'!$E$22:$E$26="CRC")*N($F$8)+('Ingresos'!$E$22:$E$26&lt;&gt;"CRC")*$F$9)^(D35-1))</f>
        <v>0</v>
      </c>
      <c r="O35" s="22">
        <f>'Pensiones'!S24</f>
        <v>0</v>
      </c>
      <c r="P35" s="23">
        <f>SUM(N35:O35)</f>
        <v>0</v>
      </c>
      <c r="Q35" s="23">
        <f>M35+P35</f>
        <v>103323</v>
      </c>
      <c r="R35" s="22">
        <f>$W$7*12*(N($F$22)*(1+$F$9)^(D35-1)+(1-N($F$22))*(1+N($F$8))^(D35-1))*IF(D35&gt;$F$19,$F$18,1)</f>
        <v>79914</v>
      </c>
      <c r="S35" s="22">
        <f>SUMPRODUCT(('Gastos'!$H$14:$H$17&lt;=B35)*('Gastos'!$H$14:$H$17+'Gastos'!$I$14:$I$17&gt;B35)*'Gastos'!$G$14:$G$17*(1+('Gastos'!$E$14:$E$17="CRC")*N($F$8)+('Gastos'!$E$14:$E$17&lt;&gt;"CRC")*$F$9)^(D35-1))</f>
        <v>14530</v>
      </c>
      <c r="T35" s="22">
        <f>$W$10*(1+IF($V$10="CRC",N($F$8),$F$9))^(D35-1)</f>
        <v>3632</v>
      </c>
      <c r="U35" s="22">
        <f>(IF(D35&lt;=$X$11,$W$11*12,0)+IF('Gastos'!$G$28="Sí",0,SUMPRODUCT(('Gastos'!$H$22:$H$26&gt;=B35)*'Gastos'!$G$22:$G$26)*12)+SUMPRODUCT(('Gastos'!$H$43:$H$45&lt;=B35)*('Gastos'!$H$43:$H$45+'Gastos'!$I$43:$I$45-1&gt;=B35)*'Gastos'!$K$43:$K$45))</f>
        <v>14400</v>
      </c>
      <c r="V35" s="23">
        <f>SUM(R35:U35)</f>
        <v>112476</v>
      </c>
      <c r="W35" s="22">
        <f>SUMPRODUCT(('Gastos'!$I$33:$I$37=1)*('Gastos'!$H$33:$H$37=B35)*'Gastos'!$G$33:$G$37*(1+('Gastos'!$E$33:$E$37="CRC")*N($F$8)+('Gastos'!$E$33:$E$37&lt;&gt;"CRC")*$F$9)^(D35-1))+SUMPRODUCT(('Gastos'!$I$33:$I$37=2)*('Gastos'!$H$33:$H$37&lt;=B35)*'Gastos'!$G$33:$G$37*(1+('Gastos'!$E$33:$E$37="CRC")*N($F$8)+('Gastos'!$E$33:$E$37&lt;&gt;"CRC")*$F$9)^(D35-1))+SUMPRODUCT(('Retiros del portafolio'!$H$15:$H$18=B35)*'Retiros del portafolio'!$G$15:$G$18*(1+('Retiros del portafolio'!$E$15:$E$18="CRC")*N($F$8)+('Retiros del portafolio'!$E$15:$E$18&lt;&gt;"CRC")*$F$9)^(D35-1))</f>
        <v>67806</v>
      </c>
      <c r="X35" s="22">
        <f>SUMPRODUCT(('Retiros del portafolio'!$H$6:$H$9=B35)*'Retiros del portafolio'!$G$6:$G$9*(1+('Retiros del portafolio'!$E$6:$E$9="CRC")*N($F$8)+('Retiros del portafolio'!$E$6:$E$9&lt;&gt;"CRC")*$F$9)^(D35-1))</f>
        <v>48433</v>
      </c>
      <c r="Y35" s="23">
        <f>W35+X35</f>
        <v>116238</v>
      </c>
      <c r="Z35" s="23">
        <f>V35+Y35</f>
        <v>228714</v>
      </c>
      <c r="AA35" s="23">
        <f>Q35-Z35</f>
        <v>-125391</v>
      </c>
      <c r="AB35" s="22">
        <f>SUMPRODUCT(('Desinversiones'!$H$6:$H$10=B35)*('Desinversiones'!$I$6:$I$10=1)*'Desinversiones'!$G$6:$G$10*(1+('Desinversiones'!$E$6:$E$10="CRC")*N($F$8)+('Desinversiones'!$E$6:$E$10&lt;&gt;"CRC")*$F$9)^(D35-1))</f>
        <v>217947</v>
      </c>
      <c r="AC35" s="22">
        <f>SUMPRODUCT(('Desinversiones'!$H$6:$H$10=B35)*('Desinversiones'!$I$6:$I$10=2)*'Desinversiones'!$G$6:$G$10*(1+('Desinversiones'!$E$6:$E$10="CRC")*N($F$8)+('Desinversiones'!$E$6:$E$10&lt;&gt;"CRC")*$F$9)^(D35-1))</f>
        <v>0</v>
      </c>
      <c r="AD35" s="22">
        <f>SUMPRODUCT(('Desinversiones'!$H$6:$H$10=B35)*('Desinversiones'!$I$6:$I$10=3)*'Desinversiones'!$G$6:$G$10*(1+('Desinversiones'!$E$6:$E$10="CRC")*N($F$8)+('Desinversiones'!$E$6:$E$10&lt;&gt;"CRC")*$F$9)^(D35-1))</f>
        <v>0</v>
      </c>
      <c r="AE35" s="23">
        <f>SUM(AB35:AD35)</f>
        <v>217947</v>
      </c>
      <c r="AF35" s="23">
        <f>AE35</f>
        <v>217947</v>
      </c>
      <c r="AG35" s="22">
        <f>AJ34</f>
        <v>296131</v>
      </c>
      <c r="AH35" s="22">
        <f>AG35*$F$13</f>
        <v>17345</v>
      </c>
      <c r="AI35" s="23">
        <f>AA35+AF35</f>
        <v>92555</v>
      </c>
      <c r="AJ35" s="23">
        <f>AG35+AH35+AI35+AM35</f>
        <v>406031</v>
      </c>
      <c r="AK35" s="22">
        <f>AJ35/(1+$F$9)^(D35-1+$F$24/12)</f>
        <v>332145</v>
      </c>
      <c r="AL35" s="24">
        <f>IF(AG35&lt;=0,0,MAX(0,-AI35)/AG35)</f>
        <v>0</v>
      </c>
      <c r="AM35" s="22">
        <f>MAX(0,-(AG35+AH35+AI35))</f>
        <v>0</v>
      </c>
    </row>
    <row r="36">
      <c r="B36" s="25">
        <f>B35+1</f>
        <v>2032</v>
      </c>
      <c r="C36" s="25">
        <f>C35+1</f>
        <v>52</v>
      </c>
      <c r="D36" s="25">
        <f>D35+1</f>
        <v>7</v>
      </c>
      <c r="E36" s="26" t="str">
        <f>IF(D36&lt;=$F$19,"Acumulación","Retiro")</f>
        <v>Acumulación</v>
      </c>
      <c r="F36" s="22">
        <f>IF(D36&lt;=$P$7,$N$7*12*(1+IF($M$7="CRC",N($F$8),$F$9))^(D36-1),0)</f>
        <v>90579</v>
      </c>
      <c r="G36" s="22">
        <f>IF(D36&lt;=$P$8,$N$8*12*(1+IF($M$8="CRC",N($F$8),$F$9))^(D36-1),0)</f>
        <v>0</v>
      </c>
      <c r="H36" s="22">
        <f>IF(AND($N$9&gt;0,D36&gt;=$O$9,D36&lt;=$P$9),$N$9*12*(1+IF($M$9="CRC",N($F$8),$F$9))^(D36-1),0)</f>
        <v>16774</v>
      </c>
      <c r="I36" s="22">
        <f>SUMPRODUCT(('Ingresos'!$H$14:$H$17&gt;=B36)*'Ingresos'!$G$14:$G$17*(1+('Ingresos'!$E$14:$E$17="CRC")*N($F$8)+('Ingresos'!$E$14:$E$17&lt;&gt;"CRC")*$F$9)^(D36-1))*12</f>
        <v>0</v>
      </c>
      <c r="J36" s="22">
        <f>IF(AND($N$10&gt;0,D36&gt;=N($O$10)),$N$10*12*(1+IF($M$10="CRC",N($F$8),$F$9))^(N($O$10)-1)*(1+N($F$10))^(D36-N($O$10))*IF(D36=N($O$10),IF(AND(ISNUMBER($F$21),N($F$20)&gt;=$C$30),(12-$F$21)/12,1),1),0)</f>
        <v>0</v>
      </c>
      <c r="K36" s="22">
        <f>'Pensiones'!T25</f>
        <v>0</v>
      </c>
      <c r="L36" s="22">
        <f>'Pensiones'!U25</f>
        <v>0</v>
      </c>
      <c r="M36" s="23">
        <f>SUM(F36:L36)</f>
        <v>107352</v>
      </c>
      <c r="N36" s="22">
        <f>SUMPRODUCT(('Ingresos'!$H$22:$H$26=B36)*'Ingresos'!$G$22:$G$26*(1+('Ingresos'!$E$22:$E$26="CRC")*N($F$8)+('Ingresos'!$E$22:$E$26&lt;&gt;"CRC")*$F$9)^(D36-1))</f>
        <v>150964</v>
      </c>
      <c r="O36" s="22">
        <f>'Pensiones'!S25</f>
        <v>0</v>
      </c>
      <c r="P36" s="23">
        <f>SUM(N36:O36)</f>
        <v>150964</v>
      </c>
      <c r="Q36" s="23">
        <f>M36+P36</f>
        <v>258317</v>
      </c>
      <c r="R36" s="22">
        <f>$W$7*12*(N($F$22)*(1+$F$9)^(D36-1)+(1-N($F$22))*(1+N($F$8))^(D36-1))*IF(D36&gt;$F$19,$F$18,1)</f>
        <v>83030</v>
      </c>
      <c r="S36" s="22">
        <f>SUMPRODUCT(('Gastos'!$H$14:$H$17&lt;=B36)*('Gastos'!$H$14:$H$17+'Gastos'!$I$14:$I$17&gt;B36)*'Gastos'!$G$14:$G$17*(1+('Gastos'!$E$14:$E$17="CRC")*N($F$8)+('Gastos'!$E$14:$E$17&lt;&gt;"CRC")*$F$9)^(D36-1))</f>
        <v>15096</v>
      </c>
      <c r="T36" s="22">
        <f>$W$10*(1+IF($V$10="CRC",N($F$8),$F$9))^(D36-1)</f>
        <v>3774</v>
      </c>
      <c r="U36" s="22">
        <f>(IF(D36&lt;=$X$11,$W$11*12,0)+IF('Gastos'!$G$28="Sí",0,SUMPRODUCT(('Gastos'!$H$22:$H$26&gt;=B36)*'Gastos'!$G$22:$G$26)*12)+SUMPRODUCT(('Gastos'!$H$43:$H$45&lt;=B36)*('Gastos'!$H$43:$H$45+'Gastos'!$I$43:$I$45-1&gt;=B36)*'Gastos'!$K$43:$K$45))</f>
        <v>14400</v>
      </c>
      <c r="V36" s="23">
        <f>SUM(R36:U36)</f>
        <v>116301</v>
      </c>
      <c r="W36" s="22">
        <f>SUMPRODUCT(('Gastos'!$I$33:$I$37=1)*('Gastos'!$H$33:$H$37=B36)*'Gastos'!$G$33:$G$37*(1+('Gastos'!$E$33:$E$37="CRC")*N($F$8)+('Gastos'!$E$33:$E$37&lt;&gt;"CRC")*$F$9)^(D36-1))+SUMPRODUCT(('Gastos'!$I$33:$I$37=2)*('Gastos'!$H$33:$H$37&lt;=B36)*'Gastos'!$G$33:$G$37*(1+('Gastos'!$E$33:$E$37="CRC")*N($F$8)+('Gastos'!$E$33:$E$37&lt;&gt;"CRC")*$F$9)^(D36-1))+SUMPRODUCT(('Retiros del portafolio'!$H$15:$H$18=B36)*'Retiros del portafolio'!$G$15:$G$18*(1+('Retiros del portafolio'!$E$15:$E$18="CRC")*N($F$8)+('Retiros del portafolio'!$E$15:$E$18&lt;&gt;"CRC")*$F$9)^(D36-1))</f>
        <v>7548</v>
      </c>
      <c r="X36" s="22">
        <f>SUMPRODUCT(('Retiros del portafolio'!$H$6:$H$9=B36)*'Retiros del portafolio'!$G$6:$G$9*(1+('Retiros del portafolio'!$E$6:$E$9="CRC")*N($F$8)+('Retiros del portafolio'!$E$6:$E$9&lt;&gt;"CRC")*$F$9)^(D36-1))</f>
        <v>0</v>
      </c>
      <c r="Y36" s="23">
        <f>W36+X36</f>
        <v>7548</v>
      </c>
      <c r="Z36" s="23">
        <f>V36+Y36</f>
        <v>123849</v>
      </c>
      <c r="AA36" s="23">
        <f>Q36-Z36</f>
        <v>134468</v>
      </c>
      <c r="AB36" s="22">
        <f>SUMPRODUCT(('Desinversiones'!$H$6:$H$10=B36)*('Desinversiones'!$I$6:$I$10=1)*'Desinversiones'!$G$6:$G$10*(1+('Desinversiones'!$E$6:$E$10="CRC")*N($F$8)+('Desinversiones'!$E$6:$E$10&lt;&gt;"CRC")*$F$9)^(D36-1))</f>
        <v>0</v>
      </c>
      <c r="AC36" s="22">
        <f>SUMPRODUCT(('Desinversiones'!$H$6:$H$10=B36)*('Desinversiones'!$I$6:$I$10=2)*'Desinversiones'!$G$6:$G$10*(1+('Desinversiones'!$E$6:$E$10="CRC")*N($F$8)+('Desinversiones'!$E$6:$E$10&lt;&gt;"CRC")*$F$9)^(D36-1))</f>
        <v>0</v>
      </c>
      <c r="AD36" s="22">
        <f>SUMPRODUCT(('Desinversiones'!$H$6:$H$10=B36)*('Desinversiones'!$I$6:$I$10=3)*'Desinversiones'!$G$6:$G$10*(1+('Desinversiones'!$E$6:$E$10="CRC")*N($F$8)+('Desinversiones'!$E$6:$E$10&lt;&gt;"CRC")*$F$9)^(D36-1))</f>
        <v>0</v>
      </c>
      <c r="AE36" s="23">
        <f>SUM(AB36:AD36)</f>
        <v>0</v>
      </c>
      <c r="AF36" s="23">
        <f>AE36</f>
        <v>0</v>
      </c>
      <c r="AG36" s="22">
        <f>AJ35</f>
        <v>406031</v>
      </c>
      <c r="AH36" s="22">
        <f>AG36*$F$13</f>
        <v>23782</v>
      </c>
      <c r="AI36" s="23">
        <f>AA36+AF36</f>
        <v>134468</v>
      </c>
      <c r="AJ36" s="23">
        <f>AG36+AH36+AI36+AM36</f>
        <v>564281</v>
      </c>
      <c r="AK36" s="22">
        <f>AJ36/(1+$F$9)^(D36-1+$F$24/12)</f>
        <v>444271</v>
      </c>
      <c r="AL36" s="24">
        <f>IF(AG36&lt;=0,0,MAX(0,-AI36)/AG36)</f>
        <v>0</v>
      </c>
      <c r="AM36" s="22">
        <f>MAX(0,-(AG36+AH36+AI36))</f>
        <v>0</v>
      </c>
    </row>
    <row r="37">
      <c r="B37" s="25">
        <f>B36+1</f>
        <v>2033</v>
      </c>
      <c r="C37" s="25">
        <f>C36+1</f>
        <v>53</v>
      </c>
      <c r="D37" s="25">
        <f>D36+1</f>
        <v>8</v>
      </c>
      <c r="E37" s="26" t="str">
        <f>IF(D37&lt;=$F$19,"Acumulación","Retiro")</f>
        <v>Acumulación</v>
      </c>
      <c r="F37" s="22">
        <f>IF(D37&lt;=$P$7,$N$7*12*(1+IF($M$7="CRC",N($F$8),$F$9))^(D37-1),0)</f>
        <v>94111</v>
      </c>
      <c r="G37" s="22">
        <f>IF(D37&lt;=$P$8,$N$8*12*(1+IF($M$8="CRC",N($F$8),$F$9))^(D37-1),0)</f>
        <v>0</v>
      </c>
      <c r="H37" s="22">
        <f>IF(AND($N$9&gt;0,D37&gt;=$O$9,D37&lt;=$P$9),$N$9*12*(1+IF($M$9="CRC",N($F$8),$F$9))^(D37-1),0)</f>
        <v>17428</v>
      </c>
      <c r="I37" s="22">
        <f>SUMPRODUCT(('Ingresos'!$H$14:$H$17&gt;=B37)*'Ingresos'!$G$14:$G$17*(1+('Ingresos'!$E$14:$E$17="CRC")*N($F$8)+('Ingresos'!$E$14:$E$17&lt;&gt;"CRC")*$F$9)^(D37-1))*12</f>
        <v>0</v>
      </c>
      <c r="J37" s="22">
        <f>IF(AND($N$10&gt;0,D37&gt;=N($O$10)),$N$10*12*(1+IF($M$10="CRC",N($F$8),$F$9))^(N($O$10)-1)*(1+N($F$10))^(D37-N($O$10))*IF(D37=N($O$10),IF(AND(ISNUMBER($F$21),N($F$20)&gt;=$C$30),(12-$F$21)/12,1),1),0)</f>
        <v>0</v>
      </c>
      <c r="K37" s="22">
        <f>'Pensiones'!T26</f>
        <v>0</v>
      </c>
      <c r="L37" s="22">
        <f>'Pensiones'!U26</f>
        <v>0</v>
      </c>
      <c r="M37" s="23">
        <f>SUM(F37:L37)</f>
        <v>111539</v>
      </c>
      <c r="N37" s="22">
        <f>SUMPRODUCT(('Ingresos'!$H$22:$H$26=B37)*'Ingresos'!$G$22:$G$26*(1+('Ingresos'!$E$22:$E$26="CRC")*N($F$8)+('Ingresos'!$E$22:$E$26&lt;&gt;"CRC")*$F$9)^(D37-1))</f>
        <v>0</v>
      </c>
      <c r="O37" s="22">
        <f>'Pensiones'!S26</f>
        <v>0</v>
      </c>
      <c r="P37" s="23">
        <f>SUM(N37:O37)</f>
        <v>0</v>
      </c>
      <c r="Q37" s="23">
        <f>M37+P37</f>
        <v>111539</v>
      </c>
      <c r="R37" s="22">
        <f>$W$7*12*(N($F$22)*(1+$F$9)^(D37-1)+(1-N($F$22))*(1+N($F$8))^(D37-1))*IF(D37&gt;$F$19,$F$18,1)</f>
        <v>86269</v>
      </c>
      <c r="S37" s="22">
        <f>SUMPRODUCT(('Gastos'!$H$14:$H$17&lt;=B37)*('Gastos'!$H$14:$H$17+'Gastos'!$I$14:$I$17&gt;B37)*'Gastos'!$G$14:$G$17*(1+('Gastos'!$E$14:$E$17="CRC")*N($F$8)+('Gastos'!$E$14:$E$17&lt;&gt;"CRC")*$F$9)^(D37-1))</f>
        <v>15685</v>
      </c>
      <c r="T37" s="22">
        <f>$W$10*(1+IF($V$10="CRC",N($F$8),$F$9))^(D37-1)</f>
        <v>3921</v>
      </c>
      <c r="U37" s="22">
        <f>(IF(D37&lt;=$X$11,$W$11*12,0)+IF('Gastos'!$G$28="Sí",0,SUMPRODUCT(('Gastos'!$H$22:$H$26&gt;=B37)*'Gastos'!$G$22:$G$26)*12)+SUMPRODUCT(('Gastos'!$H$43:$H$45&lt;=B37)*('Gastos'!$H$43:$H$45+'Gastos'!$I$43:$I$45-1&gt;=B37)*'Gastos'!$K$43:$K$45))</f>
        <v>14400</v>
      </c>
      <c r="V37" s="23">
        <f>SUM(R37:U37)</f>
        <v>120275</v>
      </c>
      <c r="W37" s="22">
        <f>SUMPRODUCT(('Gastos'!$I$33:$I$37=1)*('Gastos'!$H$33:$H$37=B37)*'Gastos'!$G$33:$G$37*(1+('Gastos'!$E$33:$E$37="CRC")*N($F$8)+('Gastos'!$E$33:$E$37&lt;&gt;"CRC")*$F$9)^(D37-1))+SUMPRODUCT(('Gastos'!$I$33:$I$37=2)*('Gastos'!$H$33:$H$37&lt;=B37)*'Gastos'!$G$33:$G$37*(1+('Gastos'!$E$33:$E$37="CRC")*N($F$8)+('Gastos'!$E$33:$E$37&lt;&gt;"CRC")*$F$9)^(D37-1))+SUMPRODUCT(('Retiros del portafolio'!$H$15:$H$18=B37)*'Retiros del portafolio'!$G$15:$G$18*(1+('Retiros del portafolio'!$E$15:$E$18="CRC")*N($F$8)+('Retiros del portafolio'!$E$15:$E$18&lt;&gt;"CRC")*$F$9)^(D37-1))</f>
        <v>7843</v>
      </c>
      <c r="X37" s="22">
        <f>SUMPRODUCT(('Retiros del portafolio'!$H$6:$H$9=B37)*'Retiros del portafolio'!$G$6:$G$9*(1+('Retiros del portafolio'!$E$6:$E$9="CRC")*N($F$8)+('Retiros del portafolio'!$E$6:$E$9&lt;&gt;"CRC")*$F$9)^(D37-1))</f>
        <v>0</v>
      </c>
      <c r="Y37" s="23">
        <f>W37+X37</f>
        <v>7843</v>
      </c>
      <c r="Z37" s="23">
        <f>V37+Y37</f>
        <v>128118</v>
      </c>
      <c r="AA37" s="23">
        <f>Q37-Z37</f>
        <v>-16579</v>
      </c>
      <c r="AB37" s="22">
        <f>SUMPRODUCT(('Desinversiones'!$H$6:$H$10=B37)*('Desinversiones'!$I$6:$I$10=1)*'Desinversiones'!$G$6:$G$10*(1+('Desinversiones'!$E$6:$E$10="CRC")*N($F$8)+('Desinversiones'!$E$6:$E$10&lt;&gt;"CRC")*$F$9)^(D37-1))</f>
        <v>0</v>
      </c>
      <c r="AC37" s="22">
        <f>SUMPRODUCT(('Desinversiones'!$H$6:$H$10=B37)*('Desinversiones'!$I$6:$I$10=2)*'Desinversiones'!$G$6:$G$10*(1+('Desinversiones'!$E$6:$E$10="CRC")*N($F$8)+('Desinversiones'!$E$6:$E$10&lt;&gt;"CRC")*$F$9)^(D37-1))</f>
        <v>0</v>
      </c>
      <c r="AD37" s="22">
        <f>SUMPRODUCT(('Desinversiones'!$H$6:$H$10=B37)*('Desinversiones'!$I$6:$I$10=3)*'Desinversiones'!$G$6:$G$10*(1+('Desinversiones'!$E$6:$E$10="CRC")*N($F$8)+('Desinversiones'!$E$6:$E$10&lt;&gt;"CRC")*$F$9)^(D37-1))</f>
        <v>196065</v>
      </c>
      <c r="AE37" s="23">
        <f>SUM(AB37:AD37)</f>
        <v>196065</v>
      </c>
      <c r="AF37" s="23">
        <f>AE37</f>
        <v>196065</v>
      </c>
      <c r="AG37" s="22">
        <f>AJ36</f>
        <v>564281</v>
      </c>
      <c r="AH37" s="22">
        <f>AG37*$F$13</f>
        <v>33051</v>
      </c>
      <c r="AI37" s="23">
        <f>AA37+AF37</f>
        <v>179487</v>
      </c>
      <c r="AJ37" s="23">
        <f>AG37+AH37+AI37+AM37</f>
        <v>776819</v>
      </c>
      <c r="AK37" s="22">
        <f>AJ37/(1+$F$9)^(D37-1+$F$24/12)</f>
        <v>588650</v>
      </c>
      <c r="AL37" s="24">
        <f>IF(AG37&lt;=0,0,MAX(0,-AI37)/AG37)</f>
        <v>0</v>
      </c>
      <c r="AM37" s="22">
        <f>MAX(0,-(AG37+AH37+AI37))</f>
        <v>0</v>
      </c>
    </row>
    <row r="38">
      <c r="B38" s="25">
        <f>B37+1</f>
        <v>2034</v>
      </c>
      <c r="C38" s="25">
        <f>C37+1</f>
        <v>54</v>
      </c>
      <c r="D38" s="25">
        <f>D37+1</f>
        <v>9</v>
      </c>
      <c r="E38" s="26" t="str">
        <f>IF(D38&lt;=$F$19,"Acumulación","Retiro")</f>
        <v>Acumulación</v>
      </c>
      <c r="F38" s="22">
        <f>IF(D38&lt;=$P$7,$N$7*12*(1+IF($M$7="CRC",N($F$8),$F$9))^(D38-1),0)</f>
        <v>97782</v>
      </c>
      <c r="G38" s="22">
        <f>IF(D38&lt;=$P$8,$N$8*12*(1+IF($M$8="CRC",N($F$8),$F$9))^(D38-1),0)</f>
        <v>0</v>
      </c>
      <c r="H38" s="22">
        <f>IF(AND($N$9&gt;0,D38&gt;=$O$9,D38&lt;=$P$9),$N$9*12*(1+IF($M$9="CRC",N($F$8),$F$9))^(D38-1),0)</f>
        <v>18108</v>
      </c>
      <c r="I38" s="22">
        <f>SUMPRODUCT(('Ingresos'!$H$14:$H$17&gt;=B38)*'Ingresos'!$G$14:$G$17*(1+('Ingresos'!$E$14:$E$17="CRC")*N($F$8)+('Ingresos'!$E$14:$E$17&lt;&gt;"CRC")*$F$9)^(D38-1))*12</f>
        <v>0</v>
      </c>
      <c r="J38" s="22">
        <f>IF(AND($N$10&gt;0,D38&gt;=N($O$10)),$N$10*12*(1+IF($M$10="CRC",N($F$8),$F$9))^(N($O$10)-1)*(1+N($F$10))^(D38-N($O$10))*IF(D38=N($O$10),IF(AND(ISNUMBER($F$21),N($F$20)&gt;=$C$30),(12-$F$21)/12,1),1),0)</f>
        <v>0</v>
      </c>
      <c r="K38" s="22">
        <f>'Pensiones'!T27</f>
        <v>0</v>
      </c>
      <c r="L38" s="22">
        <f>'Pensiones'!U27</f>
        <v>0</v>
      </c>
      <c r="M38" s="23">
        <f>SUM(F38:L38)</f>
        <v>115889</v>
      </c>
      <c r="N38" s="22">
        <f>SUMPRODUCT(('Ingresos'!$H$22:$H$26=B38)*'Ingresos'!$G$22:$G$26*(1+('Ingresos'!$E$22:$E$26="CRC")*N($F$8)+('Ingresos'!$E$22:$E$26&lt;&gt;"CRC")*$F$9)^(D38-1))</f>
        <v>0</v>
      </c>
      <c r="O38" s="22">
        <f>'Pensiones'!S27</f>
        <v>0</v>
      </c>
      <c r="P38" s="23">
        <f>SUM(N38:O38)</f>
        <v>0</v>
      </c>
      <c r="Q38" s="23">
        <f>M38+P38</f>
        <v>115889</v>
      </c>
      <c r="R38" s="22">
        <f>$W$7*12*(N($F$22)*(1+$F$9)^(D38-1)+(1-N($F$22))*(1+N($F$8))^(D38-1))*IF(D38&gt;$F$19,$F$18,1)</f>
        <v>89633</v>
      </c>
      <c r="S38" s="22">
        <f>SUMPRODUCT(('Gastos'!$H$14:$H$17&lt;=B38)*('Gastos'!$H$14:$H$17+'Gastos'!$I$14:$I$17&gt;B38)*'Gastos'!$G$14:$G$17*(1+('Gastos'!$E$14:$E$17="CRC")*N($F$8)+('Gastos'!$E$14:$E$17&lt;&gt;"CRC")*$F$9)^(D38-1))</f>
        <v>16297</v>
      </c>
      <c r="T38" s="22">
        <f>$W$10*(1+IF($V$10="CRC",N($F$8),$F$9))^(D38-1)</f>
        <v>4074</v>
      </c>
      <c r="U38" s="22">
        <f>(IF(D38&lt;=$X$11,$W$11*12,0)+IF('Gastos'!$G$28="Sí",0,SUMPRODUCT(('Gastos'!$H$22:$H$26&gt;=B38)*'Gastos'!$G$22:$G$26)*12)+SUMPRODUCT(('Gastos'!$H$43:$H$45&lt;=B38)*('Gastos'!$H$43:$H$45+'Gastos'!$I$43:$I$45-1&gt;=B38)*'Gastos'!$K$43:$K$45))</f>
        <v>14400</v>
      </c>
      <c r="V38" s="23">
        <f>SUM(R38:U38)</f>
        <v>124404</v>
      </c>
      <c r="W38" s="22">
        <f>SUMPRODUCT(('Gastos'!$I$33:$I$37=1)*('Gastos'!$H$33:$H$37=B38)*'Gastos'!$G$33:$G$37*(1+('Gastos'!$E$33:$E$37="CRC")*N($F$8)+('Gastos'!$E$33:$E$37&lt;&gt;"CRC")*$F$9)^(D38-1))+SUMPRODUCT(('Gastos'!$I$33:$I$37=2)*('Gastos'!$H$33:$H$37&lt;=B38)*'Gastos'!$G$33:$G$37*(1+('Gastos'!$E$33:$E$37="CRC")*N($F$8)+('Gastos'!$E$33:$E$37&lt;&gt;"CRC")*$F$9)^(D38-1))+SUMPRODUCT(('Retiros del portafolio'!$H$15:$H$18=B38)*'Retiros del portafolio'!$G$15:$G$18*(1+('Retiros del portafolio'!$E$15:$E$18="CRC")*N($F$8)+('Retiros del portafolio'!$E$15:$E$18&lt;&gt;"CRC")*$F$9)^(D38-1))</f>
        <v>8148</v>
      </c>
      <c r="X38" s="22">
        <f>SUMPRODUCT(('Retiros del portafolio'!$H$6:$H$9=B38)*'Retiros del portafolio'!$G$6:$G$9*(1+('Retiros del portafolio'!$E$6:$E$9="CRC")*N($F$8)+('Retiros del portafolio'!$E$6:$E$9&lt;&gt;"CRC")*$F$9)^(D38-1))</f>
        <v>0</v>
      </c>
      <c r="Y38" s="23">
        <f>W38+X38</f>
        <v>8148</v>
      </c>
      <c r="Z38" s="23">
        <f>V38+Y38</f>
        <v>132553</v>
      </c>
      <c r="AA38" s="23">
        <f>Q38-Z38</f>
        <v>-16663</v>
      </c>
      <c r="AB38" s="22">
        <f>SUMPRODUCT(('Desinversiones'!$H$6:$H$10=B38)*('Desinversiones'!$I$6:$I$10=1)*'Desinversiones'!$G$6:$G$10*(1+('Desinversiones'!$E$6:$E$10="CRC")*N($F$8)+('Desinversiones'!$E$6:$E$10&lt;&gt;"CRC")*$F$9)^(D38-1))</f>
        <v>0</v>
      </c>
      <c r="AC38" s="22">
        <f>SUMPRODUCT(('Desinversiones'!$H$6:$H$10=B38)*('Desinversiones'!$I$6:$I$10=2)*'Desinversiones'!$G$6:$G$10*(1+('Desinversiones'!$E$6:$E$10="CRC")*N($F$8)+('Desinversiones'!$E$6:$E$10&lt;&gt;"CRC")*$F$9)^(D38-1))</f>
        <v>0</v>
      </c>
      <c r="AD38" s="22">
        <f>SUMPRODUCT(('Desinversiones'!$H$6:$H$10=B38)*('Desinversiones'!$I$6:$I$10=3)*'Desinversiones'!$G$6:$G$10*(1+('Desinversiones'!$E$6:$E$10="CRC")*N($F$8)+('Desinversiones'!$E$6:$E$10&lt;&gt;"CRC")*$F$9)^(D38-1))</f>
        <v>0</v>
      </c>
      <c r="AE38" s="23">
        <f>SUM(AB38:AD38)</f>
        <v>0</v>
      </c>
      <c r="AF38" s="23">
        <f>AE38</f>
        <v>0</v>
      </c>
      <c r="AG38" s="22">
        <f>AJ37</f>
        <v>776819</v>
      </c>
      <c r="AH38" s="22">
        <f>AG38*$F$13</f>
        <v>45500</v>
      </c>
      <c r="AI38" s="23">
        <f>AA38+AF38</f>
        <v>-16663</v>
      </c>
      <c r="AJ38" s="23">
        <f>AG38+AH38+AI38+AM38</f>
        <v>805656</v>
      </c>
      <c r="AK38" s="22">
        <f>AJ38/(1+$F$9)^(D38-1+$F$24/12)</f>
        <v>587586</v>
      </c>
      <c r="AL38" s="24">
        <f>IF(AG38&lt;=0,0,MAX(0,-AI38)/AG38)</f>
        <v>0.021450892944477568</v>
      </c>
      <c r="AM38" s="22">
        <f>MAX(0,-(AG38+AH38+AI38))</f>
        <v>0</v>
      </c>
    </row>
    <row r="39">
      <c r="B39" s="25">
        <f>B38+1</f>
        <v>2035</v>
      </c>
      <c r="C39" s="25">
        <f>C38+1</f>
        <v>55</v>
      </c>
      <c r="D39" s="25">
        <f>D38+1</f>
        <v>10</v>
      </c>
      <c r="E39" s="26" t="str">
        <f>IF(D39&lt;=$F$19,"Acumulación","Retiro")</f>
        <v>Acumulación</v>
      </c>
      <c r="F39" s="22">
        <f>IF(D39&lt;=$P$7,$N$7*12*(1+IF($M$7="CRC",N($F$8),$F$9))^(D39-1),0)</f>
        <v>101595</v>
      </c>
      <c r="G39" s="22">
        <f>IF(D39&lt;=$P$8,$N$8*12*(1+IF($M$8="CRC",N($F$8),$F$9))^(D39-1),0)</f>
        <v>0</v>
      </c>
      <c r="H39" s="22">
        <f>IF(AND($N$9&gt;0,D39&gt;=$O$9,D39&lt;=$P$9),$N$9*12*(1+IF($M$9="CRC",N($F$8),$F$9))^(D39-1),0)</f>
        <v>18814</v>
      </c>
      <c r="I39" s="22">
        <f>SUMPRODUCT(('Ingresos'!$H$14:$H$17&gt;=B39)*'Ingresos'!$G$14:$G$17*(1+('Ingresos'!$E$14:$E$17="CRC")*N($F$8)+('Ingresos'!$E$14:$E$17&lt;&gt;"CRC")*$F$9)^(D39-1))*12</f>
        <v>0</v>
      </c>
      <c r="J39" s="22">
        <f>IF(AND($N$10&gt;0,D39&gt;=N($O$10)),$N$10*12*(1+IF($M$10="CRC",N($F$8),$F$9))^(N($O$10)-1)*(1+N($F$10))^(D39-N($O$10))*IF(D39=N($O$10),IF(AND(ISNUMBER($F$21),N($F$20)&gt;=$C$30),(12-$F$21)/12,1),1),0)</f>
        <v>0</v>
      </c>
      <c r="K39" s="22">
        <f>'Pensiones'!T28</f>
        <v>0</v>
      </c>
      <c r="L39" s="22">
        <f>'Pensiones'!U28</f>
        <v>0</v>
      </c>
      <c r="M39" s="23">
        <f>SUM(F39:L39)</f>
        <v>120409</v>
      </c>
      <c r="N39" s="22">
        <f>SUMPRODUCT(('Ingresos'!$H$22:$H$26=B39)*'Ingresos'!$G$22:$G$26*(1+('Ingresos'!$E$22:$E$26="CRC")*N($F$8)+('Ingresos'!$E$22:$E$26&lt;&gt;"CRC")*$F$9)^(D39-1))</f>
        <v>0</v>
      </c>
      <c r="O39" s="22">
        <f>'Pensiones'!S28</f>
        <v>0</v>
      </c>
      <c r="P39" s="23">
        <f>SUM(N39:O39)</f>
        <v>0</v>
      </c>
      <c r="Q39" s="23">
        <f>M39+P39</f>
        <v>120409</v>
      </c>
      <c r="R39" s="22">
        <f>$W$7*12*(N($F$22)*(1+$F$9)^(D39-1)+(1-N($F$22))*(1+N($F$8))^(D39-1))*IF(D39&gt;$F$19,$F$18,1)</f>
        <v>93129</v>
      </c>
      <c r="S39" s="22">
        <f>SUMPRODUCT(('Gastos'!$H$14:$H$17&lt;=B39)*('Gastos'!$H$14:$H$17+'Gastos'!$I$14:$I$17&gt;B39)*'Gastos'!$G$14:$G$17*(1+('Gastos'!$E$14:$E$17="CRC")*N($F$8)+('Gastos'!$E$14:$E$17&lt;&gt;"CRC")*$F$9)^(D39-1))</f>
        <v>0</v>
      </c>
      <c r="T39" s="22">
        <f>$W$10*(1+IF($V$10="CRC",N($F$8),$F$9))^(D39-1)</f>
        <v>4233</v>
      </c>
      <c r="U39" s="22">
        <f>(IF(D39&lt;=$X$11,$W$11*12,0)+IF('Gastos'!$G$28="Sí",0,SUMPRODUCT(('Gastos'!$H$22:$H$26&gt;=B39)*'Gastos'!$G$22:$G$26)*12)+SUMPRODUCT(('Gastos'!$H$43:$H$45&lt;=B39)*('Gastos'!$H$43:$H$45+'Gastos'!$I$43:$I$45-1&gt;=B39)*'Gastos'!$K$43:$K$45))</f>
        <v>14400</v>
      </c>
      <c r="V39" s="23">
        <f>SUM(R39:U39)</f>
        <v>111762</v>
      </c>
      <c r="W39" s="22">
        <f>SUMPRODUCT(('Gastos'!$I$33:$I$37=1)*('Gastos'!$H$33:$H$37=B39)*'Gastos'!$G$33:$G$37*(1+('Gastos'!$E$33:$E$37="CRC")*N($F$8)+('Gastos'!$E$33:$E$37&lt;&gt;"CRC")*$F$9)^(D39-1))+SUMPRODUCT(('Gastos'!$I$33:$I$37=2)*('Gastos'!$H$33:$H$37&lt;=B39)*'Gastos'!$G$33:$G$37*(1+('Gastos'!$E$33:$E$37="CRC")*N($F$8)+('Gastos'!$E$33:$E$37&lt;&gt;"CRC")*$F$9)^(D39-1))+SUMPRODUCT(('Retiros del portafolio'!$H$15:$H$18=B39)*'Retiros del portafolio'!$G$15:$G$18*(1+('Retiros del portafolio'!$E$15:$E$18="CRC")*N($F$8)+('Retiros del portafolio'!$E$15:$E$18&lt;&gt;"CRC")*$F$9)^(D39-1))</f>
        <v>8466</v>
      </c>
      <c r="X39" s="22">
        <f>SUMPRODUCT(('Retiros del portafolio'!$H$6:$H$9=B39)*'Retiros del portafolio'!$G$6:$G$9*(1+('Retiros del portafolio'!$E$6:$E$9="CRC")*N($F$8)+('Retiros del portafolio'!$E$6:$E$9&lt;&gt;"CRC")*$F$9)^(D39-1))</f>
        <v>0</v>
      </c>
      <c r="Y39" s="23">
        <f>W39+X39</f>
        <v>8466</v>
      </c>
      <c r="Z39" s="23">
        <f>V39+Y39</f>
        <v>120228</v>
      </c>
      <c r="AA39" s="23">
        <f>Q39-Z39</f>
        <v>181</v>
      </c>
      <c r="AB39" s="22">
        <f>SUMPRODUCT(('Desinversiones'!$H$6:$H$10=B39)*('Desinversiones'!$I$6:$I$10=1)*'Desinversiones'!$G$6:$G$10*(1+('Desinversiones'!$E$6:$E$10="CRC")*N($F$8)+('Desinversiones'!$E$6:$E$10&lt;&gt;"CRC")*$F$9)^(D39-1))</f>
        <v>0</v>
      </c>
      <c r="AC39" s="22">
        <f>SUMPRODUCT(('Desinversiones'!$H$6:$H$10=B39)*('Desinversiones'!$I$6:$I$10=2)*'Desinversiones'!$G$6:$G$10*(1+('Desinversiones'!$E$6:$E$10="CRC")*N($F$8)+('Desinversiones'!$E$6:$E$10&lt;&gt;"CRC")*$F$9)^(D39-1))</f>
        <v>0</v>
      </c>
      <c r="AD39" s="22">
        <f>SUMPRODUCT(('Desinversiones'!$H$6:$H$10=B39)*('Desinversiones'!$I$6:$I$10=3)*'Desinversiones'!$G$6:$G$10*(1+('Desinversiones'!$E$6:$E$10="CRC")*N($F$8)+('Desinversiones'!$E$6:$E$10&lt;&gt;"CRC")*$F$9)^(D39-1))</f>
        <v>0</v>
      </c>
      <c r="AE39" s="23">
        <f>SUM(AB39:AD39)</f>
        <v>0</v>
      </c>
      <c r="AF39" s="23">
        <f>AE39</f>
        <v>0</v>
      </c>
      <c r="AG39" s="22">
        <f>AJ38</f>
        <v>805656</v>
      </c>
      <c r="AH39" s="22">
        <f>AG39*$F$13</f>
        <v>47189</v>
      </c>
      <c r="AI39" s="23">
        <f>AA39+AF39</f>
        <v>181</v>
      </c>
      <c r="AJ39" s="23">
        <f>AG39+AH39+AI39+AM39</f>
        <v>853026</v>
      </c>
      <c r="AK39" s="22">
        <f>AJ39/(1+$F$9)^(D39-1+$F$24/12)</f>
        <v>598781</v>
      </c>
      <c r="AL39" s="24">
        <f>IF(AG39&lt;=0,0,MAX(0,-AI39)/AG39)</f>
        <v>0</v>
      </c>
      <c r="AM39" s="22">
        <f>MAX(0,-(AG39+AH39+AI39))</f>
        <v>0</v>
      </c>
    </row>
    <row r="40">
      <c r="B40" s="25">
        <f>B39+1</f>
        <v>2036</v>
      </c>
      <c r="C40" s="25">
        <f>C39+1</f>
        <v>56</v>
      </c>
      <c r="D40" s="25">
        <f>D39+1</f>
        <v>11</v>
      </c>
      <c r="E40" s="26" t="str">
        <f>IF(D40&lt;=$F$19,"Acumulación","Retiro")</f>
        <v>Acumulación</v>
      </c>
      <c r="F40" s="22">
        <f>IF(D40&lt;=$P$7,$N$7*12*(1+IF($M$7="CRC",N($F$8),$F$9))^(D40-1),0)</f>
        <v>105557</v>
      </c>
      <c r="G40" s="22">
        <f>IF(D40&lt;=$P$8,$N$8*12*(1+IF($M$8="CRC",N($F$8),$F$9))^(D40-1),0)</f>
        <v>0</v>
      </c>
      <c r="H40" s="22">
        <f>IF(AND($N$9&gt;0,D40&gt;=$O$9,D40&lt;=$P$9),$N$9*12*(1+IF($M$9="CRC",N($F$8),$F$9))^(D40-1),0)</f>
        <v>19548</v>
      </c>
      <c r="I40" s="22">
        <f>SUMPRODUCT(('Ingresos'!$H$14:$H$17&gt;=B40)*'Ingresos'!$G$14:$G$17*(1+('Ingresos'!$E$14:$E$17="CRC")*N($F$8)+('Ingresos'!$E$14:$E$17&lt;&gt;"CRC")*$F$9)^(D40-1))*12</f>
        <v>0</v>
      </c>
      <c r="J40" s="22">
        <f>IF(AND($N$10&gt;0,D40&gt;=N($O$10)),$N$10*12*(1+IF($M$10="CRC",N($F$8),$F$9))^(N($O$10)-1)*(1+N($F$10))^(D40-N($O$10))*IF(D40=N($O$10),IF(AND(ISNUMBER($F$21),N($F$20)&gt;=$C$30),(12-$F$21)/12,1),1),0)</f>
        <v>0</v>
      </c>
      <c r="K40" s="22">
        <f>'Pensiones'!T29</f>
        <v>0</v>
      </c>
      <c r="L40" s="22">
        <f>'Pensiones'!U29</f>
        <v>0</v>
      </c>
      <c r="M40" s="23">
        <f>SUM(F40:L40)</f>
        <v>125105</v>
      </c>
      <c r="N40" s="22">
        <f>SUMPRODUCT(('Ingresos'!$H$22:$H$26=B40)*'Ingresos'!$G$22:$G$26*(1+('Ingresos'!$E$22:$E$26="CRC")*N($F$8)+('Ingresos'!$E$22:$E$26&lt;&gt;"CRC")*$F$9)^(D40-1))</f>
        <v>0</v>
      </c>
      <c r="O40" s="22">
        <f>'Pensiones'!S29</f>
        <v>0</v>
      </c>
      <c r="P40" s="23">
        <f>SUM(N40:O40)</f>
        <v>0</v>
      </c>
      <c r="Q40" s="23">
        <f>M40+P40</f>
        <v>125105</v>
      </c>
      <c r="R40" s="22">
        <f>$W$7*12*(N($F$22)*(1+$F$9)^(D40-1)+(1-N($F$22))*(1+N($F$8))^(D40-1))*IF(D40&gt;$F$19,$F$18,1)</f>
        <v>96761</v>
      </c>
      <c r="S40" s="22">
        <f>SUMPRODUCT(('Gastos'!$H$14:$H$17&lt;=B40)*('Gastos'!$H$14:$H$17+'Gastos'!$I$14:$I$17&gt;B40)*'Gastos'!$G$14:$G$17*(1+('Gastos'!$E$14:$E$17="CRC")*N($F$8)+('Gastos'!$E$14:$E$17&lt;&gt;"CRC")*$F$9)^(D40-1))</f>
        <v>0</v>
      </c>
      <c r="T40" s="22">
        <f>$W$10*(1+IF($V$10="CRC",N($F$8),$F$9))^(D40-1)</f>
        <v>4398</v>
      </c>
      <c r="U40" s="22">
        <f>(IF(D40&lt;=$X$11,$W$11*12,0)+IF('Gastos'!$G$28="Sí",0,SUMPRODUCT(('Gastos'!$H$22:$H$26&gt;=B40)*'Gastos'!$G$22:$G$26)*12)+SUMPRODUCT(('Gastos'!$H$43:$H$45&lt;=B40)*('Gastos'!$H$43:$H$45+'Gastos'!$I$43:$I$45-1&gt;=B40)*'Gastos'!$K$43:$K$45))</f>
        <v>14400</v>
      </c>
      <c r="V40" s="23">
        <f>SUM(R40:U40)</f>
        <v>115559</v>
      </c>
      <c r="W40" s="22">
        <f>SUMPRODUCT(('Gastos'!$I$33:$I$37=1)*('Gastos'!$H$33:$H$37=B40)*'Gastos'!$G$33:$G$37*(1+('Gastos'!$E$33:$E$37="CRC")*N($F$8)+('Gastos'!$E$33:$E$37&lt;&gt;"CRC")*$F$9)^(D40-1))+SUMPRODUCT(('Gastos'!$I$33:$I$37=2)*('Gastos'!$H$33:$H$37&lt;=B40)*'Gastos'!$G$33:$G$37*(1+('Gastos'!$E$33:$E$37="CRC")*N($F$8)+('Gastos'!$E$33:$E$37&lt;&gt;"CRC")*$F$9)^(D40-1))+SUMPRODUCT(('Retiros del portafolio'!$H$15:$H$18=B40)*'Retiros del portafolio'!$G$15:$G$18*(1+('Retiros del portafolio'!$E$15:$E$18="CRC")*N($F$8)+('Retiros del portafolio'!$E$15:$E$18&lt;&gt;"CRC")*$F$9)^(D40-1))</f>
        <v>8796</v>
      </c>
      <c r="X40" s="22">
        <f>SUMPRODUCT(('Retiros del portafolio'!$H$6:$H$9=B40)*'Retiros del portafolio'!$G$6:$G$9*(1+('Retiros del portafolio'!$E$6:$E$9="CRC")*N($F$8)+('Retiros del portafolio'!$E$6:$E$9&lt;&gt;"CRC")*$F$9)^(D40-1))</f>
        <v>0</v>
      </c>
      <c r="Y40" s="23">
        <f>W40+X40</f>
        <v>8796</v>
      </c>
      <c r="Z40" s="23">
        <f>V40+Y40</f>
        <v>124355</v>
      </c>
      <c r="AA40" s="23">
        <f>Q40-Z40</f>
        <v>749</v>
      </c>
      <c r="AB40" s="22">
        <f>SUMPRODUCT(('Desinversiones'!$H$6:$H$10=B40)*('Desinversiones'!$I$6:$I$10=1)*'Desinversiones'!$G$6:$G$10*(1+('Desinversiones'!$E$6:$E$10="CRC")*N($F$8)+('Desinversiones'!$E$6:$E$10&lt;&gt;"CRC")*$F$9)^(D40-1))</f>
        <v>0</v>
      </c>
      <c r="AC40" s="22">
        <f>SUMPRODUCT(('Desinversiones'!$H$6:$H$10=B40)*('Desinversiones'!$I$6:$I$10=2)*'Desinversiones'!$G$6:$G$10*(1+('Desinversiones'!$E$6:$E$10="CRC")*N($F$8)+('Desinversiones'!$E$6:$E$10&lt;&gt;"CRC")*$F$9)^(D40-1))</f>
        <v>0</v>
      </c>
      <c r="AD40" s="22">
        <f>SUMPRODUCT(('Desinversiones'!$H$6:$H$10=B40)*('Desinversiones'!$I$6:$I$10=3)*'Desinversiones'!$G$6:$G$10*(1+('Desinversiones'!$E$6:$E$10="CRC")*N($F$8)+('Desinversiones'!$E$6:$E$10&lt;&gt;"CRC")*$F$9)^(D40-1))</f>
        <v>0</v>
      </c>
      <c r="AE40" s="23">
        <f>SUM(AB40:AD40)</f>
        <v>0</v>
      </c>
      <c r="AF40" s="23">
        <f>AE40</f>
        <v>0</v>
      </c>
      <c r="AG40" s="22">
        <f>AJ39</f>
        <v>853026</v>
      </c>
      <c r="AH40" s="22">
        <f>AG40*$F$13</f>
        <v>49964</v>
      </c>
      <c r="AI40" s="23">
        <f>AA40+AF40</f>
        <v>749</v>
      </c>
      <c r="AJ40" s="23">
        <f>AG40+AH40+AI40+AM40</f>
        <v>903739</v>
      </c>
      <c r="AK40" s="22">
        <f>AJ40/(1+$F$9)^(D40-1+$F$24/12)</f>
        <v>610568</v>
      </c>
      <c r="AL40" s="24">
        <f>IF(AG40&lt;=0,0,MAX(0,-AI40)/AG40)</f>
        <v>0</v>
      </c>
      <c r="AM40" s="22">
        <f>MAX(0,-(AG40+AH40+AI40))</f>
        <v>0</v>
      </c>
    </row>
    <row r="41">
      <c r="B41" s="25">
        <f>B40+1</f>
        <v>2037</v>
      </c>
      <c r="C41" s="25">
        <f>C40+1</f>
        <v>57</v>
      </c>
      <c r="D41" s="25">
        <f>D40+1</f>
        <v>12</v>
      </c>
      <c r="E41" s="26" t="str">
        <f>IF(D41&lt;=$F$19,"Acumulación","Retiro")</f>
        <v>Acumulación</v>
      </c>
      <c r="F41" s="22">
        <f>IF(D41&lt;=$P$7,$N$7*12*(1+IF($M$7="CRC",N($F$8),$F$9))^(D41-1),0)</f>
        <v>109674</v>
      </c>
      <c r="G41" s="22">
        <f>IF(D41&lt;=$P$8,$N$8*12*(1+IF($M$8="CRC",N($F$8),$F$9))^(D41-1),0)</f>
        <v>0</v>
      </c>
      <c r="H41" s="22">
        <f>IF(AND($N$9&gt;0,D41&gt;=$O$9,D41&lt;=$P$9),$N$9*12*(1+IF($M$9="CRC",N($F$8),$F$9))^(D41-1),0)</f>
        <v>20310</v>
      </c>
      <c r="I41" s="22">
        <f>SUMPRODUCT(('Ingresos'!$H$14:$H$17&gt;=B41)*'Ingresos'!$G$14:$G$17*(1+('Ingresos'!$E$14:$E$17="CRC")*N($F$8)+('Ingresos'!$E$14:$E$17&lt;&gt;"CRC")*$F$9)^(D41-1))*12</f>
        <v>0</v>
      </c>
      <c r="J41" s="22">
        <f>IF(AND($N$10&gt;0,D41&gt;=N($O$10)),$N$10*12*(1+IF($M$10="CRC",N($F$8),$F$9))^(N($O$10)-1)*(1+N($F$10))^(D41-N($O$10))*IF(D41=N($O$10),IF(AND(ISNUMBER($F$21),N($F$20)&gt;=$C$30),(12-$F$21)/12,1),1),0)</f>
        <v>0</v>
      </c>
      <c r="K41" s="22">
        <f>'Pensiones'!T30</f>
        <v>0</v>
      </c>
      <c r="L41" s="22">
        <f>'Pensiones'!U30</f>
        <v>0</v>
      </c>
      <c r="M41" s="23">
        <f>SUM(F41:L41)</f>
        <v>129984</v>
      </c>
      <c r="N41" s="22">
        <f>SUMPRODUCT(('Ingresos'!$H$22:$H$26=B41)*'Ingresos'!$G$22:$G$26*(1+('Ingresos'!$E$22:$E$26="CRC")*N($F$8)+('Ingresos'!$E$22:$E$26&lt;&gt;"CRC")*$F$9)^(D41-1))</f>
        <v>0</v>
      </c>
      <c r="O41" s="22">
        <f>'Pensiones'!S30</f>
        <v>0</v>
      </c>
      <c r="P41" s="23">
        <f>SUM(N41:O41)</f>
        <v>0</v>
      </c>
      <c r="Q41" s="23">
        <f>M41+P41</f>
        <v>129984</v>
      </c>
      <c r="R41" s="22">
        <f>$W$7*12*(N($F$22)*(1+$F$9)^(D41-1)+(1-N($F$22))*(1+N($F$8))^(D41-1))*IF(D41&gt;$F$19,$F$18,1)</f>
        <v>100534</v>
      </c>
      <c r="S41" s="22">
        <f>SUMPRODUCT(('Gastos'!$H$14:$H$17&lt;=B41)*('Gastos'!$H$14:$H$17+'Gastos'!$I$14:$I$17&gt;B41)*'Gastos'!$G$14:$G$17*(1+('Gastos'!$E$14:$E$17="CRC")*N($F$8)+('Gastos'!$E$14:$E$17&lt;&gt;"CRC")*$F$9)^(D41-1))</f>
        <v>0</v>
      </c>
      <c r="T41" s="22">
        <f>$W$10*(1+IF($V$10="CRC",N($F$8),$F$9))^(D41-1)</f>
        <v>4570</v>
      </c>
      <c r="U41" s="22">
        <f>(IF(D41&lt;=$X$11,$W$11*12,0)+IF('Gastos'!$G$28="Sí",0,SUMPRODUCT(('Gastos'!$H$22:$H$26&gt;=B41)*'Gastos'!$G$22:$G$26)*12)+SUMPRODUCT(('Gastos'!$H$43:$H$45&lt;=B41)*('Gastos'!$H$43:$H$45+'Gastos'!$I$43:$I$45-1&gt;=B41)*'Gastos'!$K$43:$K$45))</f>
        <v>14400</v>
      </c>
      <c r="V41" s="23">
        <f>SUM(R41:U41)</f>
        <v>119504</v>
      </c>
      <c r="W41" s="22">
        <f>SUMPRODUCT(('Gastos'!$I$33:$I$37=1)*('Gastos'!$H$33:$H$37=B41)*'Gastos'!$G$33:$G$37*(1+('Gastos'!$E$33:$E$37="CRC")*N($F$8)+('Gastos'!$E$33:$E$37&lt;&gt;"CRC")*$F$9)^(D41-1))+SUMPRODUCT(('Gastos'!$I$33:$I$37=2)*('Gastos'!$H$33:$H$37&lt;=B41)*'Gastos'!$G$33:$G$37*(1+('Gastos'!$E$33:$E$37="CRC")*N($F$8)+('Gastos'!$E$33:$E$37&lt;&gt;"CRC")*$F$9)^(D41-1))+SUMPRODUCT(('Retiros del portafolio'!$H$15:$H$18=B41)*'Retiros del portafolio'!$G$15:$G$18*(1+('Retiros del portafolio'!$E$15:$E$18="CRC")*N($F$8)+('Retiros del portafolio'!$E$15:$E$18&lt;&gt;"CRC")*$F$9)^(D41-1))</f>
        <v>9139</v>
      </c>
      <c r="X41" s="22">
        <f>SUMPRODUCT(('Retiros del portafolio'!$H$6:$H$9=B41)*'Retiros del portafolio'!$G$6:$G$9*(1+('Retiros del portafolio'!$E$6:$E$9="CRC")*N($F$8)+('Retiros del portafolio'!$E$6:$E$9&lt;&gt;"CRC")*$F$9)^(D41-1))</f>
        <v>0</v>
      </c>
      <c r="Y41" s="23">
        <f>W41+X41</f>
        <v>9139</v>
      </c>
      <c r="Z41" s="23">
        <f>V41+Y41</f>
        <v>128644</v>
      </c>
      <c r="AA41" s="23">
        <f>Q41-Z41</f>
        <v>1340</v>
      </c>
      <c r="AB41" s="22">
        <f>SUMPRODUCT(('Desinversiones'!$H$6:$H$10=B41)*('Desinversiones'!$I$6:$I$10=1)*'Desinversiones'!$G$6:$G$10*(1+('Desinversiones'!$E$6:$E$10="CRC")*N($F$8)+('Desinversiones'!$E$6:$E$10&lt;&gt;"CRC")*$F$9)^(D41-1))</f>
        <v>0</v>
      </c>
      <c r="AC41" s="22">
        <f>SUMPRODUCT(('Desinversiones'!$H$6:$H$10=B41)*('Desinversiones'!$I$6:$I$10=2)*'Desinversiones'!$G$6:$G$10*(1+('Desinversiones'!$E$6:$E$10="CRC")*N($F$8)+('Desinversiones'!$E$6:$E$10&lt;&gt;"CRC")*$F$9)^(D41-1))</f>
        <v>0</v>
      </c>
      <c r="AD41" s="22">
        <f>SUMPRODUCT(('Desinversiones'!$H$6:$H$10=B41)*('Desinversiones'!$I$6:$I$10=3)*'Desinversiones'!$G$6:$G$10*(1+('Desinversiones'!$E$6:$E$10="CRC")*N($F$8)+('Desinversiones'!$E$6:$E$10&lt;&gt;"CRC")*$F$9)^(D41-1))</f>
        <v>0</v>
      </c>
      <c r="AE41" s="23">
        <f>SUM(AB41:AD41)</f>
        <v>0</v>
      </c>
      <c r="AF41" s="23">
        <f>AE41</f>
        <v>0</v>
      </c>
      <c r="AG41" s="22">
        <f>AJ40</f>
        <v>903739</v>
      </c>
      <c r="AH41" s="22">
        <f>AG41*$F$13</f>
        <v>52934</v>
      </c>
      <c r="AI41" s="23">
        <f>AA41+AF41</f>
        <v>1340</v>
      </c>
      <c r="AJ41" s="23">
        <f>AG41+AH41+AI41+AM41</f>
        <v>958014</v>
      </c>
      <c r="AK41" s="22">
        <f>AJ41/(1+$F$9)^(D41-1+$F$24/12)</f>
        <v>622941</v>
      </c>
      <c r="AL41" s="24">
        <f>IF(AG41&lt;=0,0,MAX(0,-AI41)/AG41)</f>
        <v>0</v>
      </c>
      <c r="AM41" s="22">
        <f>MAX(0,-(AG41+AH41+AI41))</f>
        <v>0</v>
      </c>
    </row>
    <row r="42">
      <c r="B42" s="25">
        <f>B41+1</f>
        <v>2038</v>
      </c>
      <c r="C42" s="25">
        <f>C41+1</f>
        <v>58</v>
      </c>
      <c r="D42" s="25">
        <f>D41+1</f>
        <v>13</v>
      </c>
      <c r="E42" s="26" t="str">
        <f>IF(D42&lt;=$F$19,"Acumulación","Retiro")</f>
        <v>Acumulación</v>
      </c>
      <c r="F42" s="22">
        <f>IF(D42&lt;=$P$7,$N$7*12*(1+IF($M$7="CRC",N($F$8),$F$9))^(D42-1),0)</f>
        <v>113951</v>
      </c>
      <c r="G42" s="22">
        <f>IF(D42&lt;=$P$8,$N$8*12*(1+IF($M$8="CRC",N($F$8),$F$9))^(D42-1),0)</f>
        <v>0</v>
      </c>
      <c r="H42" s="22">
        <f>IF(AND($N$9&gt;0,D42&gt;=$O$9,D42&lt;=$P$9),$N$9*12*(1+IF($M$9="CRC",N($F$8),$F$9))^(D42-1),0)</f>
        <v>21102</v>
      </c>
      <c r="I42" s="22">
        <f>SUMPRODUCT(('Ingresos'!$H$14:$H$17&gt;=B42)*'Ingresos'!$G$14:$G$17*(1+('Ingresos'!$E$14:$E$17="CRC")*N($F$8)+('Ingresos'!$E$14:$E$17&lt;&gt;"CRC")*$F$9)^(D42-1))*12</f>
        <v>0</v>
      </c>
      <c r="J42" s="22">
        <f>IF(AND($N$10&gt;0,D42&gt;=N($O$10)),$N$10*12*(1+IF($M$10="CRC",N($F$8),$F$9))^(N($O$10)-1)*(1+N($F$10))^(D42-N($O$10))*IF(D42=N($O$10),IF(AND(ISNUMBER($F$21),N($F$20)&gt;=$C$30),(12-$F$21)/12,1),1),0)</f>
        <v>0</v>
      </c>
      <c r="K42" s="22">
        <f>'Pensiones'!T31</f>
        <v>0</v>
      </c>
      <c r="L42" s="22">
        <f>'Pensiones'!U31</f>
        <v>0</v>
      </c>
      <c r="M42" s="23">
        <f>SUM(F42:L42)</f>
        <v>135053</v>
      </c>
      <c r="N42" s="22">
        <f>SUMPRODUCT(('Ingresos'!$H$22:$H$26=B42)*'Ingresos'!$G$22:$G$26*(1+('Ingresos'!$E$22:$E$26="CRC")*N($F$8)+('Ingresos'!$E$22:$E$26&lt;&gt;"CRC")*$F$9)^(D42-1))</f>
        <v>0</v>
      </c>
      <c r="O42" s="22">
        <f>'Pensiones'!S31</f>
        <v>0</v>
      </c>
      <c r="P42" s="23">
        <f>SUM(N42:O42)</f>
        <v>0</v>
      </c>
      <c r="Q42" s="23">
        <f>M42+P42</f>
        <v>135053</v>
      </c>
      <c r="R42" s="22">
        <f>$W$7*12*(N($F$22)*(1+$F$9)^(D42-1)+(1-N($F$22))*(1+N($F$8))^(D42-1))*IF(D42&gt;$F$19,$F$18,1)</f>
        <v>104455</v>
      </c>
      <c r="S42" s="22">
        <f>SUMPRODUCT(('Gastos'!$H$14:$H$17&lt;=B42)*('Gastos'!$H$14:$H$17+'Gastos'!$I$14:$I$17&gt;B42)*'Gastos'!$G$14:$G$17*(1+('Gastos'!$E$14:$E$17="CRC")*N($F$8)+('Gastos'!$E$14:$E$17&lt;&gt;"CRC")*$F$9)^(D42-1))</f>
        <v>0</v>
      </c>
      <c r="T42" s="22">
        <f>$W$10*(1+IF($V$10="CRC",N($F$8),$F$9))^(D42-1)</f>
        <v>4748</v>
      </c>
      <c r="U42" s="22">
        <f>(IF(D42&lt;=$X$11,$W$11*12,0)+IF('Gastos'!$G$28="Sí",0,SUMPRODUCT(('Gastos'!$H$22:$H$26&gt;=B42)*'Gastos'!$G$22:$G$26)*12)+SUMPRODUCT(('Gastos'!$H$43:$H$45&lt;=B42)*('Gastos'!$H$43:$H$45+'Gastos'!$I$43:$I$45-1&gt;=B42)*'Gastos'!$K$43:$K$45))</f>
        <v>14400</v>
      </c>
      <c r="V42" s="23">
        <f>SUM(R42:U42)</f>
        <v>123603</v>
      </c>
      <c r="W42" s="22">
        <f>SUMPRODUCT(('Gastos'!$I$33:$I$37=1)*('Gastos'!$H$33:$H$37=B42)*'Gastos'!$G$33:$G$37*(1+('Gastos'!$E$33:$E$37="CRC")*N($F$8)+('Gastos'!$E$33:$E$37&lt;&gt;"CRC")*$F$9)^(D42-1))+SUMPRODUCT(('Gastos'!$I$33:$I$37=2)*('Gastos'!$H$33:$H$37&lt;=B42)*'Gastos'!$G$33:$G$37*(1+('Gastos'!$E$33:$E$37="CRC")*N($F$8)+('Gastos'!$E$33:$E$37&lt;&gt;"CRC")*$F$9)^(D42-1))+SUMPRODUCT(('Retiros del portafolio'!$H$15:$H$18=B42)*'Retiros del portafolio'!$G$15:$G$18*(1+('Retiros del portafolio'!$E$15:$E$18="CRC")*N($F$8)+('Retiros del portafolio'!$E$15:$E$18&lt;&gt;"CRC")*$F$9)^(D42-1))</f>
        <v>9496</v>
      </c>
      <c r="X42" s="22">
        <f>SUMPRODUCT(('Retiros del portafolio'!$H$6:$H$9=B42)*'Retiros del portafolio'!$G$6:$G$9*(1+('Retiros del portafolio'!$E$6:$E$9="CRC")*N($F$8)+('Retiros del portafolio'!$E$6:$E$9&lt;&gt;"CRC")*$F$9)^(D42-1))</f>
        <v>0</v>
      </c>
      <c r="Y42" s="23">
        <f>W42+X42</f>
        <v>9496</v>
      </c>
      <c r="Z42" s="23">
        <f>V42+Y42</f>
        <v>133099</v>
      </c>
      <c r="AA42" s="23">
        <f>Q42-Z42</f>
        <v>1954</v>
      </c>
      <c r="AB42" s="22">
        <f>SUMPRODUCT(('Desinversiones'!$H$6:$H$10=B42)*('Desinversiones'!$I$6:$I$10=1)*'Desinversiones'!$G$6:$G$10*(1+('Desinversiones'!$E$6:$E$10="CRC")*N($F$8)+('Desinversiones'!$E$6:$E$10&lt;&gt;"CRC")*$F$9)^(D42-1))</f>
        <v>0</v>
      </c>
      <c r="AC42" s="22">
        <f>SUMPRODUCT(('Desinversiones'!$H$6:$H$10=B42)*('Desinversiones'!$I$6:$I$10=2)*'Desinversiones'!$G$6:$G$10*(1+('Desinversiones'!$E$6:$E$10="CRC")*N($F$8)+('Desinversiones'!$E$6:$E$10&lt;&gt;"CRC")*$F$9)^(D42-1))</f>
        <v>0</v>
      </c>
      <c r="AD42" s="22">
        <f>SUMPRODUCT(('Desinversiones'!$H$6:$H$10=B42)*('Desinversiones'!$I$6:$I$10=3)*'Desinversiones'!$G$6:$G$10*(1+('Desinversiones'!$E$6:$E$10="CRC")*N($F$8)+('Desinversiones'!$E$6:$E$10&lt;&gt;"CRC")*$F$9)^(D42-1))</f>
        <v>0</v>
      </c>
      <c r="AE42" s="23">
        <f>SUM(AB42:AD42)</f>
        <v>0</v>
      </c>
      <c r="AF42" s="23">
        <f>AE42</f>
        <v>0</v>
      </c>
      <c r="AG42" s="22">
        <f>AJ41</f>
        <v>958014</v>
      </c>
      <c r="AH42" s="22">
        <f>AG42*$F$13</f>
        <v>56113</v>
      </c>
      <c r="AI42" s="23">
        <f>AA42+AF42</f>
        <v>1954</v>
      </c>
      <c r="AJ42" s="23">
        <f>AG42+AH42+AI42+AM42</f>
        <v>1016081</v>
      </c>
      <c r="AK42" s="22">
        <f>AJ42/(1+$F$9)^(D42-1+$F$24/12)</f>
        <v>635899</v>
      </c>
      <c r="AL42" s="24">
        <f>IF(AG42&lt;=0,0,MAX(0,-AI42)/AG42)</f>
        <v>0</v>
      </c>
      <c r="AM42" s="22">
        <f>MAX(0,-(AG42+AH42+AI42))</f>
        <v>0</v>
      </c>
    </row>
    <row r="43">
      <c r="B43" s="25">
        <f>B42+1</f>
        <v>2039</v>
      </c>
      <c r="C43" s="25">
        <f>C42+1</f>
        <v>59</v>
      </c>
      <c r="D43" s="25">
        <f>D42+1</f>
        <v>14</v>
      </c>
      <c r="E43" s="26" t="str">
        <f>IF(D43&lt;=$F$19,"Acumulación","Retiro")</f>
        <v>Acumulación</v>
      </c>
      <c r="F43" s="22">
        <f>IF(D43&lt;=$P$7,$N$7*12*(1+IF($M$7="CRC",N($F$8),$F$9))^(D43-1),0)</f>
        <v>118395</v>
      </c>
      <c r="G43" s="22">
        <f>IF(D43&lt;=$P$8,$N$8*12*(1+IF($M$8="CRC",N($F$8),$F$9))^(D43-1),0)</f>
        <v>0</v>
      </c>
      <c r="H43" s="22">
        <f>IF(AND($N$9&gt;0,D43&gt;=$O$9,D43&lt;=$P$9),$N$9*12*(1+IF($M$9="CRC",N($F$8),$F$9))^(D43-1),0)</f>
        <v>21925</v>
      </c>
      <c r="I43" s="22">
        <f>SUMPRODUCT(('Ingresos'!$H$14:$H$17&gt;=B43)*'Ingresos'!$G$14:$G$17*(1+('Ingresos'!$E$14:$E$17="CRC")*N($F$8)+('Ingresos'!$E$14:$E$17&lt;&gt;"CRC")*$F$9)^(D43-1))*12</f>
        <v>0</v>
      </c>
      <c r="J43" s="22">
        <f>IF(AND($N$10&gt;0,D43&gt;=N($O$10)),$N$10*12*(1+IF($M$10="CRC",N($F$8),$F$9))^(N($O$10)-1)*(1+N($F$10))^(D43-N($O$10))*IF(D43=N($O$10),IF(AND(ISNUMBER($F$21),N($F$20)&gt;=$C$30),(12-$F$21)/12,1),1),0)</f>
        <v>0</v>
      </c>
      <c r="K43" s="22">
        <f>'Pensiones'!T32</f>
        <v>0</v>
      </c>
      <c r="L43" s="22">
        <f>'Pensiones'!U32</f>
        <v>0</v>
      </c>
      <c r="M43" s="23">
        <f>SUM(F43:L43)</f>
        <v>140320</v>
      </c>
      <c r="N43" s="22">
        <f>SUMPRODUCT(('Ingresos'!$H$22:$H$26=B43)*'Ingresos'!$G$22:$G$26*(1+('Ingresos'!$E$22:$E$26="CRC")*N($F$8)+('Ingresos'!$E$22:$E$26&lt;&gt;"CRC")*$F$9)^(D43-1))</f>
        <v>0</v>
      </c>
      <c r="O43" s="22">
        <f>'Pensiones'!S32</f>
        <v>0</v>
      </c>
      <c r="P43" s="23">
        <f>SUM(N43:O43)</f>
        <v>0</v>
      </c>
      <c r="Q43" s="23">
        <f>M43+P43</f>
        <v>140320</v>
      </c>
      <c r="R43" s="22">
        <f>$W$7*12*(N($F$22)*(1+$F$9)^(D43-1)+(1-N($F$22))*(1+N($F$8))^(D43-1))*IF(D43&gt;$F$19,$F$18,1)</f>
        <v>108529</v>
      </c>
      <c r="S43" s="22">
        <f>SUMPRODUCT(('Gastos'!$H$14:$H$17&lt;=B43)*('Gastos'!$H$14:$H$17+'Gastos'!$I$14:$I$17&gt;B43)*'Gastos'!$G$14:$G$17*(1+('Gastos'!$E$14:$E$17="CRC")*N($F$8)+('Gastos'!$E$14:$E$17&lt;&gt;"CRC")*$F$9)^(D43-1))</f>
        <v>0</v>
      </c>
      <c r="T43" s="22">
        <f>$W$10*(1+IF($V$10="CRC",N($F$8),$F$9))^(D43-1)</f>
        <v>4933</v>
      </c>
      <c r="U43" s="22">
        <f>(IF(D43&lt;=$X$11,$W$11*12,0)+IF('Gastos'!$G$28="Sí",0,SUMPRODUCT(('Gastos'!$H$22:$H$26&gt;=B43)*'Gastos'!$G$22:$G$26)*12)+SUMPRODUCT(('Gastos'!$H$43:$H$45&lt;=B43)*('Gastos'!$H$43:$H$45+'Gastos'!$I$43:$I$45-1&gt;=B43)*'Gastos'!$K$43:$K$45))</f>
        <v>14400</v>
      </c>
      <c r="V43" s="23">
        <f>SUM(R43:U43)</f>
        <v>127862</v>
      </c>
      <c r="W43" s="22">
        <f>SUMPRODUCT(('Gastos'!$I$33:$I$37=1)*('Gastos'!$H$33:$H$37=B43)*'Gastos'!$G$33:$G$37*(1+('Gastos'!$E$33:$E$37="CRC")*N($F$8)+('Gastos'!$E$33:$E$37&lt;&gt;"CRC")*$F$9)^(D43-1))+SUMPRODUCT(('Gastos'!$I$33:$I$37=2)*('Gastos'!$H$33:$H$37&lt;=B43)*'Gastos'!$G$33:$G$37*(1+('Gastos'!$E$33:$E$37="CRC")*N($F$8)+('Gastos'!$E$33:$E$37&lt;&gt;"CRC")*$F$9)^(D43-1))+SUMPRODUCT(('Retiros del portafolio'!$H$15:$H$18=B43)*'Retiros del portafolio'!$G$15:$G$18*(1+('Retiros del portafolio'!$E$15:$E$18="CRC")*N($F$8)+('Retiros del portafolio'!$E$15:$E$18&lt;&gt;"CRC")*$F$9)^(D43-1))</f>
        <v>9866</v>
      </c>
      <c r="X43" s="22">
        <f>SUMPRODUCT(('Retiros del portafolio'!$H$6:$H$9=B43)*'Retiros del portafolio'!$G$6:$G$9*(1+('Retiros del portafolio'!$E$6:$E$9="CRC")*N($F$8)+('Retiros del portafolio'!$E$6:$E$9&lt;&gt;"CRC")*$F$9)^(D43-1))</f>
        <v>0</v>
      </c>
      <c r="Y43" s="23">
        <f>W43+X43</f>
        <v>9866</v>
      </c>
      <c r="Z43" s="23">
        <f>V43+Y43</f>
        <v>137728</v>
      </c>
      <c r="AA43" s="23">
        <f>Q43-Z43</f>
        <v>2592</v>
      </c>
      <c r="AB43" s="22">
        <f>SUMPRODUCT(('Desinversiones'!$H$6:$H$10=B43)*('Desinversiones'!$I$6:$I$10=1)*'Desinversiones'!$G$6:$G$10*(1+('Desinversiones'!$E$6:$E$10="CRC")*N($F$8)+('Desinversiones'!$E$6:$E$10&lt;&gt;"CRC")*$F$9)^(D43-1))</f>
        <v>0</v>
      </c>
      <c r="AC43" s="22">
        <f>SUMPRODUCT(('Desinversiones'!$H$6:$H$10=B43)*('Desinversiones'!$I$6:$I$10=2)*'Desinversiones'!$G$6:$G$10*(1+('Desinversiones'!$E$6:$E$10="CRC")*N($F$8)+('Desinversiones'!$E$6:$E$10&lt;&gt;"CRC")*$F$9)^(D43-1))</f>
        <v>0</v>
      </c>
      <c r="AD43" s="22">
        <f>SUMPRODUCT(('Desinversiones'!$H$6:$H$10=B43)*('Desinversiones'!$I$6:$I$10=3)*'Desinversiones'!$G$6:$G$10*(1+('Desinversiones'!$E$6:$E$10="CRC")*N($F$8)+('Desinversiones'!$E$6:$E$10&lt;&gt;"CRC")*$F$9)^(D43-1))</f>
        <v>0</v>
      </c>
      <c r="AE43" s="23">
        <f>SUM(AB43:AD43)</f>
        <v>0</v>
      </c>
      <c r="AF43" s="23">
        <f>AE43</f>
        <v>0</v>
      </c>
      <c r="AG43" s="22">
        <f>AJ42</f>
        <v>1016081</v>
      </c>
      <c r="AH43" s="22">
        <f>AG43*$F$13</f>
        <v>59514</v>
      </c>
      <c r="AI43" s="23">
        <f>AA43+AF43</f>
        <v>2592</v>
      </c>
      <c r="AJ43" s="23">
        <f>AG43+AH43+AI43+AM43</f>
        <v>1078187</v>
      </c>
      <c r="AK43" s="22">
        <f>AJ43/(1+$F$9)^(D43-1+$F$24/12)</f>
        <v>649439</v>
      </c>
      <c r="AL43" s="24">
        <f>IF(AG43&lt;=0,0,MAX(0,-AI43)/AG43)</f>
        <v>0</v>
      </c>
      <c r="AM43" s="22">
        <f>MAX(0,-(AG43+AH43+AI43))</f>
        <v>0</v>
      </c>
    </row>
    <row r="44">
      <c r="B44" s="25">
        <f>B43+1</f>
        <v>2040</v>
      </c>
      <c r="C44" s="25">
        <f>C43+1</f>
        <v>60</v>
      </c>
      <c r="D44" s="25">
        <f>D43+1</f>
        <v>15</v>
      </c>
      <c r="E44" s="26" t="str">
        <f>IF(D44&lt;=$F$19,"Acumulación","Retiro")</f>
        <v>Retiro</v>
      </c>
      <c r="F44" s="22">
        <f>IF(D44&lt;=$P$7,$N$7*12*(1+IF($M$7="CRC",N($F$8),$F$9))^(D44-1),0)</f>
        <v>0</v>
      </c>
      <c r="G44" s="22">
        <f>IF(D44&lt;=$P$8,$N$8*12*(1+IF($M$8="CRC",N($F$8),$F$9))^(D44-1),0)</f>
        <v>0</v>
      </c>
      <c r="H44" s="22">
        <f>IF(AND($N$9&gt;0,D44&gt;=$O$9,D44&lt;=$P$9),$N$9*12*(1+IF($M$9="CRC",N($F$8),$F$9))^(D44-1),0)</f>
        <v>22780</v>
      </c>
      <c r="I44" s="22">
        <f>SUMPRODUCT(('Ingresos'!$H$14:$H$17&gt;=B44)*'Ingresos'!$G$14:$G$17*(1+('Ingresos'!$E$14:$E$17="CRC")*N($F$8)+('Ingresos'!$E$14:$E$17&lt;&gt;"CRC")*$F$9)^(D44-1))*12</f>
        <v>0</v>
      </c>
      <c r="J44" s="22">
        <f>IF(AND($N$10&gt;0,D44&gt;=N($O$10)),$N$10*12*(1+IF($M$10="CRC",N($F$8),$F$9))^(N($O$10)-1)*(1+N($F$10))^(D44-N($O$10))*IF(D44=N($O$10),IF(AND(ISNUMBER($F$21),N($F$20)&gt;=$C$30),(12-$F$21)/12,1),1),0)</f>
        <v>0</v>
      </c>
      <c r="K44" s="22">
        <f>'Pensiones'!T33</f>
        <v>0</v>
      </c>
      <c r="L44" s="22">
        <f>'Pensiones'!U33</f>
        <v>0</v>
      </c>
      <c r="M44" s="23">
        <f>SUM(F44:L44)</f>
        <v>22780</v>
      </c>
      <c r="N44" s="22">
        <f>SUMPRODUCT(('Ingresos'!$H$22:$H$26=B44)*'Ingresos'!$G$22:$G$26*(1+('Ingresos'!$E$22:$E$26="CRC")*N($F$8)+('Ingresos'!$E$22:$E$26&lt;&gt;"CRC")*$F$9)^(D44-1))</f>
        <v>0</v>
      </c>
      <c r="O44" s="22">
        <f>'Pensiones'!S33</f>
        <v>89477</v>
      </c>
      <c r="P44" s="23">
        <f>SUM(N44:O44)</f>
        <v>89477</v>
      </c>
      <c r="Q44" s="23">
        <f>M44+P44</f>
        <v>112257</v>
      </c>
      <c r="R44" s="22">
        <f>$W$7*12*(N($F$22)*(1+$F$9)^(D44-1)+(1-N($F$22))*(1+N($F$8))^(D44-1))*IF(D44&gt;$F$19,$F$18,1)</f>
        <v>112762</v>
      </c>
      <c r="S44" s="22">
        <f>SUMPRODUCT(('Gastos'!$H$14:$H$17&lt;=B44)*('Gastos'!$H$14:$H$17+'Gastos'!$I$14:$I$17&gt;B44)*'Gastos'!$G$14:$G$17*(1+('Gastos'!$E$14:$E$17="CRC")*N($F$8)+('Gastos'!$E$14:$E$17&lt;&gt;"CRC")*$F$9)^(D44-1))</f>
        <v>0</v>
      </c>
      <c r="T44" s="22">
        <f>$W$10*(1+IF($V$10="CRC",N($F$8),$F$9))^(D44-1)</f>
        <v>5126</v>
      </c>
      <c r="U44" s="22">
        <f>(IF(D44&lt;=$X$11,$W$11*12,0)+IF('Gastos'!$G$28="Sí",0,SUMPRODUCT(('Gastos'!$H$22:$H$26&gt;=B44)*'Gastos'!$G$22:$G$26)*12)+SUMPRODUCT(('Gastos'!$H$43:$H$45&lt;=B44)*('Gastos'!$H$43:$H$45+'Gastos'!$I$43:$I$45-1&gt;=B44)*'Gastos'!$K$43:$K$45))</f>
        <v>14400</v>
      </c>
      <c r="V44" s="23">
        <f>SUM(R44:U44)</f>
        <v>132287</v>
      </c>
      <c r="W44" s="22">
        <f>SUMPRODUCT(('Gastos'!$I$33:$I$37=1)*('Gastos'!$H$33:$H$37=B44)*'Gastos'!$G$33:$G$37*(1+('Gastos'!$E$33:$E$37="CRC")*N($F$8)+('Gastos'!$E$33:$E$37&lt;&gt;"CRC")*$F$9)^(D44-1))+SUMPRODUCT(('Gastos'!$I$33:$I$37=2)*('Gastos'!$H$33:$H$37&lt;=B44)*'Gastos'!$G$33:$G$37*(1+('Gastos'!$E$33:$E$37="CRC")*N($F$8)+('Gastos'!$E$33:$E$37&lt;&gt;"CRC")*$F$9)^(D44-1))+SUMPRODUCT(('Retiros del portafolio'!$H$15:$H$18=B44)*'Retiros del portafolio'!$G$15:$G$18*(1+('Retiros del portafolio'!$E$15:$E$18="CRC")*N($F$8)+('Retiros del portafolio'!$E$15:$E$18&lt;&gt;"CRC")*$F$9)^(D44-1))</f>
        <v>10251</v>
      </c>
      <c r="X44" s="22">
        <f>SUMPRODUCT(('Retiros del portafolio'!$H$6:$H$9=B44)*'Retiros del portafolio'!$G$6:$G$9*(1+('Retiros del portafolio'!$E$6:$E$9="CRC")*N($F$8)+('Retiros del portafolio'!$E$6:$E$9&lt;&gt;"CRC")*$F$9)^(D44-1))</f>
        <v>0</v>
      </c>
      <c r="Y44" s="23">
        <f>W44+X44</f>
        <v>10251</v>
      </c>
      <c r="Z44" s="23">
        <f>V44+Y44</f>
        <v>142538</v>
      </c>
      <c r="AA44" s="23">
        <f>Q44-Z44</f>
        <v>-30281</v>
      </c>
      <c r="AB44" s="22">
        <f>SUMPRODUCT(('Desinversiones'!$H$6:$H$10=B44)*('Desinversiones'!$I$6:$I$10=1)*'Desinversiones'!$G$6:$G$10*(1+('Desinversiones'!$E$6:$E$10="CRC")*N($F$8)+('Desinversiones'!$E$6:$E$10&lt;&gt;"CRC")*$F$9)^(D44-1))</f>
        <v>0</v>
      </c>
      <c r="AC44" s="22">
        <f>SUMPRODUCT(('Desinversiones'!$H$6:$H$10=B44)*('Desinversiones'!$I$6:$I$10=2)*'Desinversiones'!$G$6:$G$10*(1+('Desinversiones'!$E$6:$E$10="CRC")*N($F$8)+('Desinversiones'!$E$6:$E$10&lt;&gt;"CRC")*$F$9)^(D44-1))</f>
        <v>0</v>
      </c>
      <c r="AD44" s="22">
        <f>SUMPRODUCT(('Desinversiones'!$H$6:$H$10=B44)*('Desinversiones'!$I$6:$I$10=3)*'Desinversiones'!$G$6:$G$10*(1+('Desinversiones'!$E$6:$E$10="CRC")*N($F$8)+('Desinversiones'!$E$6:$E$10&lt;&gt;"CRC")*$F$9)^(D44-1))</f>
        <v>0</v>
      </c>
      <c r="AE44" s="23">
        <f>SUM(AB44:AD44)</f>
        <v>0</v>
      </c>
      <c r="AF44" s="23">
        <f>AE44</f>
        <v>0</v>
      </c>
      <c r="AG44" s="22">
        <f>AJ43</f>
        <v>1078187</v>
      </c>
      <c r="AH44" s="22">
        <f>AG44*$F$13</f>
        <v>63152</v>
      </c>
      <c r="AI44" s="23">
        <f>AA44+AF44</f>
        <v>-30281</v>
      </c>
      <c r="AJ44" s="23">
        <f>AG44+AH44+AI44+AM44</f>
        <v>1111058</v>
      </c>
      <c r="AK44" s="22">
        <f>AJ44/(1+$F$9)^(D44-1+$F$24/12)</f>
        <v>644118</v>
      </c>
      <c r="AL44" s="24">
        <f>IF(AG44&lt;=0,0,MAX(0,-AI44)/AG44)</f>
        <v>0.028085118081586206</v>
      </c>
      <c r="AM44" s="22">
        <f>MAX(0,-(AG44+AH44+AI44))</f>
        <v>0</v>
      </c>
    </row>
    <row r="45">
      <c r="B45" s="25">
        <f>B44+1</f>
        <v>2041</v>
      </c>
      <c r="C45" s="25">
        <f>C44+1</f>
        <v>61</v>
      </c>
      <c r="D45" s="25">
        <f>D44+1</f>
        <v>16</v>
      </c>
      <c r="E45" s="26" t="str">
        <f>IF(D45&lt;=$F$19,"Acumulación","Retiro")</f>
        <v>Retiro</v>
      </c>
      <c r="F45" s="22">
        <f>IF(D45&lt;=$P$7,$N$7*12*(1+IF($M$7="CRC",N($F$8),$F$9))^(D45-1),0)</f>
        <v>0</v>
      </c>
      <c r="G45" s="22">
        <f>IF(D45&lt;=$P$8,$N$8*12*(1+IF($M$8="CRC",N($F$8),$F$9))^(D45-1),0)</f>
        <v>0</v>
      </c>
      <c r="H45" s="22">
        <f>IF(AND($N$9&gt;0,D45&gt;=$O$9,D45&lt;=$P$9),$N$9*12*(1+IF($M$9="CRC",N($F$8),$F$9))^(D45-1),0)</f>
        <v>23669</v>
      </c>
      <c r="I45" s="22">
        <f>SUMPRODUCT(('Ingresos'!$H$14:$H$17&gt;=B45)*'Ingresos'!$G$14:$G$17*(1+('Ingresos'!$E$14:$E$17="CRC")*N($F$8)+('Ingresos'!$E$14:$E$17&lt;&gt;"CRC")*$F$9)^(D45-1))*12</f>
        <v>0</v>
      </c>
      <c r="J45" s="22">
        <f>IF(AND($N$10&gt;0,D45&gt;=N($O$10)),$N$10*12*(1+IF($M$10="CRC",N($F$8),$F$9))^(N($O$10)-1)*(1+N($F$10))^(D45-N($O$10))*IF(D45=N($O$10),IF(AND(ISNUMBER($F$21),N($F$20)&gt;=$C$30),(12-$F$21)/12,1),1),0)</f>
        <v>0</v>
      </c>
      <c r="K45" s="22">
        <f>'Pensiones'!T34</f>
        <v>0</v>
      </c>
      <c r="L45" s="22">
        <f>'Pensiones'!U34</f>
        <v>0</v>
      </c>
      <c r="M45" s="23">
        <f>SUM(F45:L45)</f>
        <v>23669</v>
      </c>
      <c r="N45" s="22">
        <f>SUMPRODUCT(('Ingresos'!$H$22:$H$26=B45)*'Ingresos'!$G$22:$G$26*(1+('Ingresos'!$E$22:$E$26="CRC")*N($F$8)+('Ingresos'!$E$22:$E$26&lt;&gt;"CRC")*$F$9)^(D45-1))</f>
        <v>0</v>
      </c>
      <c r="O45" s="22">
        <f>'Pensiones'!S34</f>
        <v>0</v>
      </c>
      <c r="P45" s="23">
        <f>SUM(N45:O45)</f>
        <v>0</v>
      </c>
      <c r="Q45" s="23">
        <f>M45+P45</f>
        <v>23669</v>
      </c>
      <c r="R45" s="22">
        <f>$W$7*12*(N($F$22)*(1+$F$9)^(D45-1)+(1-N($F$22))*(1+N($F$8))^(D45-1))*IF(D45&gt;$F$19,$F$18,1)</f>
        <v>117159</v>
      </c>
      <c r="S45" s="22">
        <f>SUMPRODUCT(('Gastos'!$H$14:$H$17&lt;=B45)*('Gastos'!$H$14:$H$17+'Gastos'!$I$14:$I$17&gt;B45)*'Gastos'!$G$14:$G$17*(1+('Gastos'!$E$14:$E$17="CRC")*N($F$8)+('Gastos'!$E$14:$E$17&lt;&gt;"CRC")*$F$9)^(D45-1))</f>
        <v>0</v>
      </c>
      <c r="T45" s="22">
        <f>$W$10*(1+IF($V$10="CRC",N($F$8),$F$9))^(D45-1)</f>
        <v>5325</v>
      </c>
      <c r="U45" s="22">
        <f>(IF(D45&lt;=$X$11,$W$11*12,0)+IF('Gastos'!$G$28="Sí",0,SUMPRODUCT(('Gastos'!$H$22:$H$26&gt;=B45)*'Gastos'!$G$22:$G$26)*12)+SUMPRODUCT(('Gastos'!$H$43:$H$45&lt;=B45)*('Gastos'!$H$43:$H$45+'Gastos'!$I$43:$I$45-1&gt;=B45)*'Gastos'!$K$43:$K$45))</f>
        <v>0</v>
      </c>
      <c r="V45" s="23">
        <f>SUM(R45:U45)</f>
        <v>122485</v>
      </c>
      <c r="W45" s="22">
        <f>SUMPRODUCT(('Gastos'!$I$33:$I$37=1)*('Gastos'!$H$33:$H$37=B45)*'Gastos'!$G$33:$G$37*(1+('Gastos'!$E$33:$E$37="CRC")*N($F$8)+('Gastos'!$E$33:$E$37&lt;&gt;"CRC")*$F$9)^(D45-1))+SUMPRODUCT(('Gastos'!$I$33:$I$37=2)*('Gastos'!$H$33:$H$37&lt;=B45)*'Gastos'!$G$33:$G$37*(1+('Gastos'!$E$33:$E$37="CRC")*N($F$8)+('Gastos'!$E$33:$E$37&lt;&gt;"CRC")*$F$9)^(D45-1))+SUMPRODUCT(('Retiros del portafolio'!$H$15:$H$18=B45)*'Retiros del portafolio'!$G$15:$G$18*(1+('Retiros del portafolio'!$E$15:$E$18="CRC")*N($F$8)+('Retiros del portafolio'!$E$15:$E$18&lt;&gt;"CRC")*$F$9)^(D45-1))</f>
        <v>10651</v>
      </c>
      <c r="X45" s="22">
        <f>SUMPRODUCT(('Retiros del portafolio'!$H$6:$H$9=B45)*'Retiros del portafolio'!$G$6:$G$9*(1+('Retiros del portafolio'!$E$6:$E$9="CRC")*N($F$8)+('Retiros del portafolio'!$E$6:$E$9&lt;&gt;"CRC")*$F$9)^(D45-1))</f>
        <v>0</v>
      </c>
      <c r="Y45" s="23">
        <f>W45+X45</f>
        <v>10651</v>
      </c>
      <c r="Z45" s="23">
        <f>V45+Y45</f>
        <v>133136</v>
      </c>
      <c r="AA45" s="23">
        <f>Q45-Z45</f>
        <v>-109467</v>
      </c>
      <c r="AB45" s="22">
        <f>SUMPRODUCT(('Desinversiones'!$H$6:$H$10=B45)*('Desinversiones'!$I$6:$I$10=1)*'Desinversiones'!$G$6:$G$10*(1+('Desinversiones'!$E$6:$E$10="CRC")*N($F$8)+('Desinversiones'!$E$6:$E$10&lt;&gt;"CRC")*$F$9)^(D45-1))</f>
        <v>0</v>
      </c>
      <c r="AC45" s="22">
        <f>SUMPRODUCT(('Desinversiones'!$H$6:$H$10=B45)*('Desinversiones'!$I$6:$I$10=2)*'Desinversiones'!$G$6:$G$10*(1+('Desinversiones'!$E$6:$E$10="CRC")*N($F$8)+('Desinversiones'!$E$6:$E$10&lt;&gt;"CRC")*$F$9)^(D45-1))</f>
        <v>0</v>
      </c>
      <c r="AD45" s="22">
        <f>SUMPRODUCT(('Desinversiones'!$H$6:$H$10=B45)*('Desinversiones'!$I$6:$I$10=3)*'Desinversiones'!$G$6:$G$10*(1+('Desinversiones'!$E$6:$E$10="CRC")*N($F$8)+('Desinversiones'!$E$6:$E$10&lt;&gt;"CRC")*$F$9)^(D45-1))</f>
        <v>0</v>
      </c>
      <c r="AE45" s="23">
        <f>SUM(AB45:AD45)</f>
        <v>0</v>
      </c>
      <c r="AF45" s="23">
        <f>AE45</f>
        <v>0</v>
      </c>
      <c r="AG45" s="22">
        <f>AJ44</f>
        <v>1111058</v>
      </c>
      <c r="AH45" s="22">
        <f>AG45*$F$13</f>
        <v>65077</v>
      </c>
      <c r="AI45" s="23">
        <f>AA45+AF45</f>
        <v>-109467</v>
      </c>
      <c r="AJ45" s="23">
        <f>AG45+AH45+AI45+AM45</f>
        <v>1066669</v>
      </c>
      <c r="AK45" s="22">
        <f>AJ45/(1+$F$9)^(D45-1+$F$24/12)</f>
        <v>595172</v>
      </c>
      <c r="AL45" s="24">
        <f>IF(AG45&lt;=0,0,MAX(0,-AI45)/AG45)</f>
        <v>0.09852508052122207</v>
      </c>
      <c r="AM45" s="22">
        <f>MAX(0,-(AG45+AH45+AI45))</f>
        <v>0</v>
      </c>
    </row>
    <row r="46">
      <c r="B46" s="25">
        <f>B45+1</f>
        <v>2042</v>
      </c>
      <c r="C46" s="25">
        <f>C45+1</f>
        <v>62</v>
      </c>
      <c r="D46" s="25">
        <f>D45+1</f>
        <v>17</v>
      </c>
      <c r="E46" s="26" t="str">
        <f>IF(D46&lt;=$F$19,"Acumulación","Retiro")</f>
        <v>Retiro</v>
      </c>
      <c r="F46" s="22">
        <f>IF(D46&lt;=$P$7,$N$7*12*(1+IF($M$7="CRC",N($F$8),$F$9))^(D46-1),0)</f>
        <v>0</v>
      </c>
      <c r="G46" s="22">
        <f>IF(D46&lt;=$P$8,$N$8*12*(1+IF($M$8="CRC",N($F$8),$F$9))^(D46-1),0)</f>
        <v>0</v>
      </c>
      <c r="H46" s="22">
        <f>IF(AND($N$9&gt;0,D46&gt;=$O$9,D46&lt;=$P$9),$N$9*12*(1+IF($M$9="CRC",N($F$8),$F$9))^(D46-1),0)</f>
        <v>24592</v>
      </c>
      <c r="I46" s="22">
        <f>SUMPRODUCT(('Ingresos'!$H$14:$H$17&gt;=B46)*'Ingresos'!$G$14:$G$17*(1+('Ingresos'!$E$14:$E$17="CRC")*N($F$8)+('Ingresos'!$E$14:$E$17&lt;&gt;"CRC")*$F$9)^(D46-1))*12</f>
        <v>0</v>
      </c>
      <c r="J46" s="22">
        <f>IF(AND($N$10&gt;0,D46&gt;=N($O$10)),$N$10*12*(1+IF($M$10="CRC",N($F$8),$F$9))^(N($O$10)-1)*(1+N($F$10))^(D46-N($O$10))*IF(D46=N($O$10),IF(AND(ISNUMBER($F$21),N($F$20)&gt;=$C$30),(12-$F$21)/12,1),1),0)</f>
        <v>0</v>
      </c>
      <c r="K46" s="22">
        <f>'Pensiones'!T35</f>
        <v>0</v>
      </c>
      <c r="L46" s="22">
        <f>'Pensiones'!U35</f>
        <v>0</v>
      </c>
      <c r="M46" s="23">
        <f>SUM(F46:L46)</f>
        <v>24592</v>
      </c>
      <c r="N46" s="22">
        <f>SUMPRODUCT(('Ingresos'!$H$22:$H$26=B46)*'Ingresos'!$G$22:$G$26*(1+('Ingresos'!$E$22:$E$26="CRC")*N($F$8)+('Ingresos'!$E$22:$E$26&lt;&gt;"CRC")*$F$9)^(D46-1))</f>
        <v>0</v>
      </c>
      <c r="O46" s="22">
        <f>'Pensiones'!S35</f>
        <v>0</v>
      </c>
      <c r="P46" s="23">
        <f>SUM(N46:O46)</f>
        <v>0</v>
      </c>
      <c r="Q46" s="23">
        <f>M46+P46</f>
        <v>24592</v>
      </c>
      <c r="R46" s="22">
        <f>$W$7*12*(N($F$22)*(1+$F$9)^(D46-1)+(1-N($F$22))*(1+N($F$8))^(D46-1))*IF(D46&gt;$F$19,$F$18,1)</f>
        <v>121729</v>
      </c>
      <c r="S46" s="22">
        <f>SUMPRODUCT(('Gastos'!$H$14:$H$17&lt;=B46)*('Gastos'!$H$14:$H$17+'Gastos'!$I$14:$I$17&gt;B46)*'Gastos'!$G$14:$G$17*(1+('Gastos'!$E$14:$E$17="CRC")*N($F$8)+('Gastos'!$E$14:$E$17&lt;&gt;"CRC")*$F$9)^(D46-1))</f>
        <v>0</v>
      </c>
      <c r="T46" s="22">
        <f>$W$10*(1+IF($V$10="CRC",N($F$8),$F$9))^(D46-1)</f>
        <v>5533</v>
      </c>
      <c r="U46" s="22">
        <f>(IF(D46&lt;=$X$11,$W$11*12,0)+IF('Gastos'!$G$28="Sí",0,SUMPRODUCT(('Gastos'!$H$22:$H$26&gt;=B46)*'Gastos'!$G$22:$G$26)*12)+SUMPRODUCT(('Gastos'!$H$43:$H$45&lt;=B46)*('Gastos'!$H$43:$H$45+'Gastos'!$I$43:$I$45-1&gt;=B46)*'Gastos'!$K$43:$K$45))</f>
        <v>0</v>
      </c>
      <c r="V46" s="23">
        <f>SUM(R46:U46)</f>
        <v>127262</v>
      </c>
      <c r="W46" s="22">
        <f>SUMPRODUCT(('Gastos'!$I$33:$I$37=1)*('Gastos'!$H$33:$H$37=B46)*'Gastos'!$G$33:$G$37*(1+('Gastos'!$E$33:$E$37="CRC")*N($F$8)+('Gastos'!$E$33:$E$37&lt;&gt;"CRC")*$F$9)^(D46-1))+SUMPRODUCT(('Gastos'!$I$33:$I$37=2)*('Gastos'!$H$33:$H$37&lt;=B46)*'Gastos'!$G$33:$G$37*(1+('Gastos'!$E$33:$E$37="CRC")*N($F$8)+('Gastos'!$E$33:$E$37&lt;&gt;"CRC")*$F$9)^(D46-1))+SUMPRODUCT(('Retiros del portafolio'!$H$15:$H$18=B46)*'Retiros del portafolio'!$G$15:$G$18*(1+('Retiros del portafolio'!$E$15:$E$18="CRC")*N($F$8)+('Retiros del portafolio'!$E$15:$E$18&lt;&gt;"CRC")*$F$9)^(D46-1))</f>
        <v>11066</v>
      </c>
      <c r="X46" s="22">
        <f>SUMPRODUCT(('Retiros del portafolio'!$H$6:$H$9=B46)*'Retiros del portafolio'!$G$6:$G$9*(1+('Retiros del portafolio'!$E$6:$E$9="CRC")*N($F$8)+('Retiros del portafolio'!$E$6:$E$9&lt;&gt;"CRC")*$F$9)^(D46-1))</f>
        <v>0</v>
      </c>
      <c r="Y46" s="23">
        <f>W46+X46</f>
        <v>11066</v>
      </c>
      <c r="Z46" s="23">
        <f>V46+Y46</f>
        <v>138328</v>
      </c>
      <c r="AA46" s="23">
        <f>Q46-Z46</f>
        <v>-113736</v>
      </c>
      <c r="AB46" s="22">
        <f>SUMPRODUCT(('Desinversiones'!$H$6:$H$10=B46)*('Desinversiones'!$I$6:$I$10=1)*'Desinversiones'!$G$6:$G$10*(1+('Desinversiones'!$E$6:$E$10="CRC")*N($F$8)+('Desinversiones'!$E$6:$E$10&lt;&gt;"CRC")*$F$9)^(D46-1))</f>
        <v>0</v>
      </c>
      <c r="AC46" s="22">
        <f>SUMPRODUCT(('Desinversiones'!$H$6:$H$10=B46)*('Desinversiones'!$I$6:$I$10=2)*'Desinversiones'!$G$6:$G$10*(1+('Desinversiones'!$E$6:$E$10="CRC")*N($F$8)+('Desinversiones'!$E$6:$E$10&lt;&gt;"CRC")*$F$9)^(D46-1))</f>
        <v>0</v>
      </c>
      <c r="AD46" s="22">
        <f>SUMPRODUCT(('Desinversiones'!$H$6:$H$10=B46)*('Desinversiones'!$I$6:$I$10=3)*'Desinversiones'!$G$6:$G$10*(1+('Desinversiones'!$E$6:$E$10="CRC")*N($F$8)+('Desinversiones'!$E$6:$E$10&lt;&gt;"CRC")*$F$9)^(D46-1))</f>
        <v>0</v>
      </c>
      <c r="AE46" s="23">
        <f>SUM(AB46:AD46)</f>
        <v>0</v>
      </c>
      <c r="AF46" s="23">
        <f>AE46</f>
        <v>0</v>
      </c>
      <c r="AG46" s="22">
        <f>AJ45</f>
        <v>1066669</v>
      </c>
      <c r="AH46" s="22">
        <f>AG46*$F$13</f>
        <v>62477</v>
      </c>
      <c r="AI46" s="23">
        <f>AA46+AF46</f>
        <v>-113736</v>
      </c>
      <c r="AJ46" s="23">
        <f>AG46+AH46+AI46+AM46</f>
        <v>1015410</v>
      </c>
      <c r="AK46" s="22">
        <f>AJ46/(1+$F$9)^(D46-1+$F$24/12)</f>
        <v>545304</v>
      </c>
      <c r="AL46" s="24">
        <f>IF(AG46&lt;=0,0,MAX(0,-AI46)/AG46)</f>
        <v>0.10662760670418384</v>
      </c>
      <c r="AM46" s="22">
        <f>MAX(0,-(AG46+AH46+AI46))</f>
        <v>0</v>
      </c>
    </row>
    <row r="47">
      <c r="B47" s="25">
        <f>B46+1</f>
        <v>2043</v>
      </c>
      <c r="C47" s="25">
        <f>C46+1</f>
        <v>63</v>
      </c>
      <c r="D47" s="25">
        <f>D46+1</f>
        <v>18</v>
      </c>
      <c r="E47" s="26" t="str">
        <f>IF(D47&lt;=$F$19,"Acumulación","Retiro")</f>
        <v>Retiro</v>
      </c>
      <c r="F47" s="22">
        <f>IF(D47&lt;=$P$7,$N$7*12*(1+IF($M$7="CRC",N($F$8),$F$9))^(D47-1),0)</f>
        <v>0</v>
      </c>
      <c r="G47" s="22">
        <f>IF(D47&lt;=$P$8,$N$8*12*(1+IF($M$8="CRC",N($F$8),$F$9))^(D47-1),0)</f>
        <v>0</v>
      </c>
      <c r="H47" s="22">
        <f>IF(AND($N$9&gt;0,D47&gt;=$O$9,D47&lt;=$P$9),$N$9*12*(1+IF($M$9="CRC",N($F$8),$F$9))^(D47-1),0)</f>
        <v>25551</v>
      </c>
      <c r="I47" s="22">
        <f>SUMPRODUCT(('Ingresos'!$H$14:$H$17&gt;=B47)*'Ingresos'!$G$14:$G$17*(1+('Ingresos'!$E$14:$E$17="CRC")*N($F$8)+('Ingresos'!$E$14:$E$17&lt;&gt;"CRC")*$F$9)^(D47-1))*12</f>
        <v>0</v>
      </c>
      <c r="J47" s="22">
        <f>IF(AND($N$10&gt;0,D47&gt;=N($O$10)),$N$10*12*(1+IF($M$10="CRC",N($F$8),$F$9))^(N($O$10)-1)*(1+N($F$10))^(D47-N($O$10))*IF(D47=N($O$10),IF(AND(ISNUMBER($F$21),N($F$20)&gt;=$C$30),(12-$F$21)/12,1),1),0)</f>
        <v>0</v>
      </c>
      <c r="K47" s="22">
        <f>'Pensiones'!T36</f>
        <v>0</v>
      </c>
      <c r="L47" s="22">
        <f>'Pensiones'!U36</f>
        <v>0</v>
      </c>
      <c r="M47" s="23">
        <f>SUM(F47:L47)</f>
        <v>25551</v>
      </c>
      <c r="N47" s="22">
        <f>SUMPRODUCT(('Ingresos'!$H$22:$H$26=B47)*'Ingresos'!$G$22:$G$26*(1+('Ingresos'!$E$22:$E$26="CRC")*N($F$8)+('Ingresos'!$E$22:$E$26&lt;&gt;"CRC")*$F$9)^(D47-1))</f>
        <v>0</v>
      </c>
      <c r="O47" s="22">
        <f>'Pensiones'!S36</f>
        <v>0</v>
      </c>
      <c r="P47" s="23">
        <f>SUM(N47:O47)</f>
        <v>0</v>
      </c>
      <c r="Q47" s="23">
        <f>M47+P47</f>
        <v>25551</v>
      </c>
      <c r="R47" s="22">
        <f>$W$7*12*(N($F$22)*(1+$F$9)^(D47-1)+(1-N($F$22))*(1+N($F$8))^(D47-1))*IF(D47&gt;$F$19,$F$18,1)</f>
        <v>126476</v>
      </c>
      <c r="S47" s="22">
        <f>SUMPRODUCT(('Gastos'!$H$14:$H$17&lt;=B47)*('Gastos'!$H$14:$H$17+'Gastos'!$I$14:$I$17&gt;B47)*'Gastos'!$G$14:$G$17*(1+('Gastos'!$E$14:$E$17="CRC")*N($F$8)+('Gastos'!$E$14:$E$17&lt;&gt;"CRC")*$F$9)^(D47-1))</f>
        <v>0</v>
      </c>
      <c r="T47" s="22">
        <f>$W$10*(1+IF($V$10="CRC",N($F$8),$F$9))^(D47-1)</f>
        <v>5749</v>
      </c>
      <c r="U47" s="22">
        <f>(IF(D47&lt;=$X$11,$W$11*12,0)+IF('Gastos'!$G$28="Sí",0,SUMPRODUCT(('Gastos'!$H$22:$H$26&gt;=B47)*'Gastos'!$G$22:$G$26)*12)+SUMPRODUCT(('Gastos'!$H$43:$H$45&lt;=B47)*('Gastos'!$H$43:$H$45+'Gastos'!$I$43:$I$45-1&gt;=B47)*'Gastos'!$K$43:$K$45))</f>
        <v>0</v>
      </c>
      <c r="V47" s="23">
        <f>SUM(R47:U47)</f>
        <v>132225</v>
      </c>
      <c r="W47" s="22">
        <f>SUMPRODUCT(('Gastos'!$I$33:$I$37=1)*('Gastos'!$H$33:$H$37=B47)*'Gastos'!$G$33:$G$37*(1+('Gastos'!$E$33:$E$37="CRC")*N($F$8)+('Gastos'!$E$33:$E$37&lt;&gt;"CRC")*$F$9)^(D47-1))+SUMPRODUCT(('Gastos'!$I$33:$I$37=2)*('Gastos'!$H$33:$H$37&lt;=B47)*'Gastos'!$G$33:$G$37*(1+('Gastos'!$E$33:$E$37="CRC")*N($F$8)+('Gastos'!$E$33:$E$37&lt;&gt;"CRC")*$F$9)^(D47-1))+SUMPRODUCT(('Retiros del portafolio'!$H$15:$H$18=B47)*'Retiros del portafolio'!$G$15:$G$18*(1+('Retiros del portafolio'!$E$15:$E$18="CRC")*N($F$8)+('Retiros del portafolio'!$E$15:$E$18&lt;&gt;"CRC")*$F$9)^(D47-1))</f>
        <v>11498</v>
      </c>
      <c r="X47" s="22">
        <f>SUMPRODUCT(('Retiros del portafolio'!$H$6:$H$9=B47)*'Retiros del portafolio'!$G$6:$G$9*(1+('Retiros del portafolio'!$E$6:$E$9="CRC")*N($F$8)+('Retiros del portafolio'!$E$6:$E$9&lt;&gt;"CRC")*$F$9)^(D47-1))</f>
        <v>0</v>
      </c>
      <c r="Y47" s="23">
        <f>W47+X47</f>
        <v>11498</v>
      </c>
      <c r="Z47" s="23">
        <f>V47+Y47</f>
        <v>143723</v>
      </c>
      <c r="AA47" s="23">
        <f>Q47-Z47</f>
        <v>-118172</v>
      </c>
      <c r="AB47" s="22">
        <f>SUMPRODUCT(('Desinversiones'!$H$6:$H$10=B47)*('Desinversiones'!$I$6:$I$10=1)*'Desinversiones'!$G$6:$G$10*(1+('Desinversiones'!$E$6:$E$10="CRC")*N($F$8)+('Desinversiones'!$E$6:$E$10&lt;&gt;"CRC")*$F$9)^(D47-1))</f>
        <v>0</v>
      </c>
      <c r="AC47" s="22">
        <f>SUMPRODUCT(('Desinversiones'!$H$6:$H$10=B47)*('Desinversiones'!$I$6:$I$10=2)*'Desinversiones'!$G$6:$G$10*(1+('Desinversiones'!$E$6:$E$10="CRC")*N($F$8)+('Desinversiones'!$E$6:$E$10&lt;&gt;"CRC")*$F$9)^(D47-1))</f>
        <v>0</v>
      </c>
      <c r="AD47" s="22">
        <f>SUMPRODUCT(('Desinversiones'!$H$6:$H$10=B47)*('Desinversiones'!$I$6:$I$10=3)*'Desinversiones'!$G$6:$G$10*(1+('Desinversiones'!$E$6:$E$10="CRC")*N($F$8)+('Desinversiones'!$E$6:$E$10&lt;&gt;"CRC")*$F$9)^(D47-1))</f>
        <v>0</v>
      </c>
      <c r="AE47" s="23">
        <f>SUM(AB47:AD47)</f>
        <v>0</v>
      </c>
      <c r="AF47" s="23">
        <f>AE47</f>
        <v>0</v>
      </c>
      <c r="AG47" s="22">
        <f>AJ46</f>
        <v>1015410</v>
      </c>
      <c r="AH47" s="22">
        <f>AG47*$F$13</f>
        <v>59475</v>
      </c>
      <c r="AI47" s="23">
        <f>AA47+AF47</f>
        <v>-118172</v>
      </c>
      <c r="AJ47" s="23">
        <f>AG47+AH47+AI47+AM47</f>
        <v>956713</v>
      </c>
      <c r="AK47" s="22">
        <f>AJ47/(1+$F$9)^(D47-1+$F$24/12)</f>
        <v>494497</v>
      </c>
      <c r="AL47" s="24">
        <f>IF(AG47&lt;=0,0,MAX(0,-AI47)/AG47)</f>
        <v>0.11637867291044995</v>
      </c>
      <c r="AM47" s="22">
        <f>MAX(0,-(AG47+AH47+AI47))</f>
        <v>0</v>
      </c>
    </row>
    <row r="48">
      <c r="B48" s="25">
        <f>B47+1</f>
        <v>2044</v>
      </c>
      <c r="C48" s="25">
        <f>C47+1</f>
        <v>64</v>
      </c>
      <c r="D48" s="25">
        <f>D47+1</f>
        <v>19</v>
      </c>
      <c r="E48" s="26" t="str">
        <f>IF(D48&lt;=$F$19,"Acumulación","Retiro")</f>
        <v>Retiro</v>
      </c>
      <c r="F48" s="22">
        <f>IF(D48&lt;=$P$7,$N$7*12*(1+IF($M$7="CRC",N($F$8),$F$9))^(D48-1),0)</f>
        <v>0</v>
      </c>
      <c r="G48" s="22">
        <f>IF(D48&lt;=$P$8,$N$8*12*(1+IF($M$8="CRC",N($F$8),$F$9))^(D48-1),0)</f>
        <v>0</v>
      </c>
      <c r="H48" s="22">
        <f>IF(AND($N$9&gt;0,D48&gt;=$O$9,D48&lt;=$P$9),$N$9*12*(1+IF($M$9="CRC",N($F$8),$F$9))^(D48-1),0)</f>
        <v>26547</v>
      </c>
      <c r="I48" s="22">
        <f>SUMPRODUCT(('Ingresos'!$H$14:$H$17&gt;=B48)*'Ingresos'!$G$14:$G$17*(1+('Ingresos'!$E$14:$E$17="CRC")*N($F$8)+('Ingresos'!$E$14:$E$17&lt;&gt;"CRC")*$F$9)^(D48-1))*12</f>
        <v>0</v>
      </c>
      <c r="J48" s="22">
        <f>IF(AND($N$10&gt;0,D48&gt;=N($O$10)),$N$10*12*(1+IF($M$10="CRC",N($F$8),$F$9))^(N($O$10)-1)*(1+N($F$10))^(D48-N($O$10))*IF(D48=N($O$10),IF(AND(ISNUMBER($F$21),N($F$20)&gt;=$C$30),(12-$F$21)/12,1),1),0)</f>
        <v>0</v>
      </c>
      <c r="K48" s="22">
        <f>'Pensiones'!T37</f>
        <v>0</v>
      </c>
      <c r="L48" s="22">
        <f>'Pensiones'!U37</f>
        <v>0</v>
      </c>
      <c r="M48" s="23">
        <f>SUM(F48:L48)</f>
        <v>26547</v>
      </c>
      <c r="N48" s="22">
        <f>SUMPRODUCT(('Ingresos'!$H$22:$H$26=B48)*'Ingresos'!$G$22:$G$26*(1+('Ingresos'!$E$22:$E$26="CRC")*N($F$8)+('Ingresos'!$E$22:$E$26&lt;&gt;"CRC")*$F$9)^(D48-1))</f>
        <v>0</v>
      </c>
      <c r="O48" s="22">
        <f>'Pensiones'!S37</f>
        <v>0</v>
      </c>
      <c r="P48" s="23">
        <f>SUM(N48:O48)</f>
        <v>0</v>
      </c>
      <c r="Q48" s="23">
        <f>M48+P48</f>
        <v>26547</v>
      </c>
      <c r="R48" s="22">
        <f>$W$7*12*(N($F$22)*(1+$F$9)^(D48-1)+(1-N($F$22))*(1+N($F$8))^(D48-1))*IF(D48&gt;$F$19,$F$18,1)</f>
        <v>131409</v>
      </c>
      <c r="S48" s="22">
        <f>SUMPRODUCT(('Gastos'!$H$14:$H$17&lt;=B48)*('Gastos'!$H$14:$H$17+'Gastos'!$I$14:$I$17&gt;B48)*'Gastos'!$G$14:$G$17*(1+('Gastos'!$E$14:$E$17="CRC")*N($F$8)+('Gastos'!$E$14:$E$17&lt;&gt;"CRC")*$F$9)^(D48-1))</f>
        <v>0</v>
      </c>
      <c r="T48" s="22">
        <f>$W$10*(1+IF($V$10="CRC",N($F$8),$F$9))^(D48-1)</f>
        <v>5973</v>
      </c>
      <c r="U48" s="22">
        <f>(IF(D48&lt;=$X$11,$W$11*12,0)+IF('Gastos'!$G$28="Sí",0,SUMPRODUCT(('Gastos'!$H$22:$H$26&gt;=B48)*'Gastos'!$G$22:$G$26)*12)+SUMPRODUCT(('Gastos'!$H$43:$H$45&lt;=B48)*('Gastos'!$H$43:$H$45+'Gastos'!$I$43:$I$45-1&gt;=B48)*'Gastos'!$K$43:$K$45))</f>
        <v>0</v>
      </c>
      <c r="V48" s="23">
        <f>SUM(R48:U48)</f>
        <v>137382</v>
      </c>
      <c r="W48" s="22">
        <f>SUMPRODUCT(('Gastos'!$I$33:$I$37=1)*('Gastos'!$H$33:$H$37=B48)*'Gastos'!$G$33:$G$37*(1+('Gastos'!$E$33:$E$37="CRC")*N($F$8)+('Gastos'!$E$33:$E$37&lt;&gt;"CRC")*$F$9)^(D48-1))+SUMPRODUCT(('Gastos'!$I$33:$I$37=2)*('Gastos'!$H$33:$H$37&lt;=B48)*'Gastos'!$G$33:$G$37*(1+('Gastos'!$E$33:$E$37="CRC")*N($F$8)+('Gastos'!$E$33:$E$37&lt;&gt;"CRC")*$F$9)^(D48-1))+SUMPRODUCT(('Retiros del portafolio'!$H$15:$H$18=B48)*'Retiros del portafolio'!$G$15:$G$18*(1+('Retiros del portafolio'!$E$15:$E$18="CRC")*N($F$8)+('Retiros del portafolio'!$E$15:$E$18&lt;&gt;"CRC")*$F$9)^(D48-1))</f>
        <v>11946</v>
      </c>
      <c r="X48" s="22">
        <f>SUMPRODUCT(('Retiros del portafolio'!$H$6:$H$9=B48)*'Retiros del portafolio'!$G$6:$G$9*(1+('Retiros del portafolio'!$E$6:$E$9="CRC")*N($F$8)+('Retiros del portafolio'!$E$6:$E$9&lt;&gt;"CRC")*$F$9)^(D48-1))</f>
        <v>0</v>
      </c>
      <c r="Y48" s="23">
        <f>W48+X48</f>
        <v>11946</v>
      </c>
      <c r="Z48" s="23">
        <f>V48+Y48</f>
        <v>149328</v>
      </c>
      <c r="AA48" s="23">
        <f>Q48-Z48</f>
        <v>-122781</v>
      </c>
      <c r="AB48" s="22">
        <f>SUMPRODUCT(('Desinversiones'!$H$6:$H$10=B48)*('Desinversiones'!$I$6:$I$10=1)*'Desinversiones'!$G$6:$G$10*(1+('Desinversiones'!$E$6:$E$10="CRC")*N($F$8)+('Desinversiones'!$E$6:$E$10&lt;&gt;"CRC")*$F$9)^(D48-1))</f>
        <v>0</v>
      </c>
      <c r="AC48" s="22">
        <f>SUMPRODUCT(('Desinversiones'!$H$6:$H$10=B48)*('Desinversiones'!$I$6:$I$10=2)*'Desinversiones'!$G$6:$G$10*(1+('Desinversiones'!$E$6:$E$10="CRC")*N($F$8)+('Desinversiones'!$E$6:$E$10&lt;&gt;"CRC")*$F$9)^(D48-1))</f>
        <v>0</v>
      </c>
      <c r="AD48" s="22">
        <f>SUMPRODUCT(('Desinversiones'!$H$6:$H$10=B48)*('Desinversiones'!$I$6:$I$10=3)*'Desinversiones'!$G$6:$G$10*(1+('Desinversiones'!$E$6:$E$10="CRC")*N($F$8)+('Desinversiones'!$E$6:$E$10&lt;&gt;"CRC")*$F$9)^(D48-1))</f>
        <v>0</v>
      </c>
      <c r="AE48" s="23">
        <f>SUM(AB48:AD48)</f>
        <v>0</v>
      </c>
      <c r="AF48" s="23">
        <f>AE48</f>
        <v>0</v>
      </c>
      <c r="AG48" s="22">
        <f>AJ47</f>
        <v>956713</v>
      </c>
      <c r="AH48" s="22">
        <f>AG48*$F$13</f>
        <v>56037</v>
      </c>
      <c r="AI48" s="23">
        <f>AA48+AF48</f>
        <v>-122781</v>
      </c>
      <c r="AJ48" s="23">
        <f>AG48+AH48+AI48+AM48</f>
        <v>889969</v>
      </c>
      <c r="AK48" s="22">
        <f>AJ48/(1+$F$9)^(D48-1+$F$24/12)</f>
        <v>442732</v>
      </c>
      <c r="AL48" s="24">
        <f>IF(AG48&lt;=0,0,MAX(0,-AI48)/AG48)</f>
        <v>0.12833605748349378</v>
      </c>
      <c r="AM48" s="22">
        <f>MAX(0,-(AG48+AH48+AI48))</f>
        <v>0</v>
      </c>
    </row>
    <row r="49">
      <c r="B49" s="25">
        <f>B48+1</f>
        <v>2045</v>
      </c>
      <c r="C49" s="25">
        <f>C48+1</f>
        <v>65</v>
      </c>
      <c r="D49" s="25">
        <f>D48+1</f>
        <v>20</v>
      </c>
      <c r="E49" s="26" t="str">
        <f>IF(D49&lt;=$F$19,"Acumulación","Retiro")</f>
        <v>Retiro</v>
      </c>
      <c r="F49" s="22">
        <f>IF(D49&lt;=$P$7,$N$7*12*(1+IF($M$7="CRC",N($F$8),$F$9))^(D49-1),0)</f>
        <v>0</v>
      </c>
      <c r="G49" s="22">
        <f>IF(D49&lt;=$P$8,$N$8*12*(1+IF($M$8="CRC",N($F$8),$F$9))^(D49-1),0)</f>
        <v>0</v>
      </c>
      <c r="H49" s="22">
        <f>IF(AND($N$9&gt;0,D49&gt;=$O$9,D49&lt;=$P$9),$N$9*12*(1+IF($M$9="CRC",N($F$8),$F$9))^(D49-1),0)</f>
        <v>27583</v>
      </c>
      <c r="I49" s="22">
        <f>SUMPRODUCT(('Ingresos'!$H$14:$H$17&gt;=B49)*'Ingresos'!$G$14:$G$17*(1+('Ingresos'!$E$14:$E$17="CRC")*N($F$8)+('Ingresos'!$E$14:$E$17&lt;&gt;"CRC")*$F$9)^(D49-1))*12</f>
        <v>0</v>
      </c>
      <c r="J49" s="22">
        <f>IF(AND($N$10&gt;0,D49&gt;=N($O$10)),$N$10*12*(1+IF($M$10="CRC",N($F$8),$F$9))^(N($O$10)-1)*(1+N($F$10))^(D49-N($O$10))*IF(D49=N($O$10),IF(AND(ISNUMBER($F$21),N($F$20)&gt;=$C$30),(12-$F$21)/12,1),1),0)</f>
        <v>25744</v>
      </c>
      <c r="K49" s="22">
        <f>'Pensiones'!T38</f>
        <v>7119</v>
      </c>
      <c r="L49" s="22">
        <f>'Pensiones'!U38</f>
        <v>8358</v>
      </c>
      <c r="M49" s="23">
        <f>SUM(F49:L49)</f>
        <v>68803</v>
      </c>
      <c r="N49" s="22">
        <f>SUMPRODUCT(('Ingresos'!$H$22:$H$26=B49)*'Ingresos'!$G$22:$G$26*(1+('Ingresos'!$E$22:$E$26="CRC")*N($F$8)+('Ingresos'!$E$22:$E$26&lt;&gt;"CRC")*$F$9)^(D49-1))</f>
        <v>0</v>
      </c>
      <c r="O49" s="22">
        <f>'Pensiones'!S38</f>
        <v>0</v>
      </c>
      <c r="P49" s="23">
        <f>SUM(N49:O49)</f>
        <v>0</v>
      </c>
      <c r="Q49" s="23">
        <f>M49+P49</f>
        <v>68803</v>
      </c>
      <c r="R49" s="22">
        <f>$W$7*12*(N($F$22)*(1+$F$9)^(D49-1)+(1-N($F$22))*(1+N($F$8))^(D49-1))*IF(D49&gt;$F$19,$F$18,1)</f>
        <v>136534</v>
      </c>
      <c r="S49" s="22">
        <f>SUMPRODUCT(('Gastos'!$H$14:$H$17&lt;=B49)*('Gastos'!$H$14:$H$17+'Gastos'!$I$14:$I$17&gt;B49)*'Gastos'!$G$14:$G$17*(1+('Gastos'!$E$14:$E$17="CRC")*N($F$8)+('Gastos'!$E$14:$E$17&lt;&gt;"CRC")*$F$9)^(D49-1))</f>
        <v>0</v>
      </c>
      <c r="T49" s="22">
        <f>$W$10*(1+IF($V$10="CRC",N($F$8),$F$9))^(D49-1)</f>
        <v>6206</v>
      </c>
      <c r="U49" s="22">
        <f>(IF(D49&lt;=$X$11,$W$11*12,0)+IF('Gastos'!$G$28="Sí",0,SUMPRODUCT(('Gastos'!$H$22:$H$26&gt;=B49)*'Gastos'!$G$22:$G$26)*12)+SUMPRODUCT(('Gastos'!$H$43:$H$45&lt;=B49)*('Gastos'!$H$43:$H$45+'Gastos'!$I$43:$I$45-1&gt;=B49)*'Gastos'!$K$43:$K$45))</f>
        <v>0</v>
      </c>
      <c r="V49" s="23">
        <f>SUM(R49:U49)</f>
        <v>142740</v>
      </c>
      <c r="W49" s="22">
        <f>SUMPRODUCT(('Gastos'!$I$33:$I$37=1)*('Gastos'!$H$33:$H$37=B49)*'Gastos'!$G$33:$G$37*(1+('Gastos'!$E$33:$E$37="CRC")*N($F$8)+('Gastos'!$E$33:$E$37&lt;&gt;"CRC")*$F$9)^(D49-1))+SUMPRODUCT(('Gastos'!$I$33:$I$37=2)*('Gastos'!$H$33:$H$37&lt;=B49)*'Gastos'!$G$33:$G$37*(1+('Gastos'!$E$33:$E$37="CRC")*N($F$8)+('Gastos'!$E$33:$E$37&lt;&gt;"CRC")*$F$9)^(D49-1))+SUMPRODUCT(('Retiros del portafolio'!$H$15:$H$18=B49)*'Retiros del portafolio'!$G$15:$G$18*(1+('Retiros del portafolio'!$E$15:$E$18="CRC")*N($F$8)+('Retiros del portafolio'!$E$15:$E$18&lt;&gt;"CRC")*$F$9)^(D49-1))</f>
        <v>12412</v>
      </c>
      <c r="X49" s="22">
        <f>SUMPRODUCT(('Retiros del portafolio'!$H$6:$H$9=B49)*'Retiros del portafolio'!$G$6:$G$9*(1+('Retiros del portafolio'!$E$6:$E$9="CRC")*N($F$8)+('Retiros del portafolio'!$E$6:$E$9&lt;&gt;"CRC")*$F$9)^(D49-1))</f>
        <v>0</v>
      </c>
      <c r="Y49" s="23">
        <f>W49+X49</f>
        <v>12412</v>
      </c>
      <c r="Z49" s="23">
        <f>V49+Y49</f>
        <v>155152</v>
      </c>
      <c r="AA49" s="23">
        <f>Q49-Z49</f>
        <v>-86349</v>
      </c>
      <c r="AB49" s="22">
        <f>SUMPRODUCT(('Desinversiones'!$H$6:$H$10=B49)*('Desinversiones'!$I$6:$I$10=1)*'Desinversiones'!$G$6:$G$10*(1+('Desinversiones'!$E$6:$E$10="CRC")*N($F$8)+('Desinversiones'!$E$6:$E$10&lt;&gt;"CRC")*$F$9)^(D49-1))</f>
        <v>0</v>
      </c>
      <c r="AC49" s="22">
        <f>SUMPRODUCT(('Desinversiones'!$H$6:$H$10=B49)*('Desinversiones'!$I$6:$I$10=2)*'Desinversiones'!$G$6:$G$10*(1+('Desinversiones'!$E$6:$E$10="CRC")*N($F$8)+('Desinversiones'!$E$6:$E$10&lt;&gt;"CRC")*$F$9)^(D49-1))</f>
        <v>0</v>
      </c>
      <c r="AD49" s="22">
        <f>SUMPRODUCT(('Desinversiones'!$H$6:$H$10=B49)*('Desinversiones'!$I$6:$I$10=3)*'Desinversiones'!$G$6:$G$10*(1+('Desinversiones'!$E$6:$E$10="CRC")*N($F$8)+('Desinversiones'!$E$6:$E$10&lt;&gt;"CRC")*$F$9)^(D49-1))</f>
        <v>0</v>
      </c>
      <c r="AE49" s="23">
        <f>SUM(AB49:AD49)</f>
        <v>0</v>
      </c>
      <c r="AF49" s="23">
        <f>AE49</f>
        <v>0</v>
      </c>
      <c r="AG49" s="22">
        <f>AJ48</f>
        <v>889969</v>
      </c>
      <c r="AH49" s="22">
        <f>AG49*$F$13</f>
        <v>52128</v>
      </c>
      <c r="AI49" s="23">
        <f>AA49+AF49</f>
        <v>-86349</v>
      </c>
      <c r="AJ49" s="23">
        <f>AG49+AH49+AI49+AM49</f>
        <v>855748</v>
      </c>
      <c r="AK49" s="22">
        <f>AJ49/(1+$F$9)^(D49-1+$F$24/12)</f>
        <v>409729</v>
      </c>
      <c r="AL49" s="24">
        <f>IF(AG49&lt;=0,0,MAX(0,-AI49)/AG49)</f>
        <v>0.097024240883766</v>
      </c>
      <c r="AM49" s="22">
        <f>MAX(0,-(AG49+AH49+AI49))</f>
        <v>0</v>
      </c>
    </row>
    <row r="50">
      <c r="B50" s="25">
        <f>B49+1</f>
        <v>2046</v>
      </c>
      <c r="C50" s="25">
        <f>C49+1</f>
        <v>66</v>
      </c>
      <c r="D50" s="25">
        <f>D49+1</f>
        <v>21</v>
      </c>
      <c r="E50" s="26" t="str">
        <f>IF(D50&lt;=$F$19,"Acumulación","Retiro")</f>
        <v>Retiro</v>
      </c>
      <c r="F50" s="22">
        <f>IF(D50&lt;=$P$7,$N$7*12*(1+IF($M$7="CRC",N($F$8),$F$9))^(D50-1),0)</f>
        <v>0</v>
      </c>
      <c r="G50" s="22">
        <f>IF(D50&lt;=$P$8,$N$8*12*(1+IF($M$8="CRC",N($F$8),$F$9))^(D50-1),0)</f>
        <v>0</v>
      </c>
      <c r="H50" s="22">
        <f>IF(AND($N$9&gt;0,D50&gt;=$O$9,D50&lt;=$P$9),$N$9*12*(1+IF($M$9="CRC",N($F$8),$F$9))^(D50-1),0)</f>
        <v>28658</v>
      </c>
      <c r="I50" s="22">
        <f>SUMPRODUCT(('Ingresos'!$H$14:$H$17&gt;=B50)*'Ingresos'!$G$14:$G$17*(1+('Ingresos'!$E$14:$E$17="CRC")*N($F$8)+('Ingresos'!$E$14:$E$17&lt;&gt;"CRC")*$F$9)^(D50-1))*12</f>
        <v>0</v>
      </c>
      <c r="J50" s="22">
        <f>IF(AND($N$10&gt;0,D50&gt;=N($O$10)),$N$10*12*(1+IF($M$10="CRC",N($F$8),$F$9))^(N($O$10)-1)*(1+N($F$10))^(D50-N($O$10))*IF(D50=N($O$10),IF(AND(ISNUMBER($F$21),N($F$20)&gt;=$C$30),(12-$F$21)/12,1),1),0)</f>
        <v>44573</v>
      </c>
      <c r="K50" s="22">
        <f>'Pensiones'!T39</f>
        <v>12554</v>
      </c>
      <c r="L50" s="22">
        <f>'Pensiones'!U39</f>
        <v>14740</v>
      </c>
      <c r="M50" s="23">
        <f>SUM(F50:L50)</f>
        <v>100526</v>
      </c>
      <c r="N50" s="22">
        <f>SUMPRODUCT(('Ingresos'!$H$22:$H$26=B50)*'Ingresos'!$G$22:$G$26*(1+('Ingresos'!$E$22:$E$26="CRC")*N($F$8)+('Ingresos'!$E$22:$E$26&lt;&gt;"CRC")*$F$9)^(D50-1))</f>
        <v>0</v>
      </c>
      <c r="O50" s="22">
        <f>'Pensiones'!S39</f>
        <v>0</v>
      </c>
      <c r="P50" s="23">
        <f>SUM(N50:O50)</f>
        <v>0</v>
      </c>
      <c r="Q50" s="23">
        <f>M50+P50</f>
        <v>100526</v>
      </c>
      <c r="R50" s="22">
        <f>$W$7*12*(N($F$22)*(1+$F$9)^(D50-1)+(1-N($F$22))*(1+N($F$8))^(D50-1))*IF(D50&gt;$F$19,$F$18,1)</f>
        <v>141858</v>
      </c>
      <c r="S50" s="22">
        <f>SUMPRODUCT(('Gastos'!$H$14:$H$17&lt;=B50)*('Gastos'!$H$14:$H$17+'Gastos'!$I$14:$I$17&gt;B50)*'Gastos'!$G$14:$G$17*(1+('Gastos'!$E$14:$E$17="CRC")*N($F$8)+('Gastos'!$E$14:$E$17&lt;&gt;"CRC")*$F$9)^(D50-1))</f>
        <v>0</v>
      </c>
      <c r="T50" s="22">
        <f>$W$10*(1+IF($V$10="CRC",N($F$8),$F$9))^(D50-1)</f>
        <v>6448</v>
      </c>
      <c r="U50" s="22">
        <f>(IF(D50&lt;=$X$11,$W$11*12,0)+IF('Gastos'!$G$28="Sí",0,SUMPRODUCT(('Gastos'!$H$22:$H$26&gt;=B50)*'Gastos'!$G$22:$G$26)*12)+SUMPRODUCT(('Gastos'!$H$43:$H$45&lt;=B50)*('Gastos'!$H$43:$H$45+'Gastos'!$I$43:$I$45-1&gt;=B50)*'Gastos'!$K$43:$K$45))</f>
        <v>0</v>
      </c>
      <c r="V50" s="23">
        <f>SUM(R50:U50)</f>
        <v>148306</v>
      </c>
      <c r="W50" s="22">
        <f>SUMPRODUCT(('Gastos'!$I$33:$I$37=1)*('Gastos'!$H$33:$H$37=B50)*'Gastos'!$G$33:$G$37*(1+('Gastos'!$E$33:$E$37="CRC")*N($F$8)+('Gastos'!$E$33:$E$37&lt;&gt;"CRC")*$F$9)^(D50-1))+SUMPRODUCT(('Gastos'!$I$33:$I$37=2)*('Gastos'!$H$33:$H$37&lt;=B50)*'Gastos'!$G$33:$G$37*(1+('Gastos'!$E$33:$E$37="CRC")*N($F$8)+('Gastos'!$E$33:$E$37&lt;&gt;"CRC")*$F$9)^(D50-1))+SUMPRODUCT(('Retiros del portafolio'!$H$15:$H$18=B50)*'Retiros del portafolio'!$G$15:$G$18*(1+('Retiros del portafolio'!$E$15:$E$18="CRC")*N($F$8)+('Retiros del portafolio'!$E$15:$E$18&lt;&gt;"CRC")*$F$9)^(D50-1))</f>
        <v>12896</v>
      </c>
      <c r="X50" s="22">
        <f>SUMPRODUCT(('Retiros del portafolio'!$H$6:$H$9=B50)*'Retiros del portafolio'!$G$6:$G$9*(1+('Retiros del portafolio'!$E$6:$E$9="CRC")*N($F$8)+('Retiros del portafolio'!$E$6:$E$9&lt;&gt;"CRC")*$F$9)^(D50-1))</f>
        <v>0</v>
      </c>
      <c r="Y50" s="23">
        <f>W50+X50</f>
        <v>12896</v>
      </c>
      <c r="Z50" s="23">
        <f>V50+Y50</f>
        <v>161203</v>
      </c>
      <c r="AA50" s="23">
        <f>Q50-Z50</f>
        <v>-60677</v>
      </c>
      <c r="AB50" s="22">
        <f>SUMPRODUCT(('Desinversiones'!$H$6:$H$10=B50)*('Desinversiones'!$I$6:$I$10=1)*'Desinversiones'!$G$6:$G$10*(1+('Desinversiones'!$E$6:$E$10="CRC")*N($F$8)+('Desinversiones'!$E$6:$E$10&lt;&gt;"CRC")*$F$9)^(D50-1))</f>
        <v>0</v>
      </c>
      <c r="AC50" s="22">
        <f>SUMPRODUCT(('Desinversiones'!$H$6:$H$10=B50)*('Desinversiones'!$I$6:$I$10=2)*'Desinversiones'!$G$6:$G$10*(1+('Desinversiones'!$E$6:$E$10="CRC")*N($F$8)+('Desinversiones'!$E$6:$E$10&lt;&gt;"CRC")*$F$9)^(D50-1))</f>
        <v>0</v>
      </c>
      <c r="AD50" s="22">
        <f>SUMPRODUCT(('Desinversiones'!$H$6:$H$10=B50)*('Desinversiones'!$I$6:$I$10=3)*'Desinversiones'!$G$6:$G$10*(1+('Desinversiones'!$E$6:$E$10="CRC")*N($F$8)+('Desinversiones'!$E$6:$E$10&lt;&gt;"CRC")*$F$9)^(D50-1))</f>
        <v>0</v>
      </c>
      <c r="AE50" s="23">
        <f>SUM(AB50:AD50)</f>
        <v>0</v>
      </c>
      <c r="AF50" s="23">
        <f>AE50</f>
        <v>0</v>
      </c>
      <c r="AG50" s="22">
        <f>AJ49</f>
        <v>855748</v>
      </c>
      <c r="AH50" s="22">
        <f>AG50*$F$13</f>
        <v>50123</v>
      </c>
      <c r="AI50" s="23">
        <f>AA50+AF50</f>
        <v>-60677</v>
      </c>
      <c r="AJ50" s="23">
        <f>AG50+AH50+AI50+AM50</f>
        <v>845195</v>
      </c>
      <c r="AK50" s="22">
        <f>AJ50/(1+$F$9)^(D50-1+$F$24/12)</f>
        <v>389486</v>
      </c>
      <c r="AL50" s="24">
        <f>IF(AG50&lt;=0,0,MAX(0,-AI50)/AG50)</f>
        <v>0.07090479340265606</v>
      </c>
      <c r="AM50" s="22">
        <f>MAX(0,-(AG50+AH50+AI50))</f>
        <v>0</v>
      </c>
    </row>
    <row r="51">
      <c r="B51" s="25">
        <f>B50+1</f>
        <v>2047</v>
      </c>
      <c r="C51" s="25">
        <f>C50+1</f>
        <v>67</v>
      </c>
      <c r="D51" s="25">
        <f>D50+1</f>
        <v>22</v>
      </c>
      <c r="E51" s="26" t="str">
        <f>IF(D51&lt;=$F$19,"Acumulación","Retiro")</f>
        <v>Retiro</v>
      </c>
      <c r="F51" s="22">
        <f>IF(D51&lt;=$P$7,$N$7*12*(1+IF($M$7="CRC",N($F$8),$F$9))^(D51-1),0)</f>
        <v>0</v>
      </c>
      <c r="G51" s="22">
        <f>IF(D51&lt;=$P$8,$N$8*12*(1+IF($M$8="CRC",N($F$8),$F$9))^(D51-1),0)</f>
        <v>0</v>
      </c>
      <c r="H51" s="22">
        <f>IF(AND($N$9&gt;0,D51&gt;=$O$9,D51&lt;=$P$9),$N$9*12*(1+IF($M$9="CRC",N($F$8),$F$9))^(D51-1),0)</f>
        <v>29776</v>
      </c>
      <c r="I51" s="22">
        <f>SUMPRODUCT(('Ingresos'!$H$14:$H$17&gt;=B51)*'Ingresos'!$G$14:$G$17*(1+('Ingresos'!$E$14:$E$17="CRC")*N($F$8)+('Ingresos'!$E$14:$E$17&lt;&gt;"CRC")*$F$9)^(D51-1))*12</f>
        <v>0</v>
      </c>
      <c r="J51" s="22">
        <f>IF(AND($N$10&gt;0,D51&gt;=N($O$10)),$N$10*12*(1+IF($M$10="CRC",N($F$8),$F$9))^(N($O$10)-1)*(1+N($F$10))^(D51-N($O$10))*IF(D51=N($O$10),IF(AND(ISNUMBER($F$21),N($F$20)&gt;=$C$30),(12-$F$21)/12,1),1),0)</f>
        <v>45019</v>
      </c>
      <c r="K51" s="22">
        <f>'Pensiones'!T40</f>
        <v>12554</v>
      </c>
      <c r="L51" s="22">
        <f>'Pensiones'!U40</f>
        <v>14740</v>
      </c>
      <c r="M51" s="23">
        <f>SUM(F51:L51)</f>
        <v>102089</v>
      </c>
      <c r="N51" s="22">
        <f>SUMPRODUCT(('Ingresos'!$H$22:$H$26=B51)*'Ingresos'!$G$22:$G$26*(1+('Ingresos'!$E$22:$E$26="CRC")*N($F$8)+('Ingresos'!$E$22:$E$26&lt;&gt;"CRC")*$F$9)^(D51-1))</f>
        <v>0</v>
      </c>
      <c r="O51" s="22">
        <f>'Pensiones'!S40</f>
        <v>0</v>
      </c>
      <c r="P51" s="23">
        <f>SUM(N51:O51)</f>
        <v>0</v>
      </c>
      <c r="Q51" s="23">
        <f>M51+P51</f>
        <v>102089</v>
      </c>
      <c r="R51" s="22">
        <f>$W$7*12*(N($F$22)*(1+$F$9)^(D51-1)+(1-N($F$22))*(1+N($F$8))^(D51-1))*IF(D51&gt;$F$19,$F$18,1)</f>
        <v>147391</v>
      </c>
      <c r="S51" s="22">
        <f>SUMPRODUCT(('Gastos'!$H$14:$H$17&lt;=B51)*('Gastos'!$H$14:$H$17+'Gastos'!$I$14:$I$17&gt;B51)*'Gastos'!$G$14:$G$17*(1+('Gastos'!$E$14:$E$17="CRC")*N($F$8)+('Gastos'!$E$14:$E$17&lt;&gt;"CRC")*$F$9)^(D51-1))</f>
        <v>0</v>
      </c>
      <c r="T51" s="22">
        <f>$W$10*(1+IF($V$10="CRC",N($F$8),$F$9))^(D51-1)</f>
        <v>6700</v>
      </c>
      <c r="U51" s="22">
        <f>(IF(D51&lt;=$X$11,$W$11*12,0)+IF('Gastos'!$G$28="Sí",0,SUMPRODUCT(('Gastos'!$H$22:$H$26&gt;=B51)*'Gastos'!$G$22:$G$26)*12)+SUMPRODUCT(('Gastos'!$H$43:$H$45&lt;=B51)*('Gastos'!$H$43:$H$45+'Gastos'!$I$43:$I$45-1&gt;=B51)*'Gastos'!$K$43:$K$45))</f>
        <v>0</v>
      </c>
      <c r="V51" s="23">
        <f>SUM(R51:U51)</f>
        <v>154090</v>
      </c>
      <c r="W51" s="22">
        <f>SUMPRODUCT(('Gastos'!$I$33:$I$37=1)*('Gastos'!$H$33:$H$37=B51)*'Gastos'!$G$33:$G$37*(1+('Gastos'!$E$33:$E$37="CRC")*N($F$8)+('Gastos'!$E$33:$E$37&lt;&gt;"CRC")*$F$9)^(D51-1))+SUMPRODUCT(('Gastos'!$I$33:$I$37=2)*('Gastos'!$H$33:$H$37&lt;=B51)*'Gastos'!$G$33:$G$37*(1+('Gastos'!$E$33:$E$37="CRC")*N($F$8)+('Gastos'!$E$33:$E$37&lt;&gt;"CRC")*$F$9)^(D51-1))+SUMPRODUCT(('Retiros del portafolio'!$H$15:$H$18=B51)*'Retiros del portafolio'!$G$15:$G$18*(1+('Retiros del portafolio'!$E$15:$E$18="CRC")*N($F$8)+('Retiros del portafolio'!$E$15:$E$18&lt;&gt;"CRC")*$F$9)^(D51-1))</f>
        <v>13399</v>
      </c>
      <c r="X51" s="22">
        <f>SUMPRODUCT(('Retiros del portafolio'!$H$6:$H$9=B51)*'Retiros del portafolio'!$G$6:$G$9*(1+('Retiros del portafolio'!$E$6:$E$9="CRC")*N($F$8)+('Retiros del portafolio'!$E$6:$E$9&lt;&gt;"CRC")*$F$9)^(D51-1))</f>
        <v>0</v>
      </c>
      <c r="Y51" s="23">
        <f>W51+X51</f>
        <v>13399</v>
      </c>
      <c r="Z51" s="23">
        <f>V51+Y51</f>
        <v>167490</v>
      </c>
      <c r="AA51" s="23">
        <f>Q51-Z51</f>
        <v>-65400</v>
      </c>
      <c r="AB51" s="22">
        <f>SUMPRODUCT(('Desinversiones'!$H$6:$H$10=B51)*('Desinversiones'!$I$6:$I$10=1)*'Desinversiones'!$G$6:$G$10*(1+('Desinversiones'!$E$6:$E$10="CRC")*N($F$8)+('Desinversiones'!$E$6:$E$10&lt;&gt;"CRC")*$F$9)^(D51-1))</f>
        <v>0</v>
      </c>
      <c r="AC51" s="22">
        <f>SUMPRODUCT(('Desinversiones'!$H$6:$H$10=B51)*('Desinversiones'!$I$6:$I$10=2)*'Desinversiones'!$G$6:$G$10*(1+('Desinversiones'!$E$6:$E$10="CRC")*N($F$8)+('Desinversiones'!$E$6:$E$10&lt;&gt;"CRC")*$F$9)^(D51-1))</f>
        <v>0</v>
      </c>
      <c r="AD51" s="22">
        <f>SUMPRODUCT(('Desinversiones'!$H$6:$H$10=B51)*('Desinversiones'!$I$6:$I$10=3)*'Desinversiones'!$G$6:$G$10*(1+('Desinversiones'!$E$6:$E$10="CRC")*N($F$8)+('Desinversiones'!$E$6:$E$10&lt;&gt;"CRC")*$F$9)^(D51-1))</f>
        <v>0</v>
      </c>
      <c r="AE51" s="23">
        <f>SUM(AB51:AD51)</f>
        <v>0</v>
      </c>
      <c r="AF51" s="23">
        <f>AE51</f>
        <v>0</v>
      </c>
      <c r="AG51" s="22">
        <f>AJ50</f>
        <v>845195</v>
      </c>
      <c r="AH51" s="22">
        <f>AG51*$F$13</f>
        <v>49505</v>
      </c>
      <c r="AI51" s="23">
        <f>AA51+AF51</f>
        <v>-65400</v>
      </c>
      <c r="AJ51" s="23">
        <f>AG51+AH51+AI51+AM51</f>
        <v>829300</v>
      </c>
      <c r="AK51" s="22">
        <f>AJ51/(1+$F$9)^(D51-1+$F$24/12)</f>
        <v>367817</v>
      </c>
      <c r="AL51" s="24">
        <f>IF(AG51&lt;=0,0,MAX(0,-AI51)/AG51)</f>
        <v>0.07737877947907282</v>
      </c>
      <c r="AM51" s="22">
        <f>MAX(0,-(AG51+AH51+AI51))</f>
        <v>0</v>
      </c>
    </row>
    <row r="52">
      <c r="B52" s="25">
        <f>B51+1</f>
        <v>2048</v>
      </c>
      <c r="C52" s="25">
        <f>C51+1</f>
        <v>68</v>
      </c>
      <c r="D52" s="25">
        <f>D51+1</f>
        <v>23</v>
      </c>
      <c r="E52" s="26" t="str">
        <f>IF(D52&lt;=$F$19,"Acumulación","Retiro")</f>
        <v>Retiro</v>
      </c>
      <c r="F52" s="22">
        <f>IF(D52&lt;=$P$7,$N$7*12*(1+IF($M$7="CRC",N($F$8),$F$9))^(D52-1),0)</f>
        <v>0</v>
      </c>
      <c r="G52" s="22">
        <f>IF(D52&lt;=$P$8,$N$8*12*(1+IF($M$8="CRC",N($F$8),$F$9))^(D52-1),0)</f>
        <v>0</v>
      </c>
      <c r="H52" s="22">
        <f>IF(AND($N$9&gt;0,D52&gt;=$O$9,D52&lt;=$P$9),$N$9*12*(1+IF($M$9="CRC",N($F$8),$F$9))^(D52-1),0)</f>
        <v>30937</v>
      </c>
      <c r="I52" s="22">
        <f>SUMPRODUCT(('Ingresos'!$H$14:$H$17&gt;=B52)*'Ingresos'!$G$14:$G$17*(1+('Ingresos'!$E$14:$E$17="CRC")*N($F$8)+('Ingresos'!$E$14:$E$17&lt;&gt;"CRC")*$F$9)^(D52-1))*12</f>
        <v>0</v>
      </c>
      <c r="J52" s="22">
        <f>IF(AND($N$10&gt;0,D52&gt;=N($O$10)),$N$10*12*(1+IF($M$10="CRC",N($F$8),$F$9))^(N($O$10)-1)*(1+N($F$10))^(D52-N($O$10))*IF(D52=N($O$10),IF(AND(ISNUMBER($F$21),N($F$20)&gt;=$C$30),(12-$F$21)/12,1),1),0)</f>
        <v>45469</v>
      </c>
      <c r="K52" s="22">
        <f>'Pensiones'!T41</f>
        <v>12554</v>
      </c>
      <c r="L52" s="22">
        <f>'Pensiones'!U41</f>
        <v>14740</v>
      </c>
      <c r="M52" s="23">
        <f>SUM(F52:L52)</f>
        <v>103701</v>
      </c>
      <c r="N52" s="22">
        <f>SUMPRODUCT(('Ingresos'!$H$22:$H$26=B52)*'Ingresos'!$G$22:$G$26*(1+('Ingresos'!$E$22:$E$26="CRC")*N($F$8)+('Ingresos'!$E$22:$E$26&lt;&gt;"CRC")*$F$9)^(D52-1))</f>
        <v>0</v>
      </c>
      <c r="O52" s="22">
        <f>'Pensiones'!S41</f>
        <v>0</v>
      </c>
      <c r="P52" s="23">
        <f>SUM(N52:O52)</f>
        <v>0</v>
      </c>
      <c r="Q52" s="23">
        <f>M52+P52</f>
        <v>103701</v>
      </c>
      <c r="R52" s="22">
        <f>$W$7*12*(N($F$22)*(1+$F$9)^(D52-1)+(1-N($F$22))*(1+N($F$8))^(D52-1))*IF(D52&gt;$F$19,$F$18,1)</f>
        <v>153139</v>
      </c>
      <c r="S52" s="22">
        <f>SUMPRODUCT(('Gastos'!$H$14:$H$17&lt;=B52)*('Gastos'!$H$14:$H$17+'Gastos'!$I$14:$I$17&gt;B52)*'Gastos'!$G$14:$G$17*(1+('Gastos'!$E$14:$E$17="CRC")*N($F$8)+('Gastos'!$E$14:$E$17&lt;&gt;"CRC")*$F$9)^(D52-1))</f>
        <v>0</v>
      </c>
      <c r="T52" s="22">
        <f>$W$10*(1+IF($V$10="CRC",N($F$8),$F$9))^(D52-1)</f>
        <v>6961</v>
      </c>
      <c r="U52" s="22">
        <f>(IF(D52&lt;=$X$11,$W$11*12,0)+IF('Gastos'!$G$28="Sí",0,SUMPRODUCT(('Gastos'!$H$22:$H$26&gt;=B52)*'Gastos'!$G$22:$G$26)*12)+SUMPRODUCT(('Gastos'!$H$43:$H$45&lt;=B52)*('Gastos'!$H$43:$H$45+'Gastos'!$I$43:$I$45-1&gt;=B52)*'Gastos'!$K$43:$K$45))</f>
        <v>0</v>
      </c>
      <c r="V52" s="23">
        <f>SUM(R52:U52)</f>
        <v>160100</v>
      </c>
      <c r="W52" s="22">
        <f>SUMPRODUCT(('Gastos'!$I$33:$I$37=1)*('Gastos'!$H$33:$H$37=B52)*'Gastos'!$G$33:$G$37*(1+('Gastos'!$E$33:$E$37="CRC")*N($F$8)+('Gastos'!$E$33:$E$37&lt;&gt;"CRC")*$F$9)^(D52-1))+SUMPRODUCT(('Gastos'!$I$33:$I$37=2)*('Gastos'!$H$33:$H$37&lt;=B52)*'Gastos'!$G$33:$G$37*(1+('Gastos'!$E$33:$E$37="CRC")*N($F$8)+('Gastos'!$E$33:$E$37&lt;&gt;"CRC")*$F$9)^(D52-1))+SUMPRODUCT(('Retiros del portafolio'!$H$15:$H$18=B52)*'Retiros del portafolio'!$G$15:$G$18*(1+('Retiros del portafolio'!$E$15:$E$18="CRC")*N($F$8)+('Retiros del portafolio'!$E$15:$E$18&lt;&gt;"CRC")*$F$9)^(D52-1))</f>
        <v>13922</v>
      </c>
      <c r="X52" s="22">
        <f>SUMPRODUCT(('Retiros del portafolio'!$H$6:$H$9=B52)*'Retiros del portafolio'!$G$6:$G$9*(1+('Retiros del portafolio'!$E$6:$E$9="CRC")*N($F$8)+('Retiros del portafolio'!$E$6:$E$9&lt;&gt;"CRC")*$F$9)^(D52-1))</f>
        <v>0</v>
      </c>
      <c r="Y52" s="23">
        <f>W52+X52</f>
        <v>13922</v>
      </c>
      <c r="Z52" s="23">
        <f>V52+Y52</f>
        <v>174022</v>
      </c>
      <c r="AA52" s="23">
        <f>Q52-Z52</f>
        <v>-70321</v>
      </c>
      <c r="AB52" s="22">
        <f>SUMPRODUCT(('Desinversiones'!$H$6:$H$10=B52)*('Desinversiones'!$I$6:$I$10=1)*'Desinversiones'!$G$6:$G$10*(1+('Desinversiones'!$E$6:$E$10="CRC")*N($F$8)+('Desinversiones'!$E$6:$E$10&lt;&gt;"CRC")*$F$9)^(D52-1))</f>
        <v>0</v>
      </c>
      <c r="AC52" s="22">
        <f>SUMPRODUCT(('Desinversiones'!$H$6:$H$10=B52)*('Desinversiones'!$I$6:$I$10=2)*'Desinversiones'!$G$6:$G$10*(1+('Desinversiones'!$E$6:$E$10="CRC")*N($F$8)+('Desinversiones'!$E$6:$E$10&lt;&gt;"CRC")*$F$9)^(D52-1))</f>
        <v>0</v>
      </c>
      <c r="AD52" s="22">
        <f>SUMPRODUCT(('Desinversiones'!$H$6:$H$10=B52)*('Desinversiones'!$I$6:$I$10=3)*'Desinversiones'!$G$6:$G$10*(1+('Desinversiones'!$E$6:$E$10="CRC")*N($F$8)+('Desinversiones'!$E$6:$E$10&lt;&gt;"CRC")*$F$9)^(D52-1))</f>
        <v>0</v>
      </c>
      <c r="AE52" s="23">
        <f>SUM(AB52:AD52)</f>
        <v>0</v>
      </c>
      <c r="AF52" s="23">
        <f>AE52</f>
        <v>0</v>
      </c>
      <c r="AG52" s="22">
        <f>AJ51</f>
        <v>829300</v>
      </c>
      <c r="AH52" s="22">
        <f>AG52*$F$13</f>
        <v>48574</v>
      </c>
      <c r="AI52" s="23">
        <f>AA52+AF52</f>
        <v>-70321</v>
      </c>
      <c r="AJ52" s="23">
        <f>AG52+AH52+AI52+AM52</f>
        <v>807553</v>
      </c>
      <c r="AK52" s="22">
        <f>AJ52/(1+$F$9)^(D52-1+$F$24/12)</f>
        <v>344727</v>
      </c>
      <c r="AL52" s="24">
        <f>IF(AG52&lt;=0,0,MAX(0,-AI52)/AG52)</f>
        <v>0.08479536509591394</v>
      </c>
      <c r="AM52" s="22">
        <f>MAX(0,-(AG52+AH52+AI52))</f>
        <v>0</v>
      </c>
    </row>
    <row r="53">
      <c r="B53" s="25">
        <f>B52+1</f>
        <v>2049</v>
      </c>
      <c r="C53" s="25">
        <f>C52+1</f>
        <v>69</v>
      </c>
      <c r="D53" s="25">
        <f>D52+1</f>
        <v>24</v>
      </c>
      <c r="E53" s="26" t="str">
        <f>IF(D53&lt;=$F$19,"Acumulación","Retiro")</f>
        <v>Retiro</v>
      </c>
      <c r="F53" s="22">
        <f>IF(D53&lt;=$P$7,$N$7*12*(1+IF($M$7="CRC",N($F$8),$F$9))^(D53-1),0)</f>
        <v>0</v>
      </c>
      <c r="G53" s="22">
        <f>IF(D53&lt;=$P$8,$N$8*12*(1+IF($M$8="CRC",N($F$8),$F$9))^(D53-1),0)</f>
        <v>0</v>
      </c>
      <c r="H53" s="22">
        <f>IF(AND($N$9&gt;0,D53&gt;=$O$9,D53&lt;=$P$9),$N$9*12*(1+IF($M$9="CRC",N($F$8),$F$9))^(D53-1),0)</f>
        <v>32144</v>
      </c>
      <c r="I53" s="22">
        <f>SUMPRODUCT(('Ingresos'!$H$14:$H$17&gt;=B53)*'Ingresos'!$G$14:$G$17*(1+('Ingresos'!$E$14:$E$17="CRC")*N($F$8)+('Ingresos'!$E$14:$E$17&lt;&gt;"CRC")*$F$9)^(D53-1))*12</f>
        <v>0</v>
      </c>
      <c r="J53" s="22">
        <f>IF(AND($N$10&gt;0,D53&gt;=N($O$10)),$N$10*12*(1+IF($M$10="CRC",N($F$8),$F$9))^(N($O$10)-1)*(1+N($F$10))^(D53-N($O$10))*IF(D53=N($O$10),IF(AND(ISNUMBER($F$21),N($F$20)&gt;=$C$30),(12-$F$21)/12,1),1),0)</f>
        <v>45924</v>
      </c>
      <c r="K53" s="22">
        <f>'Pensiones'!T42</f>
        <v>12554</v>
      </c>
      <c r="L53" s="22">
        <f>'Pensiones'!U42</f>
        <v>14740</v>
      </c>
      <c r="M53" s="23">
        <f>SUM(F53:L53)</f>
        <v>105362</v>
      </c>
      <c r="N53" s="22">
        <f>SUMPRODUCT(('Ingresos'!$H$22:$H$26=B53)*'Ingresos'!$G$22:$G$26*(1+('Ingresos'!$E$22:$E$26="CRC")*N($F$8)+('Ingresos'!$E$22:$E$26&lt;&gt;"CRC")*$F$9)^(D53-1))</f>
        <v>0</v>
      </c>
      <c r="O53" s="22">
        <f>'Pensiones'!S42</f>
        <v>0</v>
      </c>
      <c r="P53" s="23">
        <f>SUM(N53:O53)</f>
        <v>0</v>
      </c>
      <c r="Q53" s="23">
        <f>M53+P53</f>
        <v>105362</v>
      </c>
      <c r="R53" s="22">
        <f>$W$7*12*(N($F$22)*(1+$F$9)^(D53-1)+(1-N($F$22))*(1+N($F$8))^(D53-1))*IF(D53&gt;$F$19,$F$18,1)</f>
        <v>159111</v>
      </c>
      <c r="S53" s="22">
        <f>SUMPRODUCT(('Gastos'!$H$14:$H$17&lt;=B53)*('Gastos'!$H$14:$H$17+'Gastos'!$I$14:$I$17&gt;B53)*'Gastos'!$G$14:$G$17*(1+('Gastos'!$E$14:$E$17="CRC")*N($F$8)+('Gastos'!$E$14:$E$17&lt;&gt;"CRC")*$F$9)^(D53-1))</f>
        <v>0</v>
      </c>
      <c r="T53" s="22">
        <f>$W$10*(1+IF($V$10="CRC",N($F$8),$F$9))^(D53-1)</f>
        <v>7232</v>
      </c>
      <c r="U53" s="22">
        <f>(IF(D53&lt;=$X$11,$W$11*12,0)+IF('Gastos'!$G$28="Sí",0,SUMPRODUCT(('Gastos'!$H$22:$H$26&gt;=B53)*'Gastos'!$G$22:$G$26)*12)+SUMPRODUCT(('Gastos'!$H$43:$H$45&lt;=B53)*('Gastos'!$H$43:$H$45+'Gastos'!$I$43:$I$45-1&gt;=B53)*'Gastos'!$K$43:$K$45))</f>
        <v>0</v>
      </c>
      <c r="V53" s="23">
        <f>SUM(R53:U53)</f>
        <v>166344</v>
      </c>
      <c r="W53" s="22">
        <f>SUMPRODUCT(('Gastos'!$I$33:$I$37=1)*('Gastos'!$H$33:$H$37=B53)*'Gastos'!$G$33:$G$37*(1+('Gastos'!$E$33:$E$37="CRC")*N($F$8)+('Gastos'!$E$33:$E$37&lt;&gt;"CRC")*$F$9)^(D53-1))+SUMPRODUCT(('Gastos'!$I$33:$I$37=2)*('Gastos'!$H$33:$H$37&lt;=B53)*'Gastos'!$G$33:$G$37*(1+('Gastos'!$E$33:$E$37="CRC")*N($F$8)+('Gastos'!$E$33:$E$37&lt;&gt;"CRC")*$F$9)^(D53-1))+SUMPRODUCT(('Retiros del portafolio'!$H$15:$H$18=B53)*'Retiros del portafolio'!$G$15:$G$18*(1+('Retiros del portafolio'!$E$15:$E$18="CRC")*N($F$8)+('Retiros del portafolio'!$E$15:$E$18&lt;&gt;"CRC")*$F$9)^(D53-1))</f>
        <v>14465</v>
      </c>
      <c r="X53" s="22">
        <f>SUMPRODUCT(('Retiros del portafolio'!$H$6:$H$9=B53)*'Retiros del portafolio'!$G$6:$G$9*(1+('Retiros del portafolio'!$E$6:$E$9="CRC")*N($F$8)+('Retiros del portafolio'!$E$6:$E$9&lt;&gt;"CRC")*$F$9)^(D53-1))</f>
        <v>0</v>
      </c>
      <c r="Y53" s="23">
        <f>W53+X53</f>
        <v>14465</v>
      </c>
      <c r="Z53" s="23">
        <f>V53+Y53</f>
        <v>180809</v>
      </c>
      <c r="AA53" s="23">
        <f>Q53-Z53</f>
        <v>-75446</v>
      </c>
      <c r="AB53" s="22">
        <f>SUMPRODUCT(('Desinversiones'!$H$6:$H$10=B53)*('Desinversiones'!$I$6:$I$10=1)*'Desinversiones'!$G$6:$G$10*(1+('Desinversiones'!$E$6:$E$10="CRC")*N($F$8)+('Desinversiones'!$E$6:$E$10&lt;&gt;"CRC")*$F$9)^(D53-1))</f>
        <v>0</v>
      </c>
      <c r="AC53" s="22">
        <f>SUMPRODUCT(('Desinversiones'!$H$6:$H$10=B53)*('Desinversiones'!$I$6:$I$10=2)*'Desinversiones'!$G$6:$G$10*(1+('Desinversiones'!$E$6:$E$10="CRC")*N($F$8)+('Desinversiones'!$E$6:$E$10&lt;&gt;"CRC")*$F$9)^(D53-1))</f>
        <v>0</v>
      </c>
      <c r="AD53" s="22">
        <f>SUMPRODUCT(('Desinversiones'!$H$6:$H$10=B53)*('Desinversiones'!$I$6:$I$10=3)*'Desinversiones'!$G$6:$G$10*(1+('Desinversiones'!$E$6:$E$10="CRC")*N($F$8)+('Desinversiones'!$E$6:$E$10&lt;&gt;"CRC")*$F$9)^(D53-1))</f>
        <v>0</v>
      </c>
      <c r="AE53" s="23">
        <f>SUM(AB53:AD53)</f>
        <v>0</v>
      </c>
      <c r="AF53" s="23">
        <f>AE53</f>
        <v>0</v>
      </c>
      <c r="AG53" s="22">
        <f>AJ52</f>
        <v>807553</v>
      </c>
      <c r="AH53" s="22">
        <f>AG53*$F$13</f>
        <v>47300</v>
      </c>
      <c r="AI53" s="23">
        <f>AA53+AF53</f>
        <v>-75446</v>
      </c>
      <c r="AJ53" s="23">
        <f>AG53+AH53+AI53+AM53</f>
        <v>779407</v>
      </c>
      <c r="AK53" s="22">
        <f>AJ53/(1+$F$9)^(D53-1+$F$24/12)</f>
        <v>320223</v>
      </c>
      <c r="AL53" s="24">
        <f>IF(AG53&lt;=0,0,MAX(0,-AI53)/AG53)</f>
        <v>0.0934258956946972</v>
      </c>
      <c r="AM53" s="22">
        <f>MAX(0,-(AG53+AH53+AI53))</f>
        <v>0</v>
      </c>
    </row>
    <row r="54">
      <c r="B54" s="25">
        <f>B53+1</f>
        <v>2050</v>
      </c>
      <c r="C54" s="25">
        <f>C53+1</f>
        <v>70</v>
      </c>
      <c r="D54" s="25">
        <f>D53+1</f>
        <v>25</v>
      </c>
      <c r="E54" s="26" t="str">
        <f>IF(D54&lt;=$F$19,"Acumulación","Retiro")</f>
        <v>Retiro</v>
      </c>
      <c r="F54" s="22">
        <f>IF(D54&lt;=$P$7,$N$7*12*(1+IF($M$7="CRC",N($F$8),$F$9))^(D54-1),0)</f>
        <v>0</v>
      </c>
      <c r="G54" s="22">
        <f>IF(D54&lt;=$P$8,$N$8*12*(1+IF($M$8="CRC",N($F$8),$F$9))^(D54-1),0)</f>
        <v>0</v>
      </c>
      <c r="H54" s="22">
        <f>IF(AND($N$9&gt;0,D54&gt;=$O$9,D54&lt;=$P$9),$N$9*12*(1+IF($M$9="CRC",N($F$8),$F$9))^(D54-1),0)</f>
        <v>33397</v>
      </c>
      <c r="I54" s="22">
        <f>SUMPRODUCT(('Ingresos'!$H$14:$H$17&gt;=B54)*'Ingresos'!$G$14:$G$17*(1+('Ingresos'!$E$14:$E$17="CRC")*N($F$8)+('Ingresos'!$E$14:$E$17&lt;&gt;"CRC")*$F$9)^(D54-1))*12</f>
        <v>0</v>
      </c>
      <c r="J54" s="22">
        <f>IF(AND($N$10&gt;0,D54&gt;=N($O$10)),$N$10*12*(1+IF($M$10="CRC",N($F$8),$F$9))^(N($O$10)-1)*(1+N($F$10))^(D54-N($O$10))*IF(D54=N($O$10),IF(AND(ISNUMBER($F$21),N($F$20)&gt;=$C$30),(12-$F$21)/12,1),1),0)</f>
        <v>46383</v>
      </c>
      <c r="K54" s="22">
        <f>'Pensiones'!T43</f>
        <v>12554</v>
      </c>
      <c r="L54" s="22">
        <f>'Pensiones'!U43</f>
        <v>14740</v>
      </c>
      <c r="M54" s="23">
        <f>SUM(F54:L54)</f>
        <v>107075</v>
      </c>
      <c r="N54" s="22">
        <f>SUMPRODUCT(('Ingresos'!$H$22:$H$26=B54)*'Ingresos'!$G$22:$G$26*(1+('Ingresos'!$E$22:$E$26="CRC")*N($F$8)+('Ingresos'!$E$22:$E$26&lt;&gt;"CRC")*$F$9)^(D54-1))</f>
        <v>0</v>
      </c>
      <c r="O54" s="22">
        <f>'Pensiones'!S43</f>
        <v>0</v>
      </c>
      <c r="P54" s="23">
        <f>SUM(N54:O54)</f>
        <v>0</v>
      </c>
      <c r="Q54" s="23">
        <f>M54+P54</f>
        <v>107075</v>
      </c>
      <c r="R54" s="22">
        <f>$W$7*12*(N($F$22)*(1+$F$9)^(D54-1)+(1-N($F$22))*(1+N($F$8))^(D54-1))*IF(D54&gt;$F$19,$F$18,1)</f>
        <v>165317</v>
      </c>
      <c r="S54" s="22">
        <f>SUMPRODUCT(('Gastos'!$H$14:$H$17&lt;=B54)*('Gastos'!$H$14:$H$17+'Gastos'!$I$14:$I$17&gt;B54)*'Gastos'!$G$14:$G$17*(1+('Gastos'!$E$14:$E$17="CRC")*N($F$8)+('Gastos'!$E$14:$E$17&lt;&gt;"CRC")*$F$9)^(D54-1))</f>
        <v>0</v>
      </c>
      <c r="T54" s="22">
        <f>$W$10*(1+IF($V$10="CRC",N($F$8),$F$9))^(D54-1)</f>
        <v>7514</v>
      </c>
      <c r="U54" s="22">
        <f>(IF(D54&lt;=$X$11,$W$11*12,0)+IF('Gastos'!$G$28="Sí",0,SUMPRODUCT(('Gastos'!$H$22:$H$26&gt;=B54)*'Gastos'!$G$22:$G$26)*12)+SUMPRODUCT(('Gastos'!$H$43:$H$45&lt;=B54)*('Gastos'!$H$43:$H$45+'Gastos'!$I$43:$I$45-1&gt;=B54)*'Gastos'!$K$43:$K$45))</f>
        <v>0</v>
      </c>
      <c r="V54" s="23">
        <f>SUM(R54:U54)</f>
        <v>172831</v>
      </c>
      <c r="W54" s="22">
        <f>SUMPRODUCT(('Gastos'!$I$33:$I$37=1)*('Gastos'!$H$33:$H$37=B54)*'Gastos'!$G$33:$G$37*(1+('Gastos'!$E$33:$E$37="CRC")*N($F$8)+('Gastos'!$E$33:$E$37&lt;&gt;"CRC")*$F$9)^(D54-1))+SUMPRODUCT(('Gastos'!$I$33:$I$37=2)*('Gastos'!$H$33:$H$37&lt;=B54)*'Gastos'!$G$33:$G$37*(1+('Gastos'!$E$33:$E$37="CRC")*N($F$8)+('Gastos'!$E$33:$E$37&lt;&gt;"CRC")*$F$9)^(D54-1))+SUMPRODUCT(('Retiros del portafolio'!$H$15:$H$18=B54)*'Retiros del portafolio'!$G$15:$G$18*(1+('Retiros del portafolio'!$E$15:$E$18="CRC")*N($F$8)+('Retiros del portafolio'!$E$15:$E$18&lt;&gt;"CRC")*$F$9)^(D54-1))</f>
        <v>15029</v>
      </c>
      <c r="X54" s="22">
        <f>SUMPRODUCT(('Retiros del portafolio'!$H$6:$H$9=B54)*'Retiros del portafolio'!$G$6:$G$9*(1+('Retiros del portafolio'!$E$6:$E$9="CRC")*N($F$8)+('Retiros del portafolio'!$E$6:$E$9&lt;&gt;"CRC")*$F$9)^(D54-1))</f>
        <v>0</v>
      </c>
      <c r="Y54" s="23">
        <f>W54+X54</f>
        <v>15029</v>
      </c>
      <c r="Z54" s="23">
        <f>V54+Y54</f>
        <v>187860</v>
      </c>
      <c r="AA54" s="23">
        <f>Q54-Z54</f>
        <v>-80785</v>
      </c>
      <c r="AB54" s="22">
        <f>SUMPRODUCT(('Desinversiones'!$H$6:$H$10=B54)*('Desinversiones'!$I$6:$I$10=1)*'Desinversiones'!$G$6:$G$10*(1+('Desinversiones'!$E$6:$E$10="CRC")*N($F$8)+('Desinversiones'!$E$6:$E$10&lt;&gt;"CRC")*$F$9)^(D54-1))</f>
        <v>0</v>
      </c>
      <c r="AC54" s="22">
        <f>SUMPRODUCT(('Desinversiones'!$H$6:$H$10=B54)*('Desinversiones'!$I$6:$I$10=2)*'Desinversiones'!$G$6:$G$10*(1+('Desinversiones'!$E$6:$E$10="CRC")*N($F$8)+('Desinversiones'!$E$6:$E$10&lt;&gt;"CRC")*$F$9)^(D54-1))</f>
        <v>0</v>
      </c>
      <c r="AD54" s="22">
        <f>SUMPRODUCT(('Desinversiones'!$H$6:$H$10=B54)*('Desinversiones'!$I$6:$I$10=3)*'Desinversiones'!$G$6:$G$10*(1+('Desinversiones'!$E$6:$E$10="CRC")*N($F$8)+('Desinversiones'!$E$6:$E$10&lt;&gt;"CRC")*$F$9)^(D54-1))</f>
        <v>0</v>
      </c>
      <c r="AE54" s="23">
        <f>SUM(AB54:AD54)</f>
        <v>0</v>
      </c>
      <c r="AF54" s="23">
        <f>AE54</f>
        <v>0</v>
      </c>
      <c r="AG54" s="22">
        <f>AJ53</f>
        <v>779407</v>
      </c>
      <c r="AH54" s="22">
        <f>AG54*$F$13</f>
        <v>45652</v>
      </c>
      <c r="AI54" s="23">
        <f>AA54+AF54</f>
        <v>-80785</v>
      </c>
      <c r="AJ54" s="23">
        <f>AG54+AH54+AI54+AM54</f>
        <v>744274</v>
      </c>
      <c r="AK54" s="22">
        <f>AJ54/(1+$F$9)^(D54-1+$F$24/12)</f>
        <v>294311</v>
      </c>
      <c r="AL54" s="24">
        <f>IF(AG54&lt;=0,0,MAX(0,-AI54)/AG54)</f>
        <v>0.10364936686013218</v>
      </c>
      <c r="AM54" s="22">
        <f>MAX(0,-(AG54+AH54+AI54))</f>
        <v>0</v>
      </c>
    </row>
    <row r="55">
      <c r="B55" s="25">
        <f>B54+1</f>
        <v>2051</v>
      </c>
      <c r="C55" s="25">
        <f>C54+1</f>
        <v>71</v>
      </c>
      <c r="D55" s="25">
        <f>D54+1</f>
        <v>26</v>
      </c>
      <c r="E55" s="26" t="str">
        <f>IF(D55&lt;=$F$19,"Acumulación","Retiro")</f>
        <v>Retiro</v>
      </c>
      <c r="F55" s="22">
        <f>IF(D55&lt;=$P$7,$N$7*12*(1+IF($M$7="CRC",N($F$8),$F$9))^(D55-1),0)</f>
        <v>0</v>
      </c>
      <c r="G55" s="22">
        <f>IF(D55&lt;=$P$8,$N$8*12*(1+IF($M$8="CRC",N($F$8),$F$9))^(D55-1),0)</f>
        <v>0</v>
      </c>
      <c r="H55" s="22">
        <f>IF(AND($N$9&gt;0,D55&gt;=$O$9,D55&lt;=$P$9),$N$9*12*(1+IF($M$9="CRC",N($F$8),$F$9))^(D55-1),0)</f>
        <v>34700</v>
      </c>
      <c r="I55" s="22">
        <f>SUMPRODUCT(('Ingresos'!$H$14:$H$17&gt;=B55)*'Ingresos'!$G$14:$G$17*(1+('Ingresos'!$E$14:$E$17="CRC")*N($F$8)+('Ingresos'!$E$14:$E$17&lt;&gt;"CRC")*$F$9)^(D55-1))*12</f>
        <v>0</v>
      </c>
      <c r="J55" s="22">
        <f>IF(AND($N$10&gt;0,D55&gt;=N($O$10)),$N$10*12*(1+IF($M$10="CRC",N($F$8),$F$9))^(N($O$10)-1)*(1+N($F$10))^(D55-N($O$10))*IF(D55=N($O$10),IF(AND(ISNUMBER($F$21),N($F$20)&gt;=$C$30),(12-$F$21)/12,1),1),0)</f>
        <v>46847</v>
      </c>
      <c r="K55" s="22">
        <f>'Pensiones'!T44</f>
        <v>12554</v>
      </c>
      <c r="L55" s="22">
        <f>'Pensiones'!U44</f>
        <v>14740</v>
      </c>
      <c r="M55" s="23">
        <f>SUM(F55:L55)</f>
        <v>108841</v>
      </c>
      <c r="N55" s="22">
        <f>SUMPRODUCT(('Ingresos'!$H$22:$H$26=B55)*'Ingresos'!$G$22:$G$26*(1+('Ingresos'!$E$22:$E$26="CRC")*N($F$8)+('Ingresos'!$E$22:$E$26&lt;&gt;"CRC")*$F$9)^(D55-1))</f>
        <v>0</v>
      </c>
      <c r="O55" s="22">
        <f>'Pensiones'!S44</f>
        <v>0</v>
      </c>
      <c r="P55" s="23">
        <f>SUM(N55:O55)</f>
        <v>0</v>
      </c>
      <c r="Q55" s="23">
        <f>M55+P55</f>
        <v>108841</v>
      </c>
      <c r="R55" s="22">
        <f>$W$7*12*(N($F$22)*(1+$F$9)^(D55-1)+(1-N($F$22))*(1+N($F$8))^(D55-1))*IF(D55&gt;$F$19,$F$18,1)</f>
        <v>171764</v>
      </c>
      <c r="S55" s="22">
        <f>SUMPRODUCT(('Gastos'!$H$14:$H$17&lt;=B55)*('Gastos'!$H$14:$H$17+'Gastos'!$I$14:$I$17&gt;B55)*'Gastos'!$G$14:$G$17*(1+('Gastos'!$E$14:$E$17="CRC")*N($F$8)+('Gastos'!$E$14:$E$17&lt;&gt;"CRC")*$F$9)^(D55-1))</f>
        <v>0</v>
      </c>
      <c r="T55" s="22">
        <f>$W$10*(1+IF($V$10="CRC",N($F$8),$F$9))^(D55-1)</f>
        <v>7807</v>
      </c>
      <c r="U55" s="22">
        <f>(IF(D55&lt;=$X$11,$W$11*12,0)+IF('Gastos'!$G$28="Sí",0,SUMPRODUCT(('Gastos'!$H$22:$H$26&gt;=B55)*'Gastos'!$G$22:$G$26)*12)+SUMPRODUCT(('Gastos'!$H$43:$H$45&lt;=B55)*('Gastos'!$H$43:$H$45+'Gastos'!$I$43:$I$45-1&gt;=B55)*'Gastos'!$K$43:$K$45))</f>
        <v>0</v>
      </c>
      <c r="V55" s="23">
        <f>SUM(R55:U55)</f>
        <v>179572</v>
      </c>
      <c r="W55" s="22">
        <f>SUMPRODUCT(('Gastos'!$I$33:$I$37=1)*('Gastos'!$H$33:$H$37=B55)*'Gastos'!$G$33:$G$37*(1+('Gastos'!$E$33:$E$37="CRC")*N($F$8)+('Gastos'!$E$33:$E$37&lt;&gt;"CRC")*$F$9)^(D55-1))+SUMPRODUCT(('Gastos'!$I$33:$I$37=2)*('Gastos'!$H$33:$H$37&lt;=B55)*'Gastos'!$G$33:$G$37*(1+('Gastos'!$E$33:$E$37="CRC")*N($F$8)+('Gastos'!$E$33:$E$37&lt;&gt;"CRC")*$F$9)^(D55-1))+SUMPRODUCT(('Retiros del portafolio'!$H$15:$H$18=B55)*'Retiros del portafolio'!$G$15:$G$18*(1+('Retiros del portafolio'!$E$15:$E$18="CRC")*N($F$8)+('Retiros del portafolio'!$E$15:$E$18&lt;&gt;"CRC")*$F$9)^(D55-1))</f>
        <v>15615</v>
      </c>
      <c r="X55" s="22">
        <f>SUMPRODUCT(('Retiros del portafolio'!$H$6:$H$9=B55)*'Retiros del portafolio'!$G$6:$G$9*(1+('Retiros del portafolio'!$E$6:$E$9="CRC")*N($F$8)+('Retiros del portafolio'!$E$6:$E$9&lt;&gt;"CRC")*$F$9)^(D55-1))</f>
        <v>0</v>
      </c>
      <c r="Y55" s="23">
        <f>W55+X55</f>
        <v>15615</v>
      </c>
      <c r="Z55" s="23">
        <f>V55+Y55</f>
        <v>195187</v>
      </c>
      <c r="AA55" s="23">
        <f>Q55-Z55</f>
        <v>-86345</v>
      </c>
      <c r="AB55" s="22">
        <f>SUMPRODUCT(('Desinversiones'!$H$6:$H$10=B55)*('Desinversiones'!$I$6:$I$10=1)*'Desinversiones'!$G$6:$G$10*(1+('Desinversiones'!$E$6:$E$10="CRC")*N($F$8)+('Desinversiones'!$E$6:$E$10&lt;&gt;"CRC")*$F$9)^(D55-1))</f>
        <v>0</v>
      </c>
      <c r="AC55" s="22">
        <f>SUMPRODUCT(('Desinversiones'!$H$6:$H$10=B55)*('Desinversiones'!$I$6:$I$10=2)*'Desinversiones'!$G$6:$G$10*(1+('Desinversiones'!$E$6:$E$10="CRC")*N($F$8)+('Desinversiones'!$E$6:$E$10&lt;&gt;"CRC")*$F$9)^(D55-1))</f>
        <v>0</v>
      </c>
      <c r="AD55" s="22">
        <f>SUMPRODUCT(('Desinversiones'!$H$6:$H$10=B55)*('Desinversiones'!$I$6:$I$10=3)*'Desinversiones'!$G$6:$G$10*(1+('Desinversiones'!$E$6:$E$10="CRC")*N($F$8)+('Desinversiones'!$E$6:$E$10&lt;&gt;"CRC")*$F$9)^(D55-1))</f>
        <v>0</v>
      </c>
      <c r="AE55" s="23">
        <f>SUM(AB55:AD55)</f>
        <v>0</v>
      </c>
      <c r="AF55" s="23">
        <f>AE55</f>
        <v>0</v>
      </c>
      <c r="AG55" s="22">
        <f>AJ54</f>
        <v>744274</v>
      </c>
      <c r="AH55" s="22">
        <f>AG55*$F$13</f>
        <v>43594</v>
      </c>
      <c r="AI55" s="23">
        <f>AA55+AF55</f>
        <v>-86345</v>
      </c>
      <c r="AJ55" s="23">
        <f>AG55+AH55+AI55+AM55</f>
        <v>701523</v>
      </c>
      <c r="AK55" s="22">
        <f>AJ55/(1+$F$9)^(D55-1+$F$24/12)</f>
        <v>266993</v>
      </c>
      <c r="AL55" s="24">
        <f>IF(AG55&lt;=0,0,MAX(0,-AI55)/AG55)</f>
        <v>0.11601275609533196</v>
      </c>
      <c r="AM55" s="22">
        <f>MAX(0,-(AG55+AH55+AI55))</f>
        <v>0</v>
      </c>
    </row>
    <row r="56">
      <c r="B56" s="25">
        <f>B55+1</f>
        <v>2052</v>
      </c>
      <c r="C56" s="25">
        <f>C55+1</f>
        <v>72</v>
      </c>
      <c r="D56" s="25">
        <f>D55+1</f>
        <v>27</v>
      </c>
      <c r="E56" s="26" t="str">
        <f>IF(D56&lt;=$F$19,"Acumulación","Retiro")</f>
        <v>Retiro</v>
      </c>
      <c r="F56" s="22">
        <f>IF(D56&lt;=$P$7,$N$7*12*(1+IF($M$7="CRC",N($F$8),$F$9))^(D56-1),0)</f>
        <v>0</v>
      </c>
      <c r="G56" s="22">
        <f>IF(D56&lt;=$P$8,$N$8*12*(1+IF($M$8="CRC",N($F$8),$F$9))^(D56-1),0)</f>
        <v>0</v>
      </c>
      <c r="H56" s="22">
        <f>IF(AND($N$9&gt;0,D56&gt;=$O$9,D56&lt;=$P$9),$N$9*12*(1+IF($M$9="CRC",N($F$8),$F$9))^(D56-1),0)</f>
        <v>36053</v>
      </c>
      <c r="I56" s="22">
        <f>SUMPRODUCT(('Ingresos'!$H$14:$H$17&gt;=B56)*'Ingresos'!$G$14:$G$17*(1+('Ingresos'!$E$14:$E$17="CRC")*N($F$8)+('Ingresos'!$E$14:$E$17&lt;&gt;"CRC")*$F$9)^(D56-1))*12</f>
        <v>0</v>
      </c>
      <c r="J56" s="22">
        <f>IF(AND($N$10&gt;0,D56&gt;=N($O$10)),$N$10*12*(1+IF($M$10="CRC",N($F$8),$F$9))^(N($O$10)-1)*(1+N($F$10))^(D56-N($O$10))*IF(D56=N($O$10),IF(AND(ISNUMBER($F$21),N($F$20)&gt;=$C$30),(12-$F$21)/12,1),1),0)</f>
        <v>47316</v>
      </c>
      <c r="K56" s="22">
        <f>'Pensiones'!T45</f>
        <v>12554</v>
      </c>
      <c r="L56" s="22">
        <f>'Pensiones'!U45</f>
        <v>14740</v>
      </c>
      <c r="M56" s="23">
        <f>SUM(F56:L56)</f>
        <v>110663</v>
      </c>
      <c r="N56" s="22">
        <f>SUMPRODUCT(('Ingresos'!$H$22:$H$26=B56)*'Ingresos'!$G$22:$G$26*(1+('Ingresos'!$E$22:$E$26="CRC")*N($F$8)+('Ingresos'!$E$22:$E$26&lt;&gt;"CRC")*$F$9)^(D56-1))</f>
        <v>0</v>
      </c>
      <c r="O56" s="22">
        <f>'Pensiones'!S45</f>
        <v>0</v>
      </c>
      <c r="P56" s="23">
        <f>SUM(N56:O56)</f>
        <v>0</v>
      </c>
      <c r="Q56" s="23">
        <f>M56+P56</f>
        <v>110663</v>
      </c>
      <c r="R56" s="22">
        <f>$W$7*12*(N($F$22)*(1+$F$9)^(D56-1)+(1-N($F$22))*(1+N($F$8))^(D56-1))*IF(D56&gt;$F$19,$F$18,1)</f>
        <v>178463</v>
      </c>
      <c r="S56" s="22">
        <f>SUMPRODUCT(('Gastos'!$H$14:$H$17&lt;=B56)*('Gastos'!$H$14:$H$17+'Gastos'!$I$14:$I$17&gt;B56)*'Gastos'!$G$14:$G$17*(1+('Gastos'!$E$14:$E$17="CRC")*N($F$8)+('Gastos'!$E$14:$E$17&lt;&gt;"CRC")*$F$9)^(D56-1))</f>
        <v>0</v>
      </c>
      <c r="T56" s="22">
        <f>$W$10*(1+IF($V$10="CRC",N($F$8),$F$9))^(D56-1)</f>
        <v>8112</v>
      </c>
      <c r="U56" s="22">
        <f>(IF(D56&lt;=$X$11,$W$11*12,0)+IF('Gastos'!$G$28="Sí",0,SUMPRODUCT(('Gastos'!$H$22:$H$26&gt;=B56)*'Gastos'!$G$22:$G$26)*12)+SUMPRODUCT(('Gastos'!$H$43:$H$45&lt;=B56)*('Gastos'!$H$43:$H$45+'Gastos'!$I$43:$I$45-1&gt;=B56)*'Gastos'!$K$43:$K$45))</f>
        <v>0</v>
      </c>
      <c r="V56" s="23">
        <f>SUM(R56:U56)</f>
        <v>186575</v>
      </c>
      <c r="W56" s="22">
        <f>SUMPRODUCT(('Gastos'!$I$33:$I$37=1)*('Gastos'!$H$33:$H$37=B56)*'Gastos'!$G$33:$G$37*(1+('Gastos'!$E$33:$E$37="CRC")*N($F$8)+('Gastos'!$E$33:$E$37&lt;&gt;"CRC")*$F$9)^(D56-1))+SUMPRODUCT(('Gastos'!$I$33:$I$37=2)*('Gastos'!$H$33:$H$37&lt;=B56)*'Gastos'!$G$33:$G$37*(1+('Gastos'!$E$33:$E$37="CRC")*N($F$8)+('Gastos'!$E$33:$E$37&lt;&gt;"CRC")*$F$9)^(D56-1))+SUMPRODUCT(('Retiros del portafolio'!$H$15:$H$18=B56)*'Retiros del portafolio'!$G$15:$G$18*(1+('Retiros del portafolio'!$E$15:$E$18="CRC")*N($F$8)+('Retiros del portafolio'!$E$15:$E$18&lt;&gt;"CRC")*$F$9)^(D56-1))</f>
        <v>16224</v>
      </c>
      <c r="X56" s="22">
        <f>SUMPRODUCT(('Retiros del portafolio'!$H$6:$H$9=B56)*'Retiros del portafolio'!$G$6:$G$9*(1+('Retiros del portafolio'!$E$6:$E$9="CRC")*N($F$8)+('Retiros del portafolio'!$E$6:$E$9&lt;&gt;"CRC")*$F$9)^(D56-1))</f>
        <v>0</v>
      </c>
      <c r="Y56" s="23">
        <f>W56+X56</f>
        <v>16224</v>
      </c>
      <c r="Z56" s="23">
        <f>V56+Y56</f>
        <v>202799</v>
      </c>
      <c r="AA56" s="23">
        <f>Q56-Z56</f>
        <v>-92136</v>
      </c>
      <c r="AB56" s="22">
        <f>SUMPRODUCT(('Desinversiones'!$H$6:$H$10=B56)*('Desinversiones'!$I$6:$I$10=1)*'Desinversiones'!$G$6:$G$10*(1+('Desinversiones'!$E$6:$E$10="CRC")*N($F$8)+('Desinversiones'!$E$6:$E$10&lt;&gt;"CRC")*$F$9)^(D56-1))</f>
        <v>0</v>
      </c>
      <c r="AC56" s="22">
        <f>SUMPRODUCT(('Desinversiones'!$H$6:$H$10=B56)*('Desinversiones'!$I$6:$I$10=2)*'Desinversiones'!$G$6:$G$10*(1+('Desinversiones'!$E$6:$E$10="CRC")*N($F$8)+('Desinversiones'!$E$6:$E$10&lt;&gt;"CRC")*$F$9)^(D56-1))</f>
        <v>0</v>
      </c>
      <c r="AD56" s="22">
        <f>SUMPRODUCT(('Desinversiones'!$H$6:$H$10=B56)*('Desinversiones'!$I$6:$I$10=3)*'Desinversiones'!$G$6:$G$10*(1+('Desinversiones'!$E$6:$E$10="CRC")*N($F$8)+('Desinversiones'!$E$6:$E$10&lt;&gt;"CRC")*$F$9)^(D56-1))</f>
        <v>0</v>
      </c>
      <c r="AE56" s="23">
        <f>SUM(AB56:AD56)</f>
        <v>0</v>
      </c>
      <c r="AF56" s="23">
        <f>AE56</f>
        <v>0</v>
      </c>
      <c r="AG56" s="22">
        <f>AJ55</f>
        <v>701523</v>
      </c>
      <c r="AH56" s="22">
        <f>AG56*$F$13</f>
        <v>41090</v>
      </c>
      <c r="AI56" s="23">
        <f>AA56+AF56</f>
        <v>-92136</v>
      </c>
      <c r="AJ56" s="23">
        <f>AG56+AH56+AI56+AM56</f>
        <v>650477</v>
      </c>
      <c r="AK56" s="22">
        <f>AJ56/(1+$F$9)^(D56-1+$F$24/12)</f>
        <v>238272</v>
      </c>
      <c r="AL56" s="24">
        <f>IF(AG56&lt;=0,0,MAX(0,-AI56)/AG56)</f>
        <v>0.13133685831944425</v>
      </c>
      <c r="AM56" s="22">
        <f>MAX(0,-(AG56+AH56+AI56))</f>
        <v>0</v>
      </c>
    </row>
    <row r="57">
      <c r="B57" s="25">
        <f>B56+1</f>
        <v>2053</v>
      </c>
      <c r="C57" s="25">
        <f>C56+1</f>
        <v>73</v>
      </c>
      <c r="D57" s="25">
        <f>D56+1</f>
        <v>28</v>
      </c>
      <c r="E57" s="26" t="str">
        <f>IF(D57&lt;=$F$19,"Acumulación","Retiro")</f>
        <v>Retiro</v>
      </c>
      <c r="F57" s="22">
        <f>IF(D57&lt;=$P$7,$N$7*12*(1+IF($M$7="CRC",N($F$8),$F$9))^(D57-1),0)</f>
        <v>0</v>
      </c>
      <c r="G57" s="22">
        <f>IF(D57&lt;=$P$8,$N$8*12*(1+IF($M$8="CRC",N($F$8),$F$9))^(D57-1),0)</f>
        <v>0</v>
      </c>
      <c r="H57" s="22">
        <f>IF(AND($N$9&gt;0,D57&gt;=$O$9,D57&lt;=$P$9),$N$9*12*(1+IF($M$9="CRC",N($F$8),$F$9))^(D57-1),0)</f>
        <v>37459</v>
      </c>
      <c r="I57" s="22">
        <f>SUMPRODUCT(('Ingresos'!$H$14:$H$17&gt;=B57)*'Ingresos'!$G$14:$G$17*(1+('Ingresos'!$E$14:$E$17="CRC")*N($F$8)+('Ingresos'!$E$14:$E$17&lt;&gt;"CRC")*$F$9)^(D57-1))*12</f>
        <v>0</v>
      </c>
      <c r="J57" s="22">
        <f>IF(AND($N$10&gt;0,D57&gt;=N($O$10)),$N$10*12*(1+IF($M$10="CRC",N($F$8),$F$9))^(N($O$10)-1)*(1+N($F$10))^(D57-N($O$10))*IF(D57=N($O$10),IF(AND(ISNUMBER($F$21),N($F$20)&gt;=$C$30),(12-$F$21)/12,1),1),0)</f>
        <v>47789</v>
      </c>
      <c r="K57" s="22">
        <f>'Pensiones'!T46</f>
        <v>12554</v>
      </c>
      <c r="L57" s="22">
        <f>'Pensiones'!U46</f>
        <v>14740</v>
      </c>
      <c r="M57" s="23">
        <f>SUM(F57:L57)</f>
        <v>112542</v>
      </c>
      <c r="N57" s="22">
        <f>SUMPRODUCT(('Ingresos'!$H$22:$H$26=B57)*'Ingresos'!$G$22:$G$26*(1+('Ingresos'!$E$22:$E$26="CRC")*N($F$8)+('Ingresos'!$E$22:$E$26&lt;&gt;"CRC")*$F$9)^(D57-1))</f>
        <v>0</v>
      </c>
      <c r="O57" s="22">
        <f>'Pensiones'!S46</f>
        <v>0</v>
      </c>
      <c r="P57" s="23">
        <f>SUM(N57:O57)</f>
        <v>0</v>
      </c>
      <c r="Q57" s="23">
        <f>M57+P57</f>
        <v>112542</v>
      </c>
      <c r="R57" s="22">
        <f>$W$7*12*(N($F$22)*(1+$F$9)^(D57-1)+(1-N($F$22))*(1+N($F$8))^(D57-1))*IF(D57&gt;$F$19,$F$18,1)</f>
        <v>185423</v>
      </c>
      <c r="S57" s="22">
        <f>SUMPRODUCT(('Gastos'!$H$14:$H$17&lt;=B57)*('Gastos'!$H$14:$H$17+'Gastos'!$I$14:$I$17&gt;B57)*'Gastos'!$G$14:$G$17*(1+('Gastos'!$E$14:$E$17="CRC")*N($F$8)+('Gastos'!$E$14:$E$17&lt;&gt;"CRC")*$F$9)^(D57-1))</f>
        <v>0</v>
      </c>
      <c r="T57" s="22">
        <f>$W$10*(1+IF($V$10="CRC",N($F$8),$F$9))^(D57-1)</f>
        <v>8428</v>
      </c>
      <c r="U57" s="22">
        <f>(IF(D57&lt;=$X$11,$W$11*12,0)+IF('Gastos'!$G$28="Sí",0,SUMPRODUCT(('Gastos'!$H$22:$H$26&gt;=B57)*'Gastos'!$G$22:$G$26)*12)+SUMPRODUCT(('Gastos'!$H$43:$H$45&lt;=B57)*('Gastos'!$H$43:$H$45+'Gastos'!$I$43:$I$45-1&gt;=B57)*'Gastos'!$K$43:$K$45))</f>
        <v>0</v>
      </c>
      <c r="V57" s="23">
        <f>SUM(R57:U57)</f>
        <v>193851</v>
      </c>
      <c r="W57" s="22">
        <f>SUMPRODUCT(('Gastos'!$I$33:$I$37=1)*('Gastos'!$H$33:$H$37=B57)*'Gastos'!$G$33:$G$37*(1+('Gastos'!$E$33:$E$37="CRC")*N($F$8)+('Gastos'!$E$33:$E$37&lt;&gt;"CRC")*$F$9)^(D57-1))+SUMPRODUCT(('Gastos'!$I$33:$I$37=2)*('Gastos'!$H$33:$H$37&lt;=B57)*'Gastos'!$G$33:$G$37*(1+('Gastos'!$E$33:$E$37="CRC")*N($F$8)+('Gastos'!$E$33:$E$37&lt;&gt;"CRC")*$F$9)^(D57-1))+SUMPRODUCT(('Retiros del portafolio'!$H$15:$H$18=B57)*'Retiros del portafolio'!$G$15:$G$18*(1+('Retiros del portafolio'!$E$15:$E$18="CRC")*N($F$8)+('Retiros del portafolio'!$E$15:$E$18&lt;&gt;"CRC")*$F$9)^(D57-1))</f>
        <v>16857</v>
      </c>
      <c r="X57" s="22">
        <f>SUMPRODUCT(('Retiros del portafolio'!$H$6:$H$9=B57)*'Retiros del portafolio'!$G$6:$G$9*(1+('Retiros del portafolio'!$E$6:$E$9="CRC")*N($F$8)+('Retiros del portafolio'!$E$6:$E$9&lt;&gt;"CRC")*$F$9)^(D57-1))</f>
        <v>0</v>
      </c>
      <c r="Y57" s="23">
        <f>W57+X57</f>
        <v>16857</v>
      </c>
      <c r="Z57" s="23">
        <f>V57+Y57</f>
        <v>210708</v>
      </c>
      <c r="AA57" s="23">
        <f>Q57-Z57</f>
        <v>-98166</v>
      </c>
      <c r="AB57" s="22">
        <f>SUMPRODUCT(('Desinversiones'!$H$6:$H$10=B57)*('Desinversiones'!$I$6:$I$10=1)*'Desinversiones'!$G$6:$G$10*(1+('Desinversiones'!$E$6:$E$10="CRC")*N($F$8)+('Desinversiones'!$E$6:$E$10&lt;&gt;"CRC")*$F$9)^(D57-1))</f>
        <v>0</v>
      </c>
      <c r="AC57" s="22">
        <f>SUMPRODUCT(('Desinversiones'!$H$6:$H$10=B57)*('Desinversiones'!$I$6:$I$10=2)*'Desinversiones'!$G$6:$G$10*(1+('Desinversiones'!$E$6:$E$10="CRC")*N($F$8)+('Desinversiones'!$E$6:$E$10&lt;&gt;"CRC")*$F$9)^(D57-1))</f>
        <v>0</v>
      </c>
      <c r="AD57" s="22">
        <f>SUMPRODUCT(('Desinversiones'!$H$6:$H$10=B57)*('Desinversiones'!$I$6:$I$10=3)*'Desinversiones'!$G$6:$G$10*(1+('Desinversiones'!$E$6:$E$10="CRC")*N($F$8)+('Desinversiones'!$E$6:$E$10&lt;&gt;"CRC")*$F$9)^(D57-1))</f>
        <v>0</v>
      </c>
      <c r="AE57" s="23">
        <f>SUM(AB57:AD57)</f>
        <v>0</v>
      </c>
      <c r="AF57" s="23">
        <f>AE57</f>
        <v>0</v>
      </c>
      <c r="AG57" s="22">
        <f>AJ56</f>
        <v>650477</v>
      </c>
      <c r="AH57" s="22">
        <f>AG57*$F$13</f>
        <v>38100</v>
      </c>
      <c r="AI57" s="23">
        <f>AA57+AF57</f>
        <v>-98166</v>
      </c>
      <c r="AJ57" s="23">
        <f>AG57+AH57+AI57+AM57</f>
        <v>590411</v>
      </c>
      <c r="AK57" s="22">
        <f>AJ57/(1+$F$9)^(D57-1+$F$24/12)</f>
        <v>208152</v>
      </c>
      <c r="AL57" s="24">
        <f>IF(AG57&lt;=0,0,MAX(0,-AI57)/AG57)</f>
        <v>0.150913462407139</v>
      </c>
      <c r="AM57" s="22">
        <f>MAX(0,-(AG57+AH57+AI57))</f>
        <v>0</v>
      </c>
    </row>
    <row r="58">
      <c r="B58" s="25">
        <f>B57+1</f>
        <v>2054</v>
      </c>
      <c r="C58" s="25">
        <f>C57+1</f>
        <v>74</v>
      </c>
      <c r="D58" s="25">
        <f>D57+1</f>
        <v>29</v>
      </c>
      <c r="E58" s="26" t="str">
        <f>IF(D58&lt;=$F$19,"Acumulación","Retiro")</f>
        <v>Retiro</v>
      </c>
      <c r="F58" s="22">
        <f>IF(D58&lt;=$P$7,$N$7*12*(1+IF($M$7="CRC",N($F$8),$F$9))^(D58-1),0)</f>
        <v>0</v>
      </c>
      <c r="G58" s="22">
        <f>IF(D58&lt;=$P$8,$N$8*12*(1+IF($M$8="CRC",N($F$8),$F$9))^(D58-1),0)</f>
        <v>0</v>
      </c>
      <c r="H58" s="22">
        <f>IF(AND($N$9&gt;0,D58&gt;=$O$9,D58&lt;=$P$9),$N$9*12*(1+IF($M$9="CRC",N($F$8),$F$9))^(D58-1),0)</f>
        <v>38920</v>
      </c>
      <c r="I58" s="22">
        <f>SUMPRODUCT(('Ingresos'!$H$14:$H$17&gt;=B58)*'Ingresos'!$G$14:$G$17*(1+('Ingresos'!$E$14:$E$17="CRC")*N($F$8)+('Ingresos'!$E$14:$E$17&lt;&gt;"CRC")*$F$9)^(D58-1))*12</f>
        <v>0</v>
      </c>
      <c r="J58" s="22">
        <f>IF(AND($N$10&gt;0,D58&gt;=N($O$10)),$N$10*12*(1+IF($M$10="CRC",N($F$8),$F$9))^(N($O$10)-1)*(1+N($F$10))^(D58-N($O$10))*IF(D58=N($O$10),IF(AND(ISNUMBER($F$21),N($F$20)&gt;=$C$30),(12-$F$21)/12,1),1),0)</f>
        <v>48267</v>
      </c>
      <c r="K58" s="22">
        <f>'Pensiones'!T47</f>
        <v>12554</v>
      </c>
      <c r="L58" s="22">
        <f>'Pensiones'!U47</f>
        <v>14740</v>
      </c>
      <c r="M58" s="23">
        <f>SUM(F58:L58)</f>
        <v>114481</v>
      </c>
      <c r="N58" s="22">
        <f>SUMPRODUCT(('Ingresos'!$H$22:$H$26=B58)*'Ingresos'!$G$22:$G$26*(1+('Ingresos'!$E$22:$E$26="CRC")*N($F$8)+('Ingresos'!$E$22:$E$26&lt;&gt;"CRC")*$F$9)^(D58-1))</f>
        <v>0</v>
      </c>
      <c r="O58" s="22">
        <f>'Pensiones'!S47</f>
        <v>0</v>
      </c>
      <c r="P58" s="23">
        <f>SUM(N58:O58)</f>
        <v>0</v>
      </c>
      <c r="Q58" s="23">
        <f>M58+P58</f>
        <v>114481</v>
      </c>
      <c r="R58" s="22">
        <f>$W$7*12*(N($F$22)*(1+$F$9)^(D58-1)+(1-N($F$22))*(1+N($F$8))^(D58-1))*IF(D58&gt;$F$19,$F$18,1)</f>
        <v>192655</v>
      </c>
      <c r="S58" s="22">
        <f>SUMPRODUCT(('Gastos'!$H$14:$H$17&lt;=B58)*('Gastos'!$H$14:$H$17+'Gastos'!$I$14:$I$17&gt;B58)*'Gastos'!$G$14:$G$17*(1+('Gastos'!$E$14:$E$17="CRC")*N($F$8)+('Gastos'!$E$14:$E$17&lt;&gt;"CRC")*$F$9)^(D58-1))</f>
        <v>0</v>
      </c>
      <c r="T58" s="22">
        <f>$W$10*(1+IF($V$10="CRC",N($F$8),$F$9))^(D58-1)</f>
        <v>8757</v>
      </c>
      <c r="U58" s="22">
        <f>(IF(D58&lt;=$X$11,$W$11*12,0)+IF('Gastos'!$G$28="Sí",0,SUMPRODUCT(('Gastos'!$H$22:$H$26&gt;=B58)*'Gastos'!$G$22:$G$26)*12)+SUMPRODUCT(('Gastos'!$H$43:$H$45&lt;=B58)*('Gastos'!$H$43:$H$45+'Gastos'!$I$43:$I$45-1&gt;=B58)*'Gastos'!$K$43:$K$45))</f>
        <v>0</v>
      </c>
      <c r="V58" s="23">
        <f>SUM(R58:U58)</f>
        <v>201412</v>
      </c>
      <c r="W58" s="22">
        <f>SUMPRODUCT(('Gastos'!$I$33:$I$37=1)*('Gastos'!$H$33:$H$37=B58)*'Gastos'!$G$33:$G$37*(1+('Gastos'!$E$33:$E$37="CRC")*N($F$8)+('Gastos'!$E$33:$E$37&lt;&gt;"CRC")*$F$9)^(D58-1))+SUMPRODUCT(('Gastos'!$I$33:$I$37=2)*('Gastos'!$H$33:$H$37&lt;=B58)*'Gastos'!$G$33:$G$37*(1+('Gastos'!$E$33:$E$37="CRC")*N($F$8)+('Gastos'!$E$33:$E$37&lt;&gt;"CRC")*$F$9)^(D58-1))+SUMPRODUCT(('Retiros del portafolio'!$H$15:$H$18=B58)*'Retiros del portafolio'!$G$15:$G$18*(1+('Retiros del portafolio'!$E$15:$E$18="CRC")*N($F$8)+('Retiros del portafolio'!$E$15:$E$18&lt;&gt;"CRC")*$F$9)^(D58-1))</f>
        <v>17514</v>
      </c>
      <c r="X58" s="22">
        <f>SUMPRODUCT(('Retiros del portafolio'!$H$6:$H$9=B58)*'Retiros del portafolio'!$G$6:$G$9*(1+('Retiros del portafolio'!$E$6:$E$9="CRC")*N($F$8)+('Retiros del portafolio'!$E$6:$E$9&lt;&gt;"CRC")*$F$9)^(D58-1))</f>
        <v>0</v>
      </c>
      <c r="Y58" s="23">
        <f>W58+X58</f>
        <v>17514</v>
      </c>
      <c r="Z58" s="23">
        <f>V58+Y58</f>
        <v>218926</v>
      </c>
      <c r="AA58" s="23">
        <f>Q58-Z58</f>
        <v>-104445</v>
      </c>
      <c r="AB58" s="22">
        <f>SUMPRODUCT(('Desinversiones'!$H$6:$H$10=B58)*('Desinversiones'!$I$6:$I$10=1)*'Desinversiones'!$G$6:$G$10*(1+('Desinversiones'!$E$6:$E$10="CRC")*N($F$8)+('Desinversiones'!$E$6:$E$10&lt;&gt;"CRC")*$F$9)^(D58-1))</f>
        <v>0</v>
      </c>
      <c r="AC58" s="22">
        <f>SUMPRODUCT(('Desinversiones'!$H$6:$H$10=B58)*('Desinversiones'!$I$6:$I$10=2)*'Desinversiones'!$G$6:$G$10*(1+('Desinversiones'!$E$6:$E$10="CRC")*N($F$8)+('Desinversiones'!$E$6:$E$10&lt;&gt;"CRC")*$F$9)^(D58-1))</f>
        <v>0</v>
      </c>
      <c r="AD58" s="22">
        <f>SUMPRODUCT(('Desinversiones'!$H$6:$H$10=B58)*('Desinversiones'!$I$6:$I$10=3)*'Desinversiones'!$G$6:$G$10*(1+('Desinversiones'!$E$6:$E$10="CRC")*N($F$8)+('Desinversiones'!$E$6:$E$10&lt;&gt;"CRC")*$F$9)^(D58-1))</f>
        <v>0</v>
      </c>
      <c r="AE58" s="23">
        <f>SUM(AB58:AD58)</f>
        <v>0</v>
      </c>
      <c r="AF58" s="23">
        <f>AE58</f>
        <v>0</v>
      </c>
      <c r="AG58" s="22">
        <f>AJ57</f>
        <v>590411</v>
      </c>
      <c r="AH58" s="22">
        <f>AG58*$F$13</f>
        <v>34582</v>
      </c>
      <c r="AI58" s="23">
        <f>AA58+AF58</f>
        <v>-104445</v>
      </c>
      <c r="AJ58" s="23">
        <f>AG58+AH58+AI58+AM58</f>
        <v>520549</v>
      </c>
      <c r="AK58" s="22">
        <f>AJ58/(1+$F$9)^(D58-1+$F$24/12)</f>
        <v>176633</v>
      </c>
      <c r="AL58" s="24">
        <f>IF(AG58&lt;=0,0,MAX(0,-AI58)/AG58)</f>
        <v>0.17690133600315253</v>
      </c>
      <c r="AM58" s="22">
        <f>MAX(0,-(AG58+AH58+AI58))</f>
        <v>0</v>
      </c>
    </row>
    <row r="59">
      <c r="B59" s="25">
        <f>B58+1</f>
        <v>2055</v>
      </c>
      <c r="C59" s="25">
        <f>C58+1</f>
        <v>75</v>
      </c>
      <c r="D59" s="25">
        <f>D58+1</f>
        <v>30</v>
      </c>
      <c r="E59" s="26" t="str">
        <f>IF(D59&lt;=$F$19,"Acumulación","Retiro")</f>
        <v>Retiro</v>
      </c>
      <c r="F59" s="22">
        <f>IF(D59&lt;=$P$7,$N$7*12*(1+IF($M$7="CRC",N($F$8),$F$9))^(D59-1),0)</f>
        <v>0</v>
      </c>
      <c r="G59" s="22">
        <f>IF(D59&lt;=$P$8,$N$8*12*(1+IF($M$8="CRC",N($F$8),$F$9))^(D59-1),0)</f>
        <v>0</v>
      </c>
      <c r="H59" s="22">
        <f>IF(AND($N$9&gt;0,D59&gt;=$O$9,D59&lt;=$P$9),$N$9*12*(1+IF($M$9="CRC",N($F$8),$F$9))^(D59-1),0)</f>
        <v>40438</v>
      </c>
      <c r="I59" s="22">
        <f>SUMPRODUCT(('Ingresos'!$H$14:$H$17&gt;=B59)*'Ingresos'!$G$14:$G$17*(1+('Ingresos'!$E$14:$E$17="CRC")*N($F$8)+('Ingresos'!$E$14:$E$17&lt;&gt;"CRC")*$F$9)^(D59-1))*12</f>
        <v>0</v>
      </c>
      <c r="J59" s="22">
        <f>IF(AND($N$10&gt;0,D59&gt;=N($O$10)),$N$10*12*(1+IF($M$10="CRC",N($F$8),$F$9))^(N($O$10)-1)*(1+N($F$10))^(D59-N($O$10))*IF(D59=N($O$10),IF(AND(ISNUMBER($F$21),N($F$20)&gt;=$C$30),(12-$F$21)/12,1),1),0)</f>
        <v>48749</v>
      </c>
      <c r="K59" s="22">
        <f>'Pensiones'!T48</f>
        <v>12554</v>
      </c>
      <c r="L59" s="22">
        <f>'Pensiones'!U48</f>
        <v>14740</v>
      </c>
      <c r="M59" s="23">
        <f>SUM(F59:L59)</f>
        <v>116482</v>
      </c>
      <c r="N59" s="22">
        <f>SUMPRODUCT(('Ingresos'!$H$22:$H$26=B59)*'Ingresos'!$G$22:$G$26*(1+('Ingresos'!$E$22:$E$26="CRC")*N($F$8)+('Ingresos'!$E$22:$E$26&lt;&gt;"CRC")*$F$9)^(D59-1))</f>
        <v>0</v>
      </c>
      <c r="O59" s="22">
        <f>'Pensiones'!S48</f>
        <v>0</v>
      </c>
      <c r="P59" s="23">
        <f>SUM(N59:O59)</f>
        <v>0</v>
      </c>
      <c r="Q59" s="23">
        <f>M59+P59</f>
        <v>116482</v>
      </c>
      <c r="R59" s="22">
        <f>$W$7*12*(N($F$22)*(1+$F$9)^(D59-1)+(1-N($F$22))*(1+N($F$8))^(D59-1))*IF(D59&gt;$F$19,$F$18,1)</f>
        <v>200168</v>
      </c>
      <c r="S59" s="22">
        <f>SUMPRODUCT(('Gastos'!$H$14:$H$17&lt;=B59)*('Gastos'!$H$14:$H$17+'Gastos'!$I$14:$I$17&gt;B59)*'Gastos'!$G$14:$G$17*(1+('Gastos'!$E$14:$E$17="CRC")*N($F$8)+('Gastos'!$E$14:$E$17&lt;&gt;"CRC")*$F$9)^(D59-1))</f>
        <v>0</v>
      </c>
      <c r="T59" s="22">
        <f>$W$10*(1+IF($V$10="CRC",N($F$8),$F$9))^(D59-1)</f>
        <v>9099</v>
      </c>
      <c r="U59" s="22">
        <f>(IF(D59&lt;=$X$11,$W$11*12,0)+IF('Gastos'!$G$28="Sí",0,SUMPRODUCT(('Gastos'!$H$22:$H$26&gt;=B59)*'Gastos'!$G$22:$G$26)*12)+SUMPRODUCT(('Gastos'!$H$43:$H$45&lt;=B59)*('Gastos'!$H$43:$H$45+'Gastos'!$I$43:$I$45-1&gt;=B59)*'Gastos'!$K$43:$K$45))</f>
        <v>0</v>
      </c>
      <c r="V59" s="23">
        <f>SUM(R59:U59)</f>
        <v>209267</v>
      </c>
      <c r="W59" s="22">
        <f>SUMPRODUCT(('Gastos'!$I$33:$I$37=1)*('Gastos'!$H$33:$H$37=B59)*'Gastos'!$G$33:$G$37*(1+('Gastos'!$E$33:$E$37="CRC")*N($F$8)+('Gastos'!$E$33:$E$37&lt;&gt;"CRC")*$F$9)^(D59-1))+SUMPRODUCT(('Gastos'!$I$33:$I$37=2)*('Gastos'!$H$33:$H$37&lt;=B59)*'Gastos'!$G$33:$G$37*(1+('Gastos'!$E$33:$E$37="CRC")*N($F$8)+('Gastos'!$E$33:$E$37&lt;&gt;"CRC")*$F$9)^(D59-1))+SUMPRODUCT(('Retiros del portafolio'!$H$15:$H$18=B59)*'Retiros del portafolio'!$G$15:$G$18*(1+('Retiros del portafolio'!$E$15:$E$18="CRC")*N($F$8)+('Retiros del portafolio'!$E$15:$E$18&lt;&gt;"CRC")*$F$9)^(D59-1))</f>
        <v>18197</v>
      </c>
      <c r="X59" s="22">
        <f>SUMPRODUCT(('Retiros del portafolio'!$H$6:$H$9=B59)*'Retiros del portafolio'!$G$6:$G$9*(1+('Retiros del portafolio'!$E$6:$E$9="CRC")*N($F$8)+('Retiros del portafolio'!$E$6:$E$9&lt;&gt;"CRC")*$F$9)^(D59-1))</f>
        <v>0</v>
      </c>
      <c r="Y59" s="23">
        <f>W59+X59</f>
        <v>18197</v>
      </c>
      <c r="Z59" s="23">
        <f>V59+Y59</f>
        <v>227464</v>
      </c>
      <c r="AA59" s="23">
        <f>Q59-Z59</f>
        <v>-110982</v>
      </c>
      <c r="AB59" s="22">
        <f>SUMPRODUCT(('Desinversiones'!$H$6:$H$10=B59)*('Desinversiones'!$I$6:$I$10=1)*'Desinversiones'!$G$6:$G$10*(1+('Desinversiones'!$E$6:$E$10="CRC")*N($F$8)+('Desinversiones'!$E$6:$E$10&lt;&gt;"CRC")*$F$9)^(D59-1))</f>
        <v>0</v>
      </c>
      <c r="AC59" s="22">
        <f>SUMPRODUCT(('Desinversiones'!$H$6:$H$10=B59)*('Desinversiones'!$I$6:$I$10=2)*'Desinversiones'!$G$6:$G$10*(1+('Desinversiones'!$E$6:$E$10="CRC")*N($F$8)+('Desinversiones'!$E$6:$E$10&lt;&gt;"CRC")*$F$9)^(D59-1))</f>
        <v>0</v>
      </c>
      <c r="AD59" s="22">
        <f>SUMPRODUCT(('Desinversiones'!$H$6:$H$10=B59)*('Desinversiones'!$I$6:$I$10=3)*'Desinversiones'!$G$6:$G$10*(1+('Desinversiones'!$E$6:$E$10="CRC")*N($F$8)+('Desinversiones'!$E$6:$E$10&lt;&gt;"CRC")*$F$9)^(D59-1))</f>
        <v>0</v>
      </c>
      <c r="AE59" s="23">
        <f>SUM(AB59:AD59)</f>
        <v>0</v>
      </c>
      <c r="AF59" s="23">
        <f>AE59</f>
        <v>0</v>
      </c>
      <c r="AG59" s="22">
        <f>AJ58</f>
        <v>520549</v>
      </c>
      <c r="AH59" s="22">
        <f>AG59*$F$13</f>
        <v>30490</v>
      </c>
      <c r="AI59" s="23">
        <f>AA59+AF59</f>
        <v>-110982</v>
      </c>
      <c r="AJ59" s="23">
        <f>AG59+AH59+AI59+AM59</f>
        <v>440056</v>
      </c>
      <c r="AK59" s="22">
        <f>AJ59/(1+$F$9)^(D59-1+$F$24/12)</f>
        <v>143715</v>
      </c>
      <c r="AL59" s="24">
        <f>IF(AG59&lt;=0,0,MAX(0,-AI59)/AG59)</f>
        <v>0.21320217275328826</v>
      </c>
      <c r="AM59" s="22">
        <f>MAX(0,-(AG59+AH59+AI59))</f>
        <v>0</v>
      </c>
    </row>
    <row r="60">
      <c r="B60" s="25">
        <f>B59+1</f>
        <v>2056</v>
      </c>
      <c r="C60" s="25">
        <f>C59+1</f>
        <v>76</v>
      </c>
      <c r="D60" s="25">
        <f>D59+1</f>
        <v>31</v>
      </c>
      <c r="E60" s="26" t="str">
        <f>IF(D60&lt;=$F$19,"Acumulación","Retiro")</f>
        <v>Retiro</v>
      </c>
      <c r="F60" s="22">
        <f>IF(D60&lt;=$P$7,$N$7*12*(1+IF($M$7="CRC",N($F$8),$F$9))^(D60-1),0)</f>
        <v>0</v>
      </c>
      <c r="G60" s="22">
        <f>IF(D60&lt;=$P$8,$N$8*12*(1+IF($M$8="CRC",N($F$8),$F$9))^(D60-1),0)</f>
        <v>0</v>
      </c>
      <c r="H60" s="22">
        <f>IF(AND($N$9&gt;0,D60&gt;=$O$9,D60&lt;=$P$9),$N$9*12*(1+IF($M$9="CRC",N($F$8),$F$9))^(D60-1),0)</f>
        <v>42015</v>
      </c>
      <c r="I60" s="22">
        <f>SUMPRODUCT(('Ingresos'!$H$14:$H$17&gt;=B60)*'Ingresos'!$G$14:$G$17*(1+('Ingresos'!$E$14:$E$17="CRC")*N($F$8)+('Ingresos'!$E$14:$E$17&lt;&gt;"CRC")*$F$9)^(D60-1))*12</f>
        <v>0</v>
      </c>
      <c r="J60" s="22">
        <f>IF(AND($N$10&gt;0,D60&gt;=N($O$10)),$N$10*12*(1+IF($M$10="CRC",N($F$8),$F$9))^(N($O$10)-1)*(1+N($F$10))^(D60-N($O$10))*IF(D60=N($O$10),IF(AND(ISNUMBER($F$21),N($F$20)&gt;=$C$30),(12-$F$21)/12,1),1),0)</f>
        <v>49237</v>
      </c>
      <c r="K60" s="22">
        <f>'Pensiones'!T49</f>
        <v>12554</v>
      </c>
      <c r="L60" s="22">
        <f>'Pensiones'!U49</f>
        <v>14740</v>
      </c>
      <c r="M60" s="23">
        <f>SUM(F60:L60)</f>
        <v>118546</v>
      </c>
      <c r="N60" s="22">
        <f>SUMPRODUCT(('Ingresos'!$H$22:$H$26=B60)*'Ingresos'!$G$22:$G$26*(1+('Ingresos'!$E$22:$E$26="CRC")*N($F$8)+('Ingresos'!$E$22:$E$26&lt;&gt;"CRC")*$F$9)^(D60-1))</f>
        <v>0</v>
      </c>
      <c r="O60" s="22">
        <f>'Pensiones'!S49</f>
        <v>0</v>
      </c>
      <c r="P60" s="23">
        <f>SUM(N60:O60)</f>
        <v>0</v>
      </c>
      <c r="Q60" s="23">
        <f>M60+P60</f>
        <v>118546</v>
      </c>
      <c r="R60" s="22">
        <f>$W$7*12*(N($F$22)*(1+$F$9)^(D60-1)+(1-N($F$22))*(1+N($F$8))^(D60-1))*IF(D60&gt;$F$19,$F$18,1)</f>
        <v>207975</v>
      </c>
      <c r="S60" s="22">
        <f>SUMPRODUCT(('Gastos'!$H$14:$H$17&lt;=B60)*('Gastos'!$H$14:$H$17+'Gastos'!$I$14:$I$17&gt;B60)*'Gastos'!$G$14:$G$17*(1+('Gastos'!$E$14:$E$17="CRC")*N($F$8)+('Gastos'!$E$14:$E$17&lt;&gt;"CRC")*$F$9)^(D60-1))</f>
        <v>0</v>
      </c>
      <c r="T60" s="22">
        <f>$W$10*(1+IF($V$10="CRC",N($F$8),$F$9))^(D60-1)</f>
        <v>9453</v>
      </c>
      <c r="U60" s="22">
        <f>(IF(D60&lt;=$X$11,$W$11*12,0)+IF('Gastos'!$G$28="Sí",0,SUMPRODUCT(('Gastos'!$H$22:$H$26&gt;=B60)*'Gastos'!$G$22:$G$26)*12)+SUMPRODUCT(('Gastos'!$H$43:$H$45&lt;=B60)*('Gastos'!$H$43:$H$45+'Gastos'!$I$43:$I$45-1&gt;=B60)*'Gastos'!$K$43:$K$45))</f>
        <v>0</v>
      </c>
      <c r="V60" s="23">
        <f>SUM(R60:U60)</f>
        <v>217428</v>
      </c>
      <c r="W60" s="22">
        <f>SUMPRODUCT(('Gastos'!$I$33:$I$37=1)*('Gastos'!$H$33:$H$37=B60)*'Gastos'!$G$33:$G$37*(1+('Gastos'!$E$33:$E$37="CRC")*N($F$8)+('Gastos'!$E$33:$E$37&lt;&gt;"CRC")*$F$9)^(D60-1))+SUMPRODUCT(('Gastos'!$I$33:$I$37=2)*('Gastos'!$H$33:$H$37&lt;=B60)*'Gastos'!$G$33:$G$37*(1+('Gastos'!$E$33:$E$37="CRC")*N($F$8)+('Gastos'!$E$33:$E$37&lt;&gt;"CRC")*$F$9)^(D60-1))+SUMPRODUCT(('Retiros del portafolio'!$H$15:$H$18=B60)*'Retiros del portafolio'!$G$15:$G$18*(1+('Retiros del portafolio'!$E$15:$E$18="CRC")*N($F$8)+('Retiros del portafolio'!$E$15:$E$18&lt;&gt;"CRC")*$F$9)^(D60-1))</f>
        <v>18907</v>
      </c>
      <c r="X60" s="22">
        <f>SUMPRODUCT(('Retiros del portafolio'!$H$6:$H$9=B60)*'Retiros del portafolio'!$G$6:$G$9*(1+('Retiros del portafolio'!$E$6:$E$9="CRC")*N($F$8)+('Retiros del portafolio'!$E$6:$E$9&lt;&gt;"CRC")*$F$9)^(D60-1))</f>
        <v>0</v>
      </c>
      <c r="Y60" s="23">
        <f>W60+X60</f>
        <v>18907</v>
      </c>
      <c r="Z60" s="23">
        <f>V60+Y60</f>
        <v>236335</v>
      </c>
      <c r="AA60" s="23">
        <f>Q60-Z60</f>
        <v>-117789</v>
      </c>
      <c r="AB60" s="22">
        <f>SUMPRODUCT(('Desinversiones'!$H$6:$H$10=B60)*('Desinversiones'!$I$6:$I$10=1)*'Desinversiones'!$G$6:$G$10*(1+('Desinversiones'!$E$6:$E$10="CRC")*N($F$8)+('Desinversiones'!$E$6:$E$10&lt;&gt;"CRC")*$F$9)^(D60-1))</f>
        <v>0</v>
      </c>
      <c r="AC60" s="22">
        <f>SUMPRODUCT(('Desinversiones'!$H$6:$H$10=B60)*('Desinversiones'!$I$6:$I$10=2)*'Desinversiones'!$G$6:$G$10*(1+('Desinversiones'!$E$6:$E$10="CRC")*N($F$8)+('Desinversiones'!$E$6:$E$10&lt;&gt;"CRC")*$F$9)^(D60-1))</f>
        <v>0</v>
      </c>
      <c r="AD60" s="22">
        <f>SUMPRODUCT(('Desinversiones'!$H$6:$H$10=B60)*('Desinversiones'!$I$6:$I$10=3)*'Desinversiones'!$G$6:$G$10*(1+('Desinversiones'!$E$6:$E$10="CRC")*N($F$8)+('Desinversiones'!$E$6:$E$10&lt;&gt;"CRC")*$F$9)^(D60-1))</f>
        <v>0</v>
      </c>
      <c r="AE60" s="23">
        <f>SUM(AB60:AD60)</f>
        <v>0</v>
      </c>
      <c r="AF60" s="23">
        <f>AE60</f>
        <v>0</v>
      </c>
      <c r="AG60" s="22">
        <f>AJ59</f>
        <v>440056</v>
      </c>
      <c r="AH60" s="22">
        <f>AG60*$F$13</f>
        <v>25775</v>
      </c>
      <c r="AI60" s="23">
        <f>AA60+AF60</f>
        <v>-117789</v>
      </c>
      <c r="AJ60" s="23">
        <f>AG60+AH60+AI60+AM60</f>
        <v>348043</v>
      </c>
      <c r="AK60" s="22">
        <f>AJ60/(1+$F$9)^(D60-1+$F$24/12)</f>
        <v>109399</v>
      </c>
      <c r="AL60" s="24">
        <f>IF(AG60&lt;=0,0,MAX(0,-AI60)/AG60)</f>
        <v>0.26766709590935805</v>
      </c>
      <c r="AM60" s="22">
        <f>MAX(0,-(AG60+AH60+AI60))</f>
        <v>0</v>
      </c>
    </row>
    <row r="61">
      <c r="B61" s="25">
        <f>B60+1</f>
        <v>2057</v>
      </c>
      <c r="C61" s="25">
        <f>C60+1</f>
        <v>77</v>
      </c>
      <c r="D61" s="25">
        <f>D60+1</f>
        <v>32</v>
      </c>
      <c r="E61" s="26" t="str">
        <f>IF(D61&lt;=$F$19,"Acumulación","Retiro")</f>
        <v>Retiro</v>
      </c>
      <c r="F61" s="22">
        <f>IF(D61&lt;=$P$7,$N$7*12*(1+IF($M$7="CRC",N($F$8),$F$9))^(D61-1),0)</f>
        <v>0</v>
      </c>
      <c r="G61" s="22">
        <f>IF(D61&lt;=$P$8,$N$8*12*(1+IF($M$8="CRC",N($F$8),$F$9))^(D61-1),0)</f>
        <v>0</v>
      </c>
      <c r="H61" s="22">
        <f>IF(AND($N$9&gt;0,D61&gt;=$O$9,D61&lt;=$P$9),$N$9*12*(1+IF($M$9="CRC",N($F$8),$F$9))^(D61-1),0)</f>
        <v>43654</v>
      </c>
      <c r="I61" s="22">
        <f>SUMPRODUCT(('Ingresos'!$H$14:$H$17&gt;=B61)*'Ingresos'!$G$14:$G$17*(1+('Ingresos'!$E$14:$E$17="CRC")*N($F$8)+('Ingresos'!$E$14:$E$17&lt;&gt;"CRC")*$F$9)^(D61-1))*12</f>
        <v>0</v>
      </c>
      <c r="J61" s="22">
        <f>IF(AND($N$10&gt;0,D61&gt;=N($O$10)),$N$10*12*(1+IF($M$10="CRC",N($F$8),$F$9))^(N($O$10)-1)*(1+N($F$10))^(D61-N($O$10))*IF(D61=N($O$10),IF(AND(ISNUMBER($F$21),N($F$20)&gt;=$C$30),(12-$F$21)/12,1),1),0)</f>
        <v>49729</v>
      </c>
      <c r="K61" s="22">
        <f>'Pensiones'!T50</f>
        <v>12554</v>
      </c>
      <c r="L61" s="22">
        <f>'Pensiones'!U50</f>
        <v>14740</v>
      </c>
      <c r="M61" s="23">
        <f>SUM(F61:L61)</f>
        <v>120677</v>
      </c>
      <c r="N61" s="22">
        <f>SUMPRODUCT(('Ingresos'!$H$22:$H$26=B61)*'Ingresos'!$G$22:$G$26*(1+('Ingresos'!$E$22:$E$26="CRC")*N($F$8)+('Ingresos'!$E$22:$E$26&lt;&gt;"CRC")*$F$9)^(D61-1))</f>
        <v>0</v>
      </c>
      <c r="O61" s="22">
        <f>'Pensiones'!S50</f>
        <v>0</v>
      </c>
      <c r="P61" s="23">
        <f>SUM(N61:O61)</f>
        <v>0</v>
      </c>
      <c r="Q61" s="23">
        <f>M61+P61</f>
        <v>120677</v>
      </c>
      <c r="R61" s="22">
        <f>$W$7*12*(N($F$22)*(1+$F$9)^(D61-1)+(1-N($F$22))*(1+N($F$8))^(D61-1))*IF(D61&gt;$F$19,$F$18,1)</f>
        <v>216086</v>
      </c>
      <c r="S61" s="22">
        <f>SUMPRODUCT(('Gastos'!$H$14:$H$17&lt;=B61)*('Gastos'!$H$14:$H$17+'Gastos'!$I$14:$I$17&gt;B61)*'Gastos'!$G$14:$G$17*(1+('Gastos'!$E$14:$E$17="CRC")*N($F$8)+('Gastos'!$E$14:$E$17&lt;&gt;"CRC")*$F$9)^(D61-1))</f>
        <v>0</v>
      </c>
      <c r="T61" s="22">
        <f>$W$10*(1+IF($V$10="CRC",N($F$8),$F$9))^(D61-1)</f>
        <v>9822</v>
      </c>
      <c r="U61" s="22">
        <f>(IF(D61&lt;=$X$11,$W$11*12,0)+IF('Gastos'!$G$28="Sí",0,SUMPRODUCT(('Gastos'!$H$22:$H$26&gt;=B61)*'Gastos'!$G$22:$G$26)*12)+SUMPRODUCT(('Gastos'!$H$43:$H$45&lt;=B61)*('Gastos'!$H$43:$H$45+'Gastos'!$I$43:$I$45-1&gt;=B61)*'Gastos'!$K$43:$K$45))</f>
        <v>0</v>
      </c>
      <c r="V61" s="23">
        <f>SUM(R61:U61)</f>
        <v>225908</v>
      </c>
      <c r="W61" s="22">
        <f>SUMPRODUCT(('Gastos'!$I$33:$I$37=1)*('Gastos'!$H$33:$H$37=B61)*'Gastos'!$G$33:$G$37*(1+('Gastos'!$E$33:$E$37="CRC")*N($F$8)+('Gastos'!$E$33:$E$37&lt;&gt;"CRC")*$F$9)^(D61-1))+SUMPRODUCT(('Gastos'!$I$33:$I$37=2)*('Gastos'!$H$33:$H$37&lt;=B61)*'Gastos'!$G$33:$G$37*(1+('Gastos'!$E$33:$E$37="CRC")*N($F$8)+('Gastos'!$E$33:$E$37&lt;&gt;"CRC")*$F$9)^(D61-1))+SUMPRODUCT(('Retiros del portafolio'!$H$15:$H$18=B61)*'Retiros del portafolio'!$G$15:$G$18*(1+('Retiros del portafolio'!$E$15:$E$18="CRC")*N($F$8)+('Retiros del portafolio'!$E$15:$E$18&lt;&gt;"CRC")*$F$9)^(D61-1))</f>
        <v>19644</v>
      </c>
      <c r="X61" s="22">
        <f>SUMPRODUCT(('Retiros del portafolio'!$H$6:$H$9=B61)*'Retiros del portafolio'!$G$6:$G$9*(1+('Retiros del portafolio'!$E$6:$E$9="CRC")*N($F$8)+('Retiros del portafolio'!$E$6:$E$9&lt;&gt;"CRC")*$F$9)^(D61-1))</f>
        <v>0</v>
      </c>
      <c r="Y61" s="23">
        <f>W61+X61</f>
        <v>19644</v>
      </c>
      <c r="Z61" s="23">
        <f>V61+Y61</f>
        <v>245552</v>
      </c>
      <c r="AA61" s="23">
        <f>Q61-Z61</f>
        <v>-124875</v>
      </c>
      <c r="AB61" s="22">
        <f>SUMPRODUCT(('Desinversiones'!$H$6:$H$10=B61)*('Desinversiones'!$I$6:$I$10=1)*'Desinversiones'!$G$6:$G$10*(1+('Desinversiones'!$E$6:$E$10="CRC")*N($F$8)+('Desinversiones'!$E$6:$E$10&lt;&gt;"CRC")*$F$9)^(D61-1))</f>
        <v>0</v>
      </c>
      <c r="AC61" s="22">
        <f>SUMPRODUCT(('Desinversiones'!$H$6:$H$10=B61)*('Desinversiones'!$I$6:$I$10=2)*'Desinversiones'!$G$6:$G$10*(1+('Desinversiones'!$E$6:$E$10="CRC")*N($F$8)+('Desinversiones'!$E$6:$E$10&lt;&gt;"CRC")*$F$9)^(D61-1))</f>
        <v>0</v>
      </c>
      <c r="AD61" s="22">
        <f>SUMPRODUCT(('Desinversiones'!$H$6:$H$10=B61)*('Desinversiones'!$I$6:$I$10=3)*'Desinversiones'!$G$6:$G$10*(1+('Desinversiones'!$E$6:$E$10="CRC")*N($F$8)+('Desinversiones'!$E$6:$E$10&lt;&gt;"CRC")*$F$9)^(D61-1))</f>
        <v>0</v>
      </c>
      <c r="AE61" s="23">
        <f>SUM(AB61:AD61)</f>
        <v>0</v>
      </c>
      <c r="AF61" s="23">
        <f>AE61</f>
        <v>0</v>
      </c>
      <c r="AG61" s="22">
        <f>AJ60</f>
        <v>348043</v>
      </c>
      <c r="AH61" s="22">
        <f>AG61*$F$13</f>
        <v>20386</v>
      </c>
      <c r="AI61" s="23">
        <f>AA61+AF61</f>
        <v>-124875</v>
      </c>
      <c r="AJ61" s="23">
        <f>AG61+AH61+AI61+AM61</f>
        <v>243554</v>
      </c>
      <c r="AK61" s="22">
        <f>AJ61/(1+$F$9)^(D61-1+$F$24/12)</f>
        <v>73682</v>
      </c>
      <c r="AL61" s="24">
        <f>IF(AG61&lt;=0,0,MAX(0,-AI61)/AG61)</f>
        <v>0.35879108701206863</v>
      </c>
      <c r="AM61" s="22">
        <f>MAX(0,-(AG61+AH61+AI61))</f>
        <v>0</v>
      </c>
    </row>
    <row r="62">
      <c r="B62" s="25">
        <f>B61+1</f>
        <v>2058</v>
      </c>
      <c r="C62" s="25">
        <f>C61+1</f>
        <v>78</v>
      </c>
      <c r="D62" s="25">
        <f>D61+1</f>
        <v>33</v>
      </c>
      <c r="E62" s="26" t="str">
        <f>IF(D62&lt;=$F$19,"Acumulación","Retiro")</f>
        <v>Retiro</v>
      </c>
      <c r="F62" s="22">
        <f>IF(D62&lt;=$P$7,$N$7*12*(1+IF($M$7="CRC",N($F$8),$F$9))^(D62-1),0)</f>
        <v>0</v>
      </c>
      <c r="G62" s="22">
        <f>IF(D62&lt;=$P$8,$N$8*12*(1+IF($M$8="CRC",N($F$8),$F$9))^(D62-1),0)</f>
        <v>0</v>
      </c>
      <c r="H62" s="22">
        <f>IF(AND($N$9&gt;0,D62&gt;=$O$9,D62&lt;=$P$9),$N$9*12*(1+IF($M$9="CRC",N($F$8),$F$9))^(D62-1),0)</f>
        <v>45356</v>
      </c>
      <c r="I62" s="22">
        <f>SUMPRODUCT(('Ingresos'!$H$14:$H$17&gt;=B62)*'Ingresos'!$G$14:$G$17*(1+('Ingresos'!$E$14:$E$17="CRC")*N($F$8)+('Ingresos'!$E$14:$E$17&lt;&gt;"CRC")*$F$9)^(D62-1))*12</f>
        <v>0</v>
      </c>
      <c r="J62" s="22">
        <f>IF(AND($N$10&gt;0,D62&gt;=N($O$10)),$N$10*12*(1+IF($M$10="CRC",N($F$8),$F$9))^(N($O$10)-1)*(1+N($F$10))^(D62-N($O$10))*IF(D62=N($O$10),IF(AND(ISNUMBER($F$21),N($F$20)&gt;=$C$30),(12-$F$21)/12,1),1),0)</f>
        <v>50226</v>
      </c>
      <c r="K62" s="22">
        <f>'Pensiones'!T51</f>
        <v>12554</v>
      </c>
      <c r="L62" s="22">
        <f>'Pensiones'!U51</f>
        <v>14740</v>
      </c>
      <c r="M62" s="23">
        <f>SUM(F62:L62)</f>
        <v>122877</v>
      </c>
      <c r="N62" s="22">
        <f>SUMPRODUCT(('Ingresos'!$H$22:$H$26=B62)*'Ingresos'!$G$22:$G$26*(1+('Ingresos'!$E$22:$E$26="CRC")*N($F$8)+('Ingresos'!$E$22:$E$26&lt;&gt;"CRC")*$F$9)^(D62-1))</f>
        <v>0</v>
      </c>
      <c r="O62" s="22">
        <f>'Pensiones'!S51</f>
        <v>0</v>
      </c>
      <c r="P62" s="23">
        <f>SUM(N62:O62)</f>
        <v>0</v>
      </c>
      <c r="Q62" s="23">
        <f>M62+P62</f>
        <v>122877</v>
      </c>
      <c r="R62" s="22">
        <f>$W$7*12*(N($F$22)*(1+$F$9)^(D62-1)+(1-N($F$22))*(1+N($F$8))^(D62-1))*IF(D62&gt;$F$19,$F$18,1)</f>
        <v>224513</v>
      </c>
      <c r="S62" s="22">
        <f>SUMPRODUCT(('Gastos'!$H$14:$H$17&lt;=B62)*('Gastos'!$H$14:$H$17+'Gastos'!$I$14:$I$17&gt;B62)*'Gastos'!$G$14:$G$17*(1+('Gastos'!$E$14:$E$17="CRC")*N($F$8)+('Gastos'!$E$14:$E$17&lt;&gt;"CRC")*$F$9)^(D62-1))</f>
        <v>0</v>
      </c>
      <c r="T62" s="22">
        <f>$W$10*(1+IF($V$10="CRC",N($F$8),$F$9))^(D62-1)</f>
        <v>10205</v>
      </c>
      <c r="U62" s="22">
        <f>(IF(D62&lt;=$X$11,$W$11*12,0)+IF('Gastos'!$G$28="Sí",0,SUMPRODUCT(('Gastos'!$H$22:$H$26&gt;=B62)*'Gastos'!$G$22:$G$26)*12)+SUMPRODUCT(('Gastos'!$H$43:$H$45&lt;=B62)*('Gastos'!$H$43:$H$45+'Gastos'!$I$43:$I$45-1&gt;=B62)*'Gastos'!$K$43:$K$45))</f>
        <v>0</v>
      </c>
      <c r="V62" s="23">
        <f>SUM(R62:U62)</f>
        <v>234718</v>
      </c>
      <c r="W62" s="22">
        <f>SUMPRODUCT(('Gastos'!$I$33:$I$37=1)*('Gastos'!$H$33:$H$37=B62)*'Gastos'!$G$33:$G$37*(1+('Gastos'!$E$33:$E$37="CRC")*N($F$8)+('Gastos'!$E$33:$E$37&lt;&gt;"CRC")*$F$9)^(D62-1))+SUMPRODUCT(('Gastos'!$I$33:$I$37=2)*('Gastos'!$H$33:$H$37&lt;=B62)*'Gastos'!$G$33:$G$37*(1+('Gastos'!$E$33:$E$37="CRC")*N($F$8)+('Gastos'!$E$33:$E$37&lt;&gt;"CRC")*$F$9)^(D62-1))+SUMPRODUCT(('Retiros del portafolio'!$H$15:$H$18=B62)*'Retiros del portafolio'!$G$15:$G$18*(1+('Retiros del portafolio'!$E$15:$E$18="CRC")*N($F$8)+('Retiros del portafolio'!$E$15:$E$18&lt;&gt;"CRC")*$F$9)^(D62-1))</f>
        <v>20410</v>
      </c>
      <c r="X62" s="22">
        <f>SUMPRODUCT(('Retiros del portafolio'!$H$6:$H$9=B62)*'Retiros del portafolio'!$G$6:$G$9*(1+('Retiros del portafolio'!$E$6:$E$9="CRC")*N($F$8)+('Retiros del portafolio'!$E$6:$E$9&lt;&gt;"CRC")*$F$9)^(D62-1))</f>
        <v>0</v>
      </c>
      <c r="Y62" s="23">
        <f>W62+X62</f>
        <v>20410</v>
      </c>
      <c r="Z62" s="23">
        <f>V62+Y62</f>
        <v>255128</v>
      </c>
      <c r="AA62" s="23">
        <f>Q62-Z62</f>
        <v>-132251</v>
      </c>
      <c r="AB62" s="22">
        <f>SUMPRODUCT(('Desinversiones'!$H$6:$H$10=B62)*('Desinversiones'!$I$6:$I$10=1)*'Desinversiones'!$G$6:$G$10*(1+('Desinversiones'!$E$6:$E$10="CRC")*N($F$8)+('Desinversiones'!$E$6:$E$10&lt;&gt;"CRC")*$F$9)^(D62-1))</f>
        <v>0</v>
      </c>
      <c r="AC62" s="22">
        <f>SUMPRODUCT(('Desinversiones'!$H$6:$H$10=B62)*('Desinversiones'!$I$6:$I$10=2)*'Desinversiones'!$G$6:$G$10*(1+('Desinversiones'!$E$6:$E$10="CRC")*N($F$8)+('Desinversiones'!$E$6:$E$10&lt;&gt;"CRC")*$F$9)^(D62-1))</f>
        <v>0</v>
      </c>
      <c r="AD62" s="22">
        <f>SUMPRODUCT(('Desinversiones'!$H$6:$H$10=B62)*('Desinversiones'!$I$6:$I$10=3)*'Desinversiones'!$G$6:$G$10*(1+('Desinversiones'!$E$6:$E$10="CRC")*N($F$8)+('Desinversiones'!$E$6:$E$10&lt;&gt;"CRC")*$F$9)^(D62-1))</f>
        <v>0</v>
      </c>
      <c r="AE62" s="23">
        <f>SUM(AB62:AD62)</f>
        <v>0</v>
      </c>
      <c r="AF62" s="23">
        <f>AE62</f>
        <v>0</v>
      </c>
      <c r="AG62" s="22">
        <f>AJ61</f>
        <v>243554</v>
      </c>
      <c r="AH62" s="22">
        <f>AG62*$F$13</f>
        <v>14266</v>
      </c>
      <c r="AI62" s="23">
        <f>AA62+AF62</f>
        <v>-132251</v>
      </c>
      <c r="AJ62" s="23">
        <f>AG62+AH62+AI62+AM62</f>
        <v>125568</v>
      </c>
      <c r="AK62" s="22">
        <f>AJ62/(1+$F$9)^(D62-1+$F$24/12)</f>
        <v>36562</v>
      </c>
      <c r="AL62" s="24">
        <f>IF(AG62&lt;=0,0,MAX(0,-AI62)/AG62)</f>
        <v>0.5430066982273887</v>
      </c>
      <c r="AM62" s="22">
        <f>MAX(0,-(AG62+AH62+AI62))</f>
        <v>0</v>
      </c>
    </row>
    <row r="63">
      <c r="B63" s="25">
        <f>B62+1</f>
        <v>2059</v>
      </c>
      <c r="C63" s="25">
        <f>C62+1</f>
        <v>79</v>
      </c>
      <c r="D63" s="25">
        <f>D62+1</f>
        <v>34</v>
      </c>
      <c r="E63" s="26" t="str">
        <f>IF(D63&lt;=$F$19,"Acumulación","Retiro")</f>
        <v>Retiro</v>
      </c>
      <c r="F63" s="22">
        <f>IF(D63&lt;=$P$7,$N$7*12*(1+IF($M$7="CRC",N($F$8),$F$9))^(D63-1),0)</f>
        <v>0</v>
      </c>
      <c r="G63" s="22">
        <f>IF(D63&lt;=$P$8,$N$8*12*(1+IF($M$8="CRC",N($F$8),$F$9))^(D63-1),0)</f>
        <v>0</v>
      </c>
      <c r="H63" s="22">
        <f>IF(AND($N$9&gt;0,D63&gt;=$O$9,D63&lt;=$P$9),$N$9*12*(1+IF($M$9="CRC",N($F$8),$F$9))^(D63-1),0)</f>
        <v>47125</v>
      </c>
      <c r="I63" s="22">
        <f>SUMPRODUCT(('Ingresos'!$H$14:$H$17&gt;=B63)*'Ingresos'!$G$14:$G$17*(1+('Ingresos'!$E$14:$E$17="CRC")*N($F$8)+('Ingresos'!$E$14:$E$17&lt;&gt;"CRC")*$F$9)^(D63-1))*12</f>
        <v>0</v>
      </c>
      <c r="J63" s="22">
        <f>IF(AND($N$10&gt;0,D63&gt;=N($O$10)),$N$10*12*(1+IF($M$10="CRC",N($F$8),$F$9))^(N($O$10)-1)*(1+N($F$10))^(D63-N($O$10))*IF(D63=N($O$10),IF(AND(ISNUMBER($F$21),N($F$20)&gt;=$C$30),(12-$F$21)/12,1),1),0)</f>
        <v>50729</v>
      </c>
      <c r="K63" s="22">
        <f>'Pensiones'!T52</f>
        <v>12554</v>
      </c>
      <c r="L63" s="22">
        <f>'Pensiones'!U52</f>
        <v>14740</v>
      </c>
      <c r="M63" s="23">
        <f>SUM(F63:L63)</f>
        <v>125148</v>
      </c>
      <c r="N63" s="22">
        <f>SUMPRODUCT(('Ingresos'!$H$22:$H$26=B63)*'Ingresos'!$G$22:$G$26*(1+('Ingresos'!$E$22:$E$26="CRC")*N($F$8)+('Ingresos'!$E$22:$E$26&lt;&gt;"CRC")*$F$9)^(D63-1))</f>
        <v>0</v>
      </c>
      <c r="O63" s="22">
        <f>'Pensiones'!S52</f>
        <v>0</v>
      </c>
      <c r="P63" s="23">
        <f>SUM(N63:O63)</f>
        <v>0</v>
      </c>
      <c r="Q63" s="23">
        <f>M63+P63</f>
        <v>125148</v>
      </c>
      <c r="R63" s="22">
        <f>$W$7*12*(N($F$22)*(1+$F$9)^(D63-1)+(1-N($F$22))*(1+N($F$8))^(D63-1))*IF(D63&gt;$F$19,$F$18,1)</f>
        <v>233269</v>
      </c>
      <c r="S63" s="22">
        <f>SUMPRODUCT(('Gastos'!$H$14:$H$17&lt;=B63)*('Gastos'!$H$14:$H$17+'Gastos'!$I$14:$I$17&gt;B63)*'Gastos'!$G$14:$G$17*(1+('Gastos'!$E$14:$E$17="CRC")*N($F$8)+('Gastos'!$E$14:$E$17&lt;&gt;"CRC")*$F$9)^(D63-1))</f>
        <v>0</v>
      </c>
      <c r="T63" s="22">
        <f>$W$10*(1+IF($V$10="CRC",N($F$8),$F$9))^(D63-1)</f>
        <v>10603</v>
      </c>
      <c r="U63" s="22">
        <f>(IF(D63&lt;=$X$11,$W$11*12,0)+IF('Gastos'!$G$28="Sí",0,SUMPRODUCT(('Gastos'!$H$22:$H$26&gt;=B63)*'Gastos'!$G$22:$G$26)*12)+SUMPRODUCT(('Gastos'!$H$43:$H$45&lt;=B63)*('Gastos'!$H$43:$H$45+'Gastos'!$I$43:$I$45-1&gt;=B63)*'Gastos'!$K$43:$K$45))</f>
        <v>0</v>
      </c>
      <c r="V63" s="23">
        <f>SUM(R63:U63)</f>
        <v>243872</v>
      </c>
      <c r="W63" s="22">
        <f>SUMPRODUCT(('Gastos'!$I$33:$I$37=1)*('Gastos'!$H$33:$H$37=B63)*'Gastos'!$G$33:$G$37*(1+('Gastos'!$E$33:$E$37="CRC")*N($F$8)+('Gastos'!$E$33:$E$37&lt;&gt;"CRC")*$F$9)^(D63-1))+SUMPRODUCT(('Gastos'!$I$33:$I$37=2)*('Gastos'!$H$33:$H$37&lt;=B63)*'Gastos'!$G$33:$G$37*(1+('Gastos'!$E$33:$E$37="CRC")*N($F$8)+('Gastos'!$E$33:$E$37&lt;&gt;"CRC")*$F$9)^(D63-1))+SUMPRODUCT(('Retiros del portafolio'!$H$15:$H$18=B63)*'Retiros del portafolio'!$G$15:$G$18*(1+('Retiros del portafolio'!$E$15:$E$18="CRC")*N($F$8)+('Retiros del portafolio'!$E$15:$E$18&lt;&gt;"CRC")*$F$9)^(D63-1))</f>
        <v>21206</v>
      </c>
      <c r="X63" s="22">
        <f>SUMPRODUCT(('Retiros del portafolio'!$H$6:$H$9=B63)*'Retiros del portafolio'!$G$6:$G$9*(1+('Retiros del portafolio'!$E$6:$E$9="CRC")*N($F$8)+('Retiros del portafolio'!$E$6:$E$9&lt;&gt;"CRC")*$F$9)^(D63-1))</f>
        <v>0</v>
      </c>
      <c r="Y63" s="23">
        <f>W63+X63</f>
        <v>21206</v>
      </c>
      <c r="Z63" s="23">
        <f>V63+Y63</f>
        <v>265078</v>
      </c>
      <c r="AA63" s="23">
        <f>Q63-Z63</f>
        <v>-139930</v>
      </c>
      <c r="AB63" s="22">
        <f>SUMPRODUCT(('Desinversiones'!$H$6:$H$10=B63)*('Desinversiones'!$I$6:$I$10=1)*'Desinversiones'!$G$6:$G$10*(1+('Desinversiones'!$E$6:$E$10="CRC")*N($F$8)+('Desinversiones'!$E$6:$E$10&lt;&gt;"CRC")*$F$9)^(D63-1))</f>
        <v>0</v>
      </c>
      <c r="AC63" s="22">
        <f>SUMPRODUCT(('Desinversiones'!$H$6:$H$10=B63)*('Desinversiones'!$I$6:$I$10=2)*'Desinversiones'!$G$6:$G$10*(1+('Desinversiones'!$E$6:$E$10="CRC")*N($F$8)+('Desinversiones'!$E$6:$E$10&lt;&gt;"CRC")*$F$9)^(D63-1))</f>
        <v>0</v>
      </c>
      <c r="AD63" s="22">
        <f>SUMPRODUCT(('Desinversiones'!$H$6:$H$10=B63)*('Desinversiones'!$I$6:$I$10=3)*'Desinversiones'!$G$6:$G$10*(1+('Desinversiones'!$E$6:$E$10="CRC")*N($F$8)+('Desinversiones'!$E$6:$E$10&lt;&gt;"CRC")*$F$9)^(D63-1))</f>
        <v>0</v>
      </c>
      <c r="AE63" s="23">
        <f>SUM(AB63:AD63)</f>
        <v>0</v>
      </c>
      <c r="AF63" s="23">
        <f>AE63</f>
        <v>0</v>
      </c>
      <c r="AG63" s="22">
        <f>AJ62</f>
        <v>125568</v>
      </c>
      <c r="AH63" s="22">
        <f>AG63*$F$13</f>
        <v>7355</v>
      </c>
      <c r="AI63" s="23">
        <f>AA63+AF63</f>
        <v>-139930</v>
      </c>
      <c r="AJ63" s="23">
        <f>AG63+AH63+AI63+AM63</f>
        <v>0</v>
      </c>
      <c r="AK63" s="22">
        <f>AJ63/(1+$F$9)^(D63-1+$F$24/12)</f>
        <v>0</v>
      </c>
      <c r="AL63" s="24">
        <f>IF(AG63&lt;=0,0,MAX(0,-AI63)/AG63)</f>
        <v>1.1143777069515435</v>
      </c>
      <c r="AM63" s="22">
        <f>MAX(0,-(AG63+AH63+AI63))</f>
        <v>7007</v>
      </c>
    </row>
    <row r="64">
      <c r="B64" s="25">
        <f>B63+1</f>
        <v>2060</v>
      </c>
      <c r="C64" s="25">
        <f>C63+1</f>
        <v>80</v>
      </c>
      <c r="D64" s="25">
        <f>D63+1</f>
        <v>35</v>
      </c>
      <c r="E64" s="26" t="str">
        <f>IF(D64&lt;=$F$19,"Acumulación","Retiro")</f>
        <v>Retiro</v>
      </c>
      <c r="F64" s="22">
        <f>IF(D64&lt;=$P$7,$N$7*12*(1+IF($M$7="CRC",N($F$8),$F$9))^(D64-1),0)</f>
        <v>0</v>
      </c>
      <c r="G64" s="22">
        <f>IF(D64&lt;=$P$8,$N$8*12*(1+IF($M$8="CRC",N($F$8),$F$9))^(D64-1),0)</f>
        <v>0</v>
      </c>
      <c r="H64" s="22">
        <f>IF(AND($N$9&gt;0,D64&gt;=$O$9,D64&lt;=$P$9),$N$9*12*(1+IF($M$9="CRC",N($F$8),$F$9))^(D64-1),0)</f>
        <v>48963</v>
      </c>
      <c r="I64" s="22">
        <f>SUMPRODUCT(('Ingresos'!$H$14:$H$17&gt;=B64)*'Ingresos'!$G$14:$G$17*(1+('Ingresos'!$E$14:$E$17="CRC")*N($F$8)+('Ingresos'!$E$14:$E$17&lt;&gt;"CRC")*$F$9)^(D64-1))*12</f>
        <v>0</v>
      </c>
      <c r="J64" s="22">
        <f>IF(AND($N$10&gt;0,D64&gt;=N($O$10)),$N$10*12*(1+IF($M$10="CRC",N($F$8),$F$9))^(N($O$10)-1)*(1+N($F$10))^(D64-N($O$10))*IF(D64=N($O$10),IF(AND(ISNUMBER($F$21),N($F$20)&gt;=$C$30),(12-$F$21)/12,1),1),0)</f>
        <v>51236</v>
      </c>
      <c r="K64" s="22">
        <f>'Pensiones'!T53</f>
        <v>12554</v>
      </c>
      <c r="L64" s="22">
        <f>'Pensiones'!U53</f>
        <v>14740</v>
      </c>
      <c r="M64" s="23">
        <f>SUM(F64:L64)</f>
        <v>127493</v>
      </c>
      <c r="N64" s="22">
        <f>SUMPRODUCT(('Ingresos'!$H$22:$H$26=B64)*'Ingresos'!$G$22:$G$26*(1+('Ingresos'!$E$22:$E$26="CRC")*N($F$8)+('Ingresos'!$E$22:$E$26&lt;&gt;"CRC")*$F$9)^(D64-1))</f>
        <v>0</v>
      </c>
      <c r="O64" s="22">
        <f>'Pensiones'!S53</f>
        <v>0</v>
      </c>
      <c r="P64" s="23">
        <f>SUM(N64:O64)</f>
        <v>0</v>
      </c>
      <c r="Q64" s="23">
        <f>M64+P64</f>
        <v>127493</v>
      </c>
      <c r="R64" s="22">
        <f>$W$7*12*(N($F$22)*(1+$F$9)^(D64-1)+(1-N($F$22))*(1+N($F$8))^(D64-1))*IF(D64&gt;$F$19,$F$18,1)</f>
        <v>242366</v>
      </c>
      <c r="S64" s="22">
        <f>SUMPRODUCT(('Gastos'!$H$14:$H$17&lt;=B64)*('Gastos'!$H$14:$H$17+'Gastos'!$I$14:$I$17&gt;B64)*'Gastos'!$G$14:$G$17*(1+('Gastos'!$E$14:$E$17="CRC")*N($F$8)+('Gastos'!$E$14:$E$17&lt;&gt;"CRC")*$F$9)^(D64-1))</f>
        <v>0</v>
      </c>
      <c r="T64" s="22">
        <f>$W$10*(1+IF($V$10="CRC",N($F$8),$F$9))^(D64-1)</f>
        <v>11017</v>
      </c>
      <c r="U64" s="22">
        <f>(IF(D64&lt;=$X$11,$W$11*12,0)+IF('Gastos'!$G$28="Sí",0,SUMPRODUCT(('Gastos'!$H$22:$H$26&gt;=B64)*'Gastos'!$G$22:$G$26)*12)+SUMPRODUCT(('Gastos'!$H$43:$H$45&lt;=B64)*('Gastos'!$H$43:$H$45+'Gastos'!$I$43:$I$45-1&gt;=B64)*'Gastos'!$K$43:$K$45))</f>
        <v>0</v>
      </c>
      <c r="V64" s="23">
        <f>SUM(R64:U64)</f>
        <v>253383</v>
      </c>
      <c r="W64" s="22">
        <f>SUMPRODUCT(('Gastos'!$I$33:$I$37=1)*('Gastos'!$H$33:$H$37=B64)*'Gastos'!$G$33:$G$37*(1+('Gastos'!$E$33:$E$37="CRC")*N($F$8)+('Gastos'!$E$33:$E$37&lt;&gt;"CRC")*$F$9)^(D64-1))+SUMPRODUCT(('Gastos'!$I$33:$I$37=2)*('Gastos'!$H$33:$H$37&lt;=B64)*'Gastos'!$G$33:$G$37*(1+('Gastos'!$E$33:$E$37="CRC")*N($F$8)+('Gastos'!$E$33:$E$37&lt;&gt;"CRC")*$F$9)^(D64-1))+SUMPRODUCT(('Retiros del portafolio'!$H$15:$H$18=B64)*'Retiros del portafolio'!$G$15:$G$18*(1+('Retiros del portafolio'!$E$15:$E$18="CRC")*N($F$8)+('Retiros del portafolio'!$E$15:$E$18&lt;&gt;"CRC")*$F$9)^(D64-1))</f>
        <v>22033</v>
      </c>
      <c r="X64" s="22">
        <f>SUMPRODUCT(('Retiros del portafolio'!$H$6:$H$9=B64)*'Retiros del portafolio'!$G$6:$G$9*(1+('Retiros del portafolio'!$E$6:$E$9="CRC")*N($F$8)+('Retiros del portafolio'!$E$6:$E$9&lt;&gt;"CRC")*$F$9)^(D64-1))</f>
        <v>0</v>
      </c>
      <c r="Y64" s="23">
        <f>W64+X64</f>
        <v>22033</v>
      </c>
      <c r="Z64" s="23">
        <f>V64+Y64</f>
        <v>275416</v>
      </c>
      <c r="AA64" s="23">
        <f>Q64-Z64</f>
        <v>-147923</v>
      </c>
      <c r="AB64" s="22">
        <f>SUMPRODUCT(('Desinversiones'!$H$6:$H$10=B64)*('Desinversiones'!$I$6:$I$10=1)*'Desinversiones'!$G$6:$G$10*(1+('Desinversiones'!$E$6:$E$10="CRC")*N($F$8)+('Desinversiones'!$E$6:$E$10&lt;&gt;"CRC")*$F$9)^(D64-1))</f>
        <v>0</v>
      </c>
      <c r="AC64" s="22">
        <f>SUMPRODUCT(('Desinversiones'!$H$6:$H$10=B64)*('Desinversiones'!$I$6:$I$10=2)*'Desinversiones'!$G$6:$G$10*(1+('Desinversiones'!$E$6:$E$10="CRC")*N($F$8)+('Desinversiones'!$E$6:$E$10&lt;&gt;"CRC")*$F$9)^(D64-1))</f>
        <v>0</v>
      </c>
      <c r="AD64" s="22">
        <f>SUMPRODUCT(('Desinversiones'!$H$6:$H$10=B64)*('Desinversiones'!$I$6:$I$10=3)*'Desinversiones'!$G$6:$G$10*(1+('Desinversiones'!$E$6:$E$10="CRC")*N($F$8)+('Desinversiones'!$E$6:$E$10&lt;&gt;"CRC")*$F$9)^(D64-1))</f>
        <v>0</v>
      </c>
      <c r="AE64" s="23">
        <f>SUM(AB64:AD64)</f>
        <v>0</v>
      </c>
      <c r="AF64" s="23">
        <f>AE64</f>
        <v>0</v>
      </c>
      <c r="AG64" s="22">
        <f>AJ63</f>
        <v>0</v>
      </c>
      <c r="AH64" s="22">
        <f>AG64*$F$13</f>
        <v>0</v>
      </c>
      <c r="AI64" s="23">
        <f>AA64+AF64</f>
        <v>-147923</v>
      </c>
      <c r="AJ64" s="23">
        <f>AG64+AH64+AI64+AM64</f>
        <v>0</v>
      </c>
      <c r="AK64" s="22">
        <f>AJ64/(1+$F$9)^(D64-1+$F$24/12)</f>
        <v>0</v>
      </c>
      <c r="AL64" s="24">
        <f>IF(AG64&lt;=0,0,MAX(0,-AI64)/AG64)</f>
        <v>0</v>
      </c>
      <c r="AM64" s="22">
        <f>MAX(0,-(AG64+AH64+AI64))</f>
        <v>147923</v>
      </c>
    </row>
    <row r="65">
      <c r="B65" s="25">
        <f>B64+1</f>
        <v>2061</v>
      </c>
      <c r="C65" s="25">
        <f>C64+1</f>
        <v>81</v>
      </c>
      <c r="D65" s="25">
        <f>D64+1</f>
        <v>36</v>
      </c>
      <c r="E65" s="26" t="str">
        <f>IF(D65&lt;=$F$19,"Acumulación","Retiro")</f>
        <v>Retiro</v>
      </c>
      <c r="F65" s="22">
        <f>IF(D65&lt;=$P$7,$N$7*12*(1+IF($M$7="CRC",N($F$8),$F$9))^(D65-1),0)</f>
        <v>0</v>
      </c>
      <c r="G65" s="22">
        <f>IF(D65&lt;=$P$8,$N$8*12*(1+IF($M$8="CRC",N($F$8),$F$9))^(D65-1),0)</f>
        <v>0</v>
      </c>
      <c r="H65" s="22">
        <f>IF(AND($N$9&gt;0,D65&gt;=$O$9,D65&lt;=$P$9),$N$9*12*(1+IF($M$9="CRC",N($F$8),$F$9))^(D65-1),0)</f>
        <v>50872</v>
      </c>
      <c r="I65" s="22">
        <f>SUMPRODUCT(('Ingresos'!$H$14:$H$17&gt;=B65)*'Ingresos'!$G$14:$G$17*(1+('Ingresos'!$E$14:$E$17="CRC")*N($F$8)+('Ingresos'!$E$14:$E$17&lt;&gt;"CRC")*$F$9)^(D65-1))*12</f>
        <v>0</v>
      </c>
      <c r="J65" s="22">
        <f>IF(AND($N$10&gt;0,D65&gt;=N($O$10)),$N$10*12*(1+IF($M$10="CRC",N($F$8),$F$9))^(N($O$10)-1)*(1+N($F$10))^(D65-N($O$10))*IF(D65=N($O$10),IF(AND(ISNUMBER($F$21),N($F$20)&gt;=$C$30),(12-$F$21)/12,1),1),0)</f>
        <v>51748</v>
      </c>
      <c r="K65" s="22">
        <f>'Pensiones'!T54</f>
        <v>12554</v>
      </c>
      <c r="L65" s="22">
        <f>'Pensiones'!U54</f>
        <v>14740</v>
      </c>
      <c r="M65" s="23">
        <f>SUM(F65:L65)</f>
        <v>129915</v>
      </c>
      <c r="N65" s="22">
        <f>SUMPRODUCT(('Ingresos'!$H$22:$H$26=B65)*'Ingresos'!$G$22:$G$26*(1+('Ingresos'!$E$22:$E$26="CRC")*N($F$8)+('Ingresos'!$E$22:$E$26&lt;&gt;"CRC")*$F$9)^(D65-1))</f>
        <v>0</v>
      </c>
      <c r="O65" s="22">
        <f>'Pensiones'!S54</f>
        <v>0</v>
      </c>
      <c r="P65" s="23">
        <f>SUM(N65:O65)</f>
        <v>0</v>
      </c>
      <c r="Q65" s="23">
        <f>M65+P65</f>
        <v>129915</v>
      </c>
      <c r="R65" s="22">
        <f>$W$7*12*(N($F$22)*(1+$F$9)^(D65-1)+(1-N($F$22))*(1+N($F$8))^(D65-1))*IF(D65&gt;$F$19,$F$18,1)</f>
        <v>251819</v>
      </c>
      <c r="S65" s="22">
        <f>SUMPRODUCT(('Gastos'!$H$14:$H$17&lt;=B65)*('Gastos'!$H$14:$H$17+'Gastos'!$I$14:$I$17&gt;B65)*'Gastos'!$G$14:$G$17*(1+('Gastos'!$E$14:$E$17="CRC")*N($F$8)+('Gastos'!$E$14:$E$17&lt;&gt;"CRC")*$F$9)^(D65-1))</f>
        <v>0</v>
      </c>
      <c r="T65" s="22">
        <f>$W$10*(1+IF($V$10="CRC",N($F$8),$F$9))^(D65-1)</f>
        <v>11446</v>
      </c>
      <c r="U65" s="22">
        <f>(IF(D65&lt;=$X$11,$W$11*12,0)+IF('Gastos'!$G$28="Sí",0,SUMPRODUCT(('Gastos'!$H$22:$H$26&gt;=B65)*'Gastos'!$G$22:$G$26)*12)+SUMPRODUCT(('Gastos'!$H$43:$H$45&lt;=B65)*('Gastos'!$H$43:$H$45+'Gastos'!$I$43:$I$45-1&gt;=B65)*'Gastos'!$K$43:$K$45))</f>
        <v>0</v>
      </c>
      <c r="V65" s="23">
        <f>SUM(R65:U65)</f>
        <v>263265</v>
      </c>
      <c r="W65" s="22">
        <f>SUMPRODUCT(('Gastos'!$I$33:$I$37=1)*('Gastos'!$H$33:$H$37=B65)*'Gastos'!$G$33:$G$37*(1+('Gastos'!$E$33:$E$37="CRC")*N($F$8)+('Gastos'!$E$33:$E$37&lt;&gt;"CRC")*$F$9)^(D65-1))+SUMPRODUCT(('Gastos'!$I$33:$I$37=2)*('Gastos'!$H$33:$H$37&lt;=B65)*'Gastos'!$G$33:$G$37*(1+('Gastos'!$E$33:$E$37="CRC")*N($F$8)+('Gastos'!$E$33:$E$37&lt;&gt;"CRC")*$F$9)^(D65-1))+SUMPRODUCT(('Retiros del portafolio'!$H$15:$H$18=B65)*'Retiros del portafolio'!$G$15:$G$18*(1+('Retiros del portafolio'!$E$15:$E$18="CRC")*N($F$8)+('Retiros del portafolio'!$E$15:$E$18&lt;&gt;"CRC")*$F$9)^(D65-1))</f>
        <v>22893</v>
      </c>
      <c r="X65" s="22">
        <f>SUMPRODUCT(('Retiros del portafolio'!$H$6:$H$9=B65)*'Retiros del portafolio'!$G$6:$G$9*(1+('Retiros del portafolio'!$E$6:$E$9="CRC")*N($F$8)+('Retiros del portafolio'!$E$6:$E$9&lt;&gt;"CRC")*$F$9)^(D65-1))</f>
        <v>0</v>
      </c>
      <c r="Y65" s="23">
        <f>W65+X65</f>
        <v>22893</v>
      </c>
      <c r="Z65" s="23">
        <f>V65+Y65</f>
        <v>286158</v>
      </c>
      <c r="AA65" s="23">
        <f>Q65-Z65</f>
        <v>-156243</v>
      </c>
      <c r="AB65" s="22">
        <f>SUMPRODUCT(('Desinversiones'!$H$6:$H$10=B65)*('Desinversiones'!$I$6:$I$10=1)*'Desinversiones'!$G$6:$G$10*(1+('Desinversiones'!$E$6:$E$10="CRC")*N($F$8)+('Desinversiones'!$E$6:$E$10&lt;&gt;"CRC")*$F$9)^(D65-1))</f>
        <v>0</v>
      </c>
      <c r="AC65" s="22">
        <f>SUMPRODUCT(('Desinversiones'!$H$6:$H$10=B65)*('Desinversiones'!$I$6:$I$10=2)*'Desinversiones'!$G$6:$G$10*(1+('Desinversiones'!$E$6:$E$10="CRC")*N($F$8)+('Desinversiones'!$E$6:$E$10&lt;&gt;"CRC")*$F$9)^(D65-1))</f>
        <v>0</v>
      </c>
      <c r="AD65" s="22">
        <f>SUMPRODUCT(('Desinversiones'!$H$6:$H$10=B65)*('Desinversiones'!$I$6:$I$10=3)*'Desinversiones'!$G$6:$G$10*(1+('Desinversiones'!$E$6:$E$10="CRC")*N($F$8)+('Desinversiones'!$E$6:$E$10&lt;&gt;"CRC")*$F$9)^(D65-1))</f>
        <v>0</v>
      </c>
      <c r="AE65" s="23">
        <f>SUM(AB65:AD65)</f>
        <v>0</v>
      </c>
      <c r="AF65" s="23">
        <f>AE65</f>
        <v>0</v>
      </c>
      <c r="AG65" s="22">
        <f>AJ64</f>
        <v>0</v>
      </c>
      <c r="AH65" s="22">
        <f>AG65*$F$13</f>
        <v>0</v>
      </c>
      <c r="AI65" s="23">
        <f>AA65+AF65</f>
        <v>-156243</v>
      </c>
      <c r="AJ65" s="23">
        <f>AG65+AH65+AI65+AM65</f>
        <v>0</v>
      </c>
      <c r="AK65" s="22">
        <f>AJ65/(1+$F$9)^(D65-1+$F$24/12)</f>
        <v>0</v>
      </c>
      <c r="AL65" s="24">
        <f>IF(AG65&lt;=0,0,MAX(0,-AI65)/AG65)</f>
        <v>0</v>
      </c>
      <c r="AM65" s="22">
        <f>MAX(0,-(AG65+AH65+AI65))</f>
        <v>156243</v>
      </c>
    </row>
    <row r="66">
      <c r="B66" s="25">
        <f>B65+1</f>
        <v>2062</v>
      </c>
      <c r="C66" s="25">
        <f>C65+1</f>
        <v>82</v>
      </c>
      <c r="D66" s="25">
        <f>D65+1</f>
        <v>37</v>
      </c>
      <c r="E66" s="26" t="str">
        <f>IF(D66&lt;=$F$19,"Acumulación","Retiro")</f>
        <v>Retiro</v>
      </c>
      <c r="F66" s="22">
        <f>IF(D66&lt;=$P$7,$N$7*12*(1+IF($M$7="CRC",N($F$8),$F$9))^(D66-1),0)</f>
        <v>0</v>
      </c>
      <c r="G66" s="22">
        <f>IF(D66&lt;=$P$8,$N$8*12*(1+IF($M$8="CRC",N($F$8),$F$9))^(D66-1),0)</f>
        <v>0</v>
      </c>
      <c r="H66" s="22">
        <f>IF(AND($N$9&gt;0,D66&gt;=$O$9,D66&lt;=$P$9),$N$9*12*(1+IF($M$9="CRC",N($F$8),$F$9))^(D66-1),0)</f>
        <v>52857</v>
      </c>
      <c r="I66" s="22">
        <f>SUMPRODUCT(('Ingresos'!$H$14:$H$17&gt;=B66)*'Ingresos'!$G$14:$G$17*(1+('Ingresos'!$E$14:$E$17="CRC")*N($F$8)+('Ingresos'!$E$14:$E$17&lt;&gt;"CRC")*$F$9)^(D66-1))*12</f>
        <v>0</v>
      </c>
      <c r="J66" s="22">
        <f>IF(AND($N$10&gt;0,D66&gt;=N($O$10)),$N$10*12*(1+IF($M$10="CRC",N($F$8),$F$9))^(N($O$10)-1)*(1+N($F$10))^(D66-N($O$10))*IF(D66=N($O$10),IF(AND(ISNUMBER($F$21),N($F$20)&gt;=$C$30),(12-$F$21)/12,1),1),0)</f>
        <v>52266</v>
      </c>
      <c r="K66" s="22">
        <f>'Pensiones'!T55</f>
        <v>12554</v>
      </c>
      <c r="L66" s="22">
        <f>'Pensiones'!U55</f>
        <v>14740</v>
      </c>
      <c r="M66" s="23">
        <f>SUM(F66:L66)</f>
        <v>132417</v>
      </c>
      <c r="N66" s="22">
        <f>SUMPRODUCT(('Ingresos'!$H$22:$H$26=B66)*'Ingresos'!$G$22:$G$26*(1+('Ingresos'!$E$22:$E$26="CRC")*N($F$8)+('Ingresos'!$E$22:$E$26&lt;&gt;"CRC")*$F$9)^(D66-1))</f>
        <v>0</v>
      </c>
      <c r="O66" s="22">
        <f>'Pensiones'!S55</f>
        <v>0</v>
      </c>
      <c r="P66" s="23">
        <f>SUM(N66:O66)</f>
        <v>0</v>
      </c>
      <c r="Q66" s="23">
        <f>M66+P66</f>
        <v>132417</v>
      </c>
      <c r="R66" s="22">
        <f>$W$7*12*(N($F$22)*(1+$F$9)^(D66-1)+(1-N($F$22))*(1+N($F$8))^(D66-1))*IF(D66&gt;$F$19,$F$18,1)</f>
        <v>261640</v>
      </c>
      <c r="S66" s="22">
        <f>SUMPRODUCT(('Gastos'!$H$14:$H$17&lt;=B66)*('Gastos'!$H$14:$H$17+'Gastos'!$I$14:$I$17&gt;B66)*'Gastos'!$G$14:$G$17*(1+('Gastos'!$E$14:$E$17="CRC")*N($F$8)+('Gastos'!$E$14:$E$17&lt;&gt;"CRC")*$F$9)^(D66-1))</f>
        <v>0</v>
      </c>
      <c r="T66" s="22">
        <f>$W$10*(1+IF($V$10="CRC",N($F$8),$F$9))^(D66-1)</f>
        <v>11893</v>
      </c>
      <c r="U66" s="22">
        <f>(IF(D66&lt;=$X$11,$W$11*12,0)+IF('Gastos'!$G$28="Sí",0,SUMPRODUCT(('Gastos'!$H$22:$H$26&gt;=B66)*'Gastos'!$G$22:$G$26)*12)+SUMPRODUCT(('Gastos'!$H$43:$H$45&lt;=B66)*('Gastos'!$H$43:$H$45+'Gastos'!$I$43:$I$45-1&gt;=B66)*'Gastos'!$K$43:$K$45))</f>
        <v>0</v>
      </c>
      <c r="V66" s="23">
        <f>SUM(R66:U66)</f>
        <v>273532</v>
      </c>
      <c r="W66" s="22">
        <f>SUMPRODUCT(('Gastos'!$I$33:$I$37=1)*('Gastos'!$H$33:$H$37=B66)*'Gastos'!$G$33:$G$37*(1+('Gastos'!$E$33:$E$37="CRC")*N($F$8)+('Gastos'!$E$33:$E$37&lt;&gt;"CRC")*$F$9)^(D66-1))+SUMPRODUCT(('Gastos'!$I$33:$I$37=2)*('Gastos'!$H$33:$H$37&lt;=B66)*'Gastos'!$G$33:$G$37*(1+('Gastos'!$E$33:$E$37="CRC")*N($F$8)+('Gastos'!$E$33:$E$37&lt;&gt;"CRC")*$F$9)^(D66-1))+SUMPRODUCT(('Retiros del portafolio'!$H$15:$H$18=B66)*'Retiros del portafolio'!$G$15:$G$18*(1+('Retiros del portafolio'!$E$15:$E$18="CRC")*N($F$8)+('Retiros del portafolio'!$E$15:$E$18&lt;&gt;"CRC")*$F$9)^(D66-1))</f>
        <v>23785</v>
      </c>
      <c r="X66" s="22">
        <f>SUMPRODUCT(('Retiros del portafolio'!$H$6:$H$9=B66)*'Retiros del portafolio'!$G$6:$G$9*(1+('Retiros del portafolio'!$E$6:$E$9="CRC")*N($F$8)+('Retiros del portafolio'!$E$6:$E$9&lt;&gt;"CRC")*$F$9)^(D66-1))</f>
        <v>0</v>
      </c>
      <c r="Y66" s="23">
        <f>W66+X66</f>
        <v>23785</v>
      </c>
      <c r="Z66" s="23">
        <f>V66+Y66</f>
        <v>297318</v>
      </c>
      <c r="AA66" s="23">
        <f>Q66-Z66</f>
        <v>-164901</v>
      </c>
      <c r="AB66" s="22">
        <f>SUMPRODUCT(('Desinversiones'!$H$6:$H$10=B66)*('Desinversiones'!$I$6:$I$10=1)*'Desinversiones'!$G$6:$G$10*(1+('Desinversiones'!$E$6:$E$10="CRC")*N($F$8)+('Desinversiones'!$E$6:$E$10&lt;&gt;"CRC")*$F$9)^(D66-1))</f>
        <v>0</v>
      </c>
      <c r="AC66" s="22">
        <f>SUMPRODUCT(('Desinversiones'!$H$6:$H$10=B66)*('Desinversiones'!$I$6:$I$10=2)*'Desinversiones'!$G$6:$G$10*(1+('Desinversiones'!$E$6:$E$10="CRC")*N($F$8)+('Desinversiones'!$E$6:$E$10&lt;&gt;"CRC")*$F$9)^(D66-1))</f>
        <v>0</v>
      </c>
      <c r="AD66" s="22">
        <f>SUMPRODUCT(('Desinversiones'!$H$6:$H$10=B66)*('Desinversiones'!$I$6:$I$10=3)*'Desinversiones'!$G$6:$G$10*(1+('Desinversiones'!$E$6:$E$10="CRC")*N($F$8)+('Desinversiones'!$E$6:$E$10&lt;&gt;"CRC")*$F$9)^(D66-1))</f>
        <v>0</v>
      </c>
      <c r="AE66" s="23">
        <f>SUM(AB66:AD66)</f>
        <v>0</v>
      </c>
      <c r="AF66" s="23">
        <f>AE66</f>
        <v>0</v>
      </c>
      <c r="AG66" s="22">
        <f>AJ65</f>
        <v>0</v>
      </c>
      <c r="AH66" s="22">
        <f>AG66*$F$13</f>
        <v>0</v>
      </c>
      <c r="AI66" s="23">
        <f>AA66+AF66</f>
        <v>-164901</v>
      </c>
      <c r="AJ66" s="23">
        <f>AG66+AH66+AI66+AM66</f>
        <v>0</v>
      </c>
      <c r="AK66" s="22">
        <f>AJ66/(1+$F$9)^(D66-1+$F$24/12)</f>
        <v>0</v>
      </c>
      <c r="AL66" s="24">
        <f>IF(AG66&lt;=0,0,MAX(0,-AI66)/AG66)</f>
        <v>0</v>
      </c>
      <c r="AM66" s="22">
        <f>MAX(0,-(AG66+AH66+AI66))</f>
        <v>164901</v>
      </c>
    </row>
    <row r="67">
      <c r="B67" s="25">
        <f>B66+1</f>
        <v>2063</v>
      </c>
      <c r="C67" s="25">
        <f>C66+1</f>
        <v>83</v>
      </c>
      <c r="D67" s="25">
        <f>D66+1</f>
        <v>38</v>
      </c>
      <c r="E67" s="26" t="str">
        <f>IF(D67&lt;=$F$19,"Acumulación","Retiro")</f>
        <v>Retiro</v>
      </c>
      <c r="F67" s="22">
        <f>IF(D67&lt;=$P$7,$N$7*12*(1+IF($M$7="CRC",N($F$8),$F$9))^(D67-1),0)</f>
        <v>0</v>
      </c>
      <c r="G67" s="22">
        <f>IF(D67&lt;=$P$8,$N$8*12*(1+IF($M$8="CRC",N($F$8),$F$9))^(D67-1),0)</f>
        <v>0</v>
      </c>
      <c r="H67" s="22">
        <f>IF(AND($N$9&gt;0,D67&gt;=$O$9,D67&lt;=$P$9),$N$9*12*(1+IF($M$9="CRC",N($F$8),$F$9))^(D67-1),0)</f>
        <v>54918</v>
      </c>
      <c r="I67" s="22">
        <f>SUMPRODUCT(('Ingresos'!$H$14:$H$17&gt;=B67)*'Ingresos'!$G$14:$G$17*(1+('Ingresos'!$E$14:$E$17="CRC")*N($F$8)+('Ingresos'!$E$14:$E$17&lt;&gt;"CRC")*$F$9)^(D67-1))*12</f>
        <v>0</v>
      </c>
      <c r="J67" s="22">
        <f>IF(AND($N$10&gt;0,D67&gt;=N($O$10)),$N$10*12*(1+IF($M$10="CRC",N($F$8),$F$9))^(N($O$10)-1)*(1+N($F$10))^(D67-N($O$10))*IF(D67=N($O$10),IF(AND(ISNUMBER($F$21),N($F$20)&gt;=$C$30),(12-$F$21)/12,1),1),0)</f>
        <v>52788</v>
      </c>
      <c r="K67" s="22">
        <f>'Pensiones'!T56</f>
        <v>12554</v>
      </c>
      <c r="L67" s="22">
        <f>'Pensiones'!U56</f>
        <v>14740</v>
      </c>
      <c r="M67" s="23">
        <f>SUM(F67:L67)</f>
        <v>135001</v>
      </c>
      <c r="N67" s="22">
        <f>SUMPRODUCT(('Ingresos'!$H$22:$H$26=B67)*'Ingresos'!$G$22:$G$26*(1+('Ingresos'!$E$22:$E$26="CRC")*N($F$8)+('Ingresos'!$E$22:$E$26&lt;&gt;"CRC")*$F$9)^(D67-1))</f>
        <v>0</v>
      </c>
      <c r="O67" s="22">
        <f>'Pensiones'!S56</f>
        <v>0</v>
      </c>
      <c r="P67" s="23">
        <f>SUM(N67:O67)</f>
        <v>0</v>
      </c>
      <c r="Q67" s="23">
        <f>M67+P67</f>
        <v>135001</v>
      </c>
      <c r="R67" s="22">
        <f>$W$7*12*(N($F$22)*(1+$F$9)^(D67-1)+(1-N($F$22))*(1+N($F$8))^(D67-1))*IF(D67&gt;$F$19,$F$18,1)</f>
        <v>271844</v>
      </c>
      <c r="S67" s="22">
        <f>SUMPRODUCT(('Gastos'!$H$14:$H$17&lt;=B67)*('Gastos'!$H$14:$H$17+'Gastos'!$I$14:$I$17&gt;B67)*'Gastos'!$G$14:$G$17*(1+('Gastos'!$E$14:$E$17="CRC")*N($F$8)+('Gastos'!$E$14:$E$17&lt;&gt;"CRC")*$F$9)^(D67-1))</f>
        <v>0</v>
      </c>
      <c r="T67" s="22">
        <f>$W$10*(1+IF($V$10="CRC",N($F$8),$F$9))^(D67-1)</f>
        <v>12357</v>
      </c>
      <c r="U67" s="22">
        <f>(IF(D67&lt;=$X$11,$W$11*12,0)+IF('Gastos'!$G$28="Sí",0,SUMPRODUCT(('Gastos'!$H$22:$H$26&gt;=B67)*'Gastos'!$G$22:$G$26)*12)+SUMPRODUCT(('Gastos'!$H$43:$H$45&lt;=B67)*('Gastos'!$H$43:$H$45+'Gastos'!$I$43:$I$45-1&gt;=B67)*'Gastos'!$K$43:$K$45))</f>
        <v>0</v>
      </c>
      <c r="V67" s="23">
        <f>SUM(R67:U67)</f>
        <v>284200</v>
      </c>
      <c r="W67" s="22">
        <f>SUMPRODUCT(('Gastos'!$I$33:$I$37=1)*('Gastos'!$H$33:$H$37=B67)*'Gastos'!$G$33:$G$37*(1+('Gastos'!$E$33:$E$37="CRC")*N($F$8)+('Gastos'!$E$33:$E$37&lt;&gt;"CRC")*$F$9)^(D67-1))+SUMPRODUCT(('Gastos'!$I$33:$I$37=2)*('Gastos'!$H$33:$H$37&lt;=B67)*'Gastos'!$G$33:$G$37*(1+('Gastos'!$E$33:$E$37="CRC")*N($F$8)+('Gastos'!$E$33:$E$37&lt;&gt;"CRC")*$F$9)^(D67-1))+SUMPRODUCT(('Retiros del portafolio'!$H$15:$H$18=B67)*'Retiros del portafolio'!$G$15:$G$18*(1+('Retiros del portafolio'!$E$15:$E$18="CRC")*N($F$8)+('Retiros del portafolio'!$E$15:$E$18&lt;&gt;"CRC")*$F$9)^(D67-1))</f>
        <v>24713</v>
      </c>
      <c r="X67" s="22">
        <f>SUMPRODUCT(('Retiros del portafolio'!$H$6:$H$9=B67)*'Retiros del portafolio'!$G$6:$G$9*(1+('Retiros del portafolio'!$E$6:$E$9="CRC")*N($F$8)+('Retiros del portafolio'!$E$6:$E$9&lt;&gt;"CRC")*$F$9)^(D67-1))</f>
        <v>0</v>
      </c>
      <c r="Y67" s="23">
        <f>W67+X67</f>
        <v>24713</v>
      </c>
      <c r="Z67" s="23">
        <f>V67+Y67</f>
        <v>308913</v>
      </c>
      <c r="AA67" s="23">
        <f>Q67-Z67</f>
        <v>-173913</v>
      </c>
      <c r="AB67" s="22">
        <f>SUMPRODUCT(('Desinversiones'!$H$6:$H$10=B67)*('Desinversiones'!$I$6:$I$10=1)*'Desinversiones'!$G$6:$G$10*(1+('Desinversiones'!$E$6:$E$10="CRC")*N($F$8)+('Desinversiones'!$E$6:$E$10&lt;&gt;"CRC")*$F$9)^(D67-1))</f>
        <v>0</v>
      </c>
      <c r="AC67" s="22">
        <f>SUMPRODUCT(('Desinversiones'!$H$6:$H$10=B67)*('Desinversiones'!$I$6:$I$10=2)*'Desinversiones'!$G$6:$G$10*(1+('Desinversiones'!$E$6:$E$10="CRC")*N($F$8)+('Desinversiones'!$E$6:$E$10&lt;&gt;"CRC")*$F$9)^(D67-1))</f>
        <v>0</v>
      </c>
      <c r="AD67" s="22">
        <f>SUMPRODUCT(('Desinversiones'!$H$6:$H$10=B67)*('Desinversiones'!$I$6:$I$10=3)*'Desinversiones'!$G$6:$G$10*(1+('Desinversiones'!$E$6:$E$10="CRC")*N($F$8)+('Desinversiones'!$E$6:$E$10&lt;&gt;"CRC")*$F$9)^(D67-1))</f>
        <v>0</v>
      </c>
      <c r="AE67" s="23">
        <f>SUM(AB67:AD67)</f>
        <v>0</v>
      </c>
      <c r="AF67" s="23">
        <f>AE67</f>
        <v>0</v>
      </c>
      <c r="AG67" s="22">
        <f>AJ66</f>
        <v>0</v>
      </c>
      <c r="AH67" s="22">
        <f>AG67*$F$13</f>
        <v>0</v>
      </c>
      <c r="AI67" s="23">
        <f>AA67+AF67</f>
        <v>-173913</v>
      </c>
      <c r="AJ67" s="23">
        <f>AG67+AH67+AI67+AM67</f>
        <v>0</v>
      </c>
      <c r="AK67" s="22">
        <f>AJ67/(1+$F$9)^(D67-1+$F$24/12)</f>
        <v>0</v>
      </c>
      <c r="AL67" s="24">
        <f>IF(AG67&lt;=0,0,MAX(0,-AI67)/AG67)</f>
        <v>0</v>
      </c>
      <c r="AM67" s="22">
        <f>MAX(0,-(AG67+AH67+AI67))</f>
        <v>173913</v>
      </c>
    </row>
    <row r="68">
      <c r="B68" s="25">
        <f>B67+1</f>
        <v>2064</v>
      </c>
      <c r="C68" s="25">
        <f>C67+1</f>
        <v>84</v>
      </c>
      <c r="D68" s="25">
        <f>D67+1</f>
        <v>39</v>
      </c>
      <c r="E68" s="26" t="str">
        <f>IF(D68&lt;=$F$19,"Acumulación","Retiro")</f>
        <v>Retiro</v>
      </c>
      <c r="F68" s="22">
        <f>IF(D68&lt;=$P$7,$N$7*12*(1+IF($M$7="CRC",N($F$8),$F$9))^(D68-1),0)</f>
        <v>0</v>
      </c>
      <c r="G68" s="22">
        <f>IF(D68&lt;=$P$8,$N$8*12*(1+IF($M$8="CRC",N($F$8),$F$9))^(D68-1),0)</f>
        <v>0</v>
      </c>
      <c r="H68" s="22">
        <f>IF(AND($N$9&gt;0,D68&gt;=$O$9,D68&lt;=$P$9),$N$9*12*(1+IF($M$9="CRC",N($F$8),$F$9))^(D68-1),0)</f>
        <v>57060</v>
      </c>
      <c r="I68" s="22">
        <f>SUMPRODUCT(('Ingresos'!$H$14:$H$17&gt;=B68)*'Ingresos'!$G$14:$G$17*(1+('Ingresos'!$E$14:$E$17="CRC")*N($F$8)+('Ingresos'!$E$14:$E$17&lt;&gt;"CRC")*$F$9)^(D68-1))*12</f>
        <v>0</v>
      </c>
      <c r="J68" s="22">
        <f>IF(AND($N$10&gt;0,D68&gt;=N($O$10)),$N$10*12*(1+IF($M$10="CRC",N($F$8),$F$9))^(N($O$10)-1)*(1+N($F$10))^(D68-N($O$10))*IF(D68=N($O$10),IF(AND(ISNUMBER($F$21),N($F$20)&gt;=$C$30),(12-$F$21)/12,1),1),0)</f>
        <v>53316</v>
      </c>
      <c r="K68" s="22">
        <f>'Pensiones'!T57</f>
        <v>12554</v>
      </c>
      <c r="L68" s="22">
        <f>'Pensiones'!U57</f>
        <v>14740</v>
      </c>
      <c r="M68" s="23">
        <f>SUM(F68:L68)</f>
        <v>137670</v>
      </c>
      <c r="N68" s="22">
        <f>SUMPRODUCT(('Ingresos'!$H$22:$H$26=B68)*'Ingresos'!$G$22:$G$26*(1+('Ingresos'!$E$22:$E$26="CRC")*N($F$8)+('Ingresos'!$E$22:$E$26&lt;&gt;"CRC")*$F$9)^(D68-1))</f>
        <v>0</v>
      </c>
      <c r="O68" s="22">
        <f>'Pensiones'!S57</f>
        <v>0</v>
      </c>
      <c r="P68" s="23">
        <f>SUM(N68:O68)</f>
        <v>0</v>
      </c>
      <c r="Q68" s="23">
        <f>M68+P68</f>
        <v>137670</v>
      </c>
      <c r="R68" s="22">
        <f>$W$7*12*(N($F$22)*(1+$F$9)^(D68-1)+(1-N($F$22))*(1+N($F$8))^(D68-1))*IF(D68&gt;$F$19,$F$18,1)</f>
        <v>282446</v>
      </c>
      <c r="S68" s="22">
        <f>SUMPRODUCT(('Gastos'!$H$14:$H$17&lt;=B68)*('Gastos'!$H$14:$H$17+'Gastos'!$I$14:$I$17&gt;B68)*'Gastos'!$G$14:$G$17*(1+('Gastos'!$E$14:$E$17="CRC")*N($F$8)+('Gastos'!$E$14:$E$17&lt;&gt;"CRC")*$F$9)^(D68-1))</f>
        <v>0</v>
      </c>
      <c r="T68" s="22">
        <f>$W$10*(1+IF($V$10="CRC",N($F$8),$F$9))^(D68-1)</f>
        <v>12838</v>
      </c>
      <c r="U68" s="22">
        <f>(IF(D68&lt;=$X$11,$W$11*12,0)+IF('Gastos'!$G$28="Sí",0,SUMPRODUCT(('Gastos'!$H$22:$H$26&gt;=B68)*'Gastos'!$G$22:$G$26)*12)+SUMPRODUCT(('Gastos'!$H$43:$H$45&lt;=B68)*('Gastos'!$H$43:$H$45+'Gastos'!$I$43:$I$45-1&gt;=B68)*'Gastos'!$K$43:$K$45))</f>
        <v>0</v>
      </c>
      <c r="V68" s="23">
        <f>SUM(R68:U68)</f>
        <v>295284</v>
      </c>
      <c r="W68" s="22">
        <f>SUMPRODUCT(('Gastos'!$I$33:$I$37=1)*('Gastos'!$H$33:$H$37=B68)*'Gastos'!$G$33:$G$37*(1+('Gastos'!$E$33:$E$37="CRC")*N($F$8)+('Gastos'!$E$33:$E$37&lt;&gt;"CRC")*$F$9)^(D68-1))+SUMPRODUCT(('Gastos'!$I$33:$I$37=2)*('Gastos'!$H$33:$H$37&lt;=B68)*'Gastos'!$G$33:$G$37*(1+('Gastos'!$E$33:$E$37="CRC")*N($F$8)+('Gastos'!$E$33:$E$37&lt;&gt;"CRC")*$F$9)^(D68-1))+SUMPRODUCT(('Retiros del portafolio'!$H$15:$H$18=B68)*'Retiros del portafolio'!$G$15:$G$18*(1+('Retiros del portafolio'!$E$15:$E$18="CRC")*N($F$8)+('Retiros del portafolio'!$E$15:$E$18&lt;&gt;"CRC")*$F$9)^(D68-1))</f>
        <v>25677</v>
      </c>
      <c r="X68" s="22">
        <f>SUMPRODUCT(('Retiros del portafolio'!$H$6:$H$9=B68)*'Retiros del portafolio'!$G$6:$G$9*(1+('Retiros del portafolio'!$E$6:$E$9="CRC")*N($F$8)+('Retiros del portafolio'!$E$6:$E$9&lt;&gt;"CRC")*$F$9)^(D68-1))</f>
        <v>0</v>
      </c>
      <c r="Y68" s="23">
        <f>W68+X68</f>
        <v>25677</v>
      </c>
      <c r="Z68" s="23">
        <f>V68+Y68</f>
        <v>320961</v>
      </c>
      <c r="AA68" s="23">
        <f>Q68-Z68</f>
        <v>-183290</v>
      </c>
      <c r="AB68" s="22">
        <f>SUMPRODUCT(('Desinversiones'!$H$6:$H$10=B68)*('Desinversiones'!$I$6:$I$10=1)*'Desinversiones'!$G$6:$G$10*(1+('Desinversiones'!$E$6:$E$10="CRC")*N($F$8)+('Desinversiones'!$E$6:$E$10&lt;&gt;"CRC")*$F$9)^(D68-1))</f>
        <v>0</v>
      </c>
      <c r="AC68" s="22">
        <f>SUMPRODUCT(('Desinversiones'!$H$6:$H$10=B68)*('Desinversiones'!$I$6:$I$10=2)*'Desinversiones'!$G$6:$G$10*(1+('Desinversiones'!$E$6:$E$10="CRC")*N($F$8)+('Desinversiones'!$E$6:$E$10&lt;&gt;"CRC")*$F$9)^(D68-1))</f>
        <v>0</v>
      </c>
      <c r="AD68" s="22">
        <f>SUMPRODUCT(('Desinversiones'!$H$6:$H$10=B68)*('Desinversiones'!$I$6:$I$10=3)*'Desinversiones'!$G$6:$G$10*(1+('Desinversiones'!$E$6:$E$10="CRC")*N($F$8)+('Desinversiones'!$E$6:$E$10&lt;&gt;"CRC")*$F$9)^(D68-1))</f>
        <v>0</v>
      </c>
      <c r="AE68" s="23">
        <f>SUM(AB68:AD68)</f>
        <v>0</v>
      </c>
      <c r="AF68" s="23">
        <f>AE68</f>
        <v>0</v>
      </c>
      <c r="AG68" s="22">
        <f>AJ67</f>
        <v>0</v>
      </c>
      <c r="AH68" s="22">
        <f>AG68*$F$13</f>
        <v>0</v>
      </c>
      <c r="AI68" s="23">
        <f>AA68+AF68</f>
        <v>-183290</v>
      </c>
      <c r="AJ68" s="23">
        <f>AG68+AH68+AI68+AM68</f>
        <v>0</v>
      </c>
      <c r="AK68" s="22">
        <f>AJ68/(1+$F$9)^(D68-1+$F$24/12)</f>
        <v>0</v>
      </c>
      <c r="AL68" s="24">
        <f>IF(AG68&lt;=0,0,MAX(0,-AI68)/AG68)</f>
        <v>0</v>
      </c>
      <c r="AM68" s="22">
        <f>MAX(0,-(AG68+AH68+AI68))</f>
        <v>183290</v>
      </c>
    </row>
    <row r="69">
      <c r="B69" s="25">
        <f>B68+1</f>
        <v>2065</v>
      </c>
      <c r="C69" s="25">
        <f>C68+1</f>
        <v>85</v>
      </c>
      <c r="D69" s="25">
        <f>D68+1</f>
        <v>40</v>
      </c>
      <c r="E69" s="26" t="str">
        <f>IF(D69&lt;=$F$19,"Acumulación","Retiro")</f>
        <v>Retiro</v>
      </c>
      <c r="F69" s="22">
        <f>IF(D69&lt;=$P$7,$N$7*12*(1+IF($M$7="CRC",N($F$8),$F$9))^(D69-1),0)</f>
        <v>0</v>
      </c>
      <c r="G69" s="22">
        <f>IF(D69&lt;=$P$8,$N$8*12*(1+IF($M$8="CRC",N($F$8),$F$9))^(D69-1),0)</f>
        <v>0</v>
      </c>
      <c r="H69" s="22">
        <f>IF(AND($N$9&gt;0,D69&gt;=$O$9,D69&lt;=$P$9),$N$9*12*(1+IF($M$9="CRC",N($F$8),$F$9))^(D69-1),0)</f>
        <v>59285</v>
      </c>
      <c r="I69" s="22">
        <f>SUMPRODUCT(('Ingresos'!$H$14:$H$17&gt;=B69)*'Ingresos'!$G$14:$G$17*(1+('Ingresos'!$E$14:$E$17="CRC")*N($F$8)+('Ingresos'!$E$14:$E$17&lt;&gt;"CRC")*$F$9)^(D69-1))*12</f>
        <v>0</v>
      </c>
      <c r="J69" s="22">
        <f>IF(AND($N$10&gt;0,D69&gt;=N($O$10)),$N$10*12*(1+IF($M$10="CRC",N($F$8),$F$9))^(N($O$10)-1)*(1+N($F$10))^(D69-N($O$10))*IF(D69=N($O$10),IF(AND(ISNUMBER($F$21),N($F$20)&gt;=$C$30),(12-$F$21)/12,1),1),0)</f>
        <v>53849</v>
      </c>
      <c r="K69" s="22">
        <f>'Pensiones'!T58</f>
        <v>12554</v>
      </c>
      <c r="L69" s="22">
        <f>'Pensiones'!U58</f>
        <v>14740</v>
      </c>
      <c r="M69" s="23">
        <f>SUM(F69:L69)</f>
        <v>140429</v>
      </c>
      <c r="N69" s="22">
        <f>SUMPRODUCT(('Ingresos'!$H$22:$H$26=B69)*'Ingresos'!$G$22:$G$26*(1+('Ingresos'!$E$22:$E$26="CRC")*N($F$8)+('Ingresos'!$E$22:$E$26&lt;&gt;"CRC")*$F$9)^(D69-1))</f>
        <v>0</v>
      </c>
      <c r="O69" s="22">
        <f>'Pensiones'!S58</f>
        <v>0</v>
      </c>
      <c r="P69" s="23">
        <f>SUM(N69:O69)</f>
        <v>0</v>
      </c>
      <c r="Q69" s="23">
        <f>M69+P69</f>
        <v>140429</v>
      </c>
      <c r="R69" s="22">
        <f>$W$7*12*(N($F$22)*(1+$F$9)^(D69-1)+(1-N($F$22))*(1+N($F$8))^(D69-1))*IF(D69&gt;$F$19,$F$18,1)</f>
        <v>293461</v>
      </c>
      <c r="S69" s="22">
        <f>SUMPRODUCT(('Gastos'!$H$14:$H$17&lt;=B69)*('Gastos'!$H$14:$H$17+'Gastos'!$I$14:$I$17&gt;B69)*'Gastos'!$G$14:$G$17*(1+('Gastos'!$E$14:$E$17="CRC")*N($F$8)+('Gastos'!$E$14:$E$17&lt;&gt;"CRC")*$F$9)^(D69-1))</f>
        <v>0</v>
      </c>
      <c r="T69" s="22">
        <f>$W$10*(1+IF($V$10="CRC",N($F$8),$F$9))^(D69-1)</f>
        <v>13339</v>
      </c>
      <c r="U69" s="22">
        <f>(IF(D69&lt;=$X$11,$W$11*12,0)+IF('Gastos'!$G$28="Sí",0,SUMPRODUCT(('Gastos'!$H$22:$H$26&gt;=B69)*'Gastos'!$G$22:$G$26)*12)+SUMPRODUCT(('Gastos'!$H$43:$H$45&lt;=B69)*('Gastos'!$H$43:$H$45+'Gastos'!$I$43:$I$45-1&gt;=B69)*'Gastos'!$K$43:$K$45))</f>
        <v>0</v>
      </c>
      <c r="V69" s="23">
        <f>SUM(R69:U69)</f>
        <v>306800</v>
      </c>
      <c r="W69" s="22">
        <f>SUMPRODUCT(('Gastos'!$I$33:$I$37=1)*('Gastos'!$H$33:$H$37=B69)*'Gastos'!$G$33:$G$37*(1+('Gastos'!$E$33:$E$37="CRC")*N($F$8)+('Gastos'!$E$33:$E$37&lt;&gt;"CRC")*$F$9)^(D69-1))+SUMPRODUCT(('Gastos'!$I$33:$I$37=2)*('Gastos'!$H$33:$H$37&lt;=B69)*'Gastos'!$G$33:$G$37*(1+('Gastos'!$E$33:$E$37="CRC")*N($F$8)+('Gastos'!$E$33:$E$37&lt;&gt;"CRC")*$F$9)^(D69-1))+SUMPRODUCT(('Retiros del portafolio'!$H$15:$H$18=B69)*'Retiros del portafolio'!$G$15:$G$18*(1+('Retiros del portafolio'!$E$15:$E$18="CRC")*N($F$8)+('Retiros del portafolio'!$E$15:$E$18&lt;&gt;"CRC")*$F$9)^(D69-1))</f>
        <v>26678</v>
      </c>
      <c r="X69" s="22">
        <f>SUMPRODUCT(('Retiros del portafolio'!$H$6:$H$9=B69)*'Retiros del portafolio'!$G$6:$G$9*(1+('Retiros del portafolio'!$E$6:$E$9="CRC")*N($F$8)+('Retiros del portafolio'!$E$6:$E$9&lt;&gt;"CRC")*$F$9)^(D69-1))</f>
        <v>0</v>
      </c>
      <c r="Y69" s="23">
        <f>W69+X69</f>
        <v>26678</v>
      </c>
      <c r="Z69" s="23">
        <f>V69+Y69</f>
        <v>333478</v>
      </c>
      <c r="AA69" s="23">
        <f>Q69-Z69</f>
        <v>-193049</v>
      </c>
      <c r="AB69" s="22">
        <f>SUMPRODUCT(('Desinversiones'!$H$6:$H$10=B69)*('Desinversiones'!$I$6:$I$10=1)*'Desinversiones'!$G$6:$G$10*(1+('Desinversiones'!$E$6:$E$10="CRC")*N($F$8)+('Desinversiones'!$E$6:$E$10&lt;&gt;"CRC")*$F$9)^(D69-1))</f>
        <v>0</v>
      </c>
      <c r="AC69" s="22">
        <f>SUMPRODUCT(('Desinversiones'!$H$6:$H$10=B69)*('Desinversiones'!$I$6:$I$10=2)*'Desinversiones'!$G$6:$G$10*(1+('Desinversiones'!$E$6:$E$10="CRC")*N($F$8)+('Desinversiones'!$E$6:$E$10&lt;&gt;"CRC")*$F$9)^(D69-1))</f>
        <v>0</v>
      </c>
      <c r="AD69" s="22">
        <f>SUMPRODUCT(('Desinversiones'!$H$6:$H$10=B69)*('Desinversiones'!$I$6:$I$10=3)*'Desinversiones'!$G$6:$G$10*(1+('Desinversiones'!$E$6:$E$10="CRC")*N($F$8)+('Desinversiones'!$E$6:$E$10&lt;&gt;"CRC")*$F$9)^(D69-1))</f>
        <v>0</v>
      </c>
      <c r="AE69" s="23">
        <f>SUM(AB69:AD69)</f>
        <v>0</v>
      </c>
      <c r="AF69" s="23">
        <f>AE69</f>
        <v>0</v>
      </c>
      <c r="AG69" s="22">
        <f>AJ68</f>
        <v>0</v>
      </c>
      <c r="AH69" s="22">
        <f>AG69*$F$13</f>
        <v>0</v>
      </c>
      <c r="AI69" s="23">
        <f>AA69+AF69</f>
        <v>-193049</v>
      </c>
      <c r="AJ69" s="23">
        <f>AG69+AH69+AI69+AM69</f>
        <v>0</v>
      </c>
      <c r="AK69" s="22">
        <f>AJ69/(1+$F$9)^(D69-1+$F$24/12)</f>
        <v>0</v>
      </c>
      <c r="AL69" s="24">
        <f>IF(AG69&lt;=0,0,MAX(0,-AI69)/AG69)</f>
        <v>0</v>
      </c>
      <c r="AM69" s="22">
        <f>MAX(0,-(AG69+AH69+AI69))</f>
        <v>193049</v>
      </c>
    </row>
    <row r="70">
      <c r="B70" s="25">
        <f>B69+1</f>
        <v>2066</v>
      </c>
      <c r="C70" s="25">
        <f>C69+1</f>
        <v>86</v>
      </c>
      <c r="D70" s="25">
        <f>D69+1</f>
        <v>41</v>
      </c>
      <c r="E70" s="26" t="str">
        <f>IF(D70&lt;=$F$19,"Acumulación","Retiro")</f>
        <v>Retiro</v>
      </c>
      <c r="F70" s="22">
        <f>IF(D70&lt;=$P$7,$N$7*12*(1+IF($M$7="CRC",N($F$8),$F$9))^(D70-1),0)</f>
        <v>0</v>
      </c>
      <c r="G70" s="22">
        <f>IF(D70&lt;=$P$8,$N$8*12*(1+IF($M$8="CRC",N($F$8),$F$9))^(D70-1),0)</f>
        <v>0</v>
      </c>
      <c r="H70" s="22">
        <f>IF(AND($N$9&gt;0,D70&gt;=$O$9,D70&lt;=$P$9),$N$9*12*(1+IF($M$9="CRC",N($F$8),$F$9))^(D70-1),0)</f>
        <v>61597</v>
      </c>
      <c r="I70" s="22">
        <f>SUMPRODUCT(('Ingresos'!$H$14:$H$17&gt;=B70)*'Ingresos'!$G$14:$G$17*(1+('Ingresos'!$E$14:$E$17="CRC")*N($F$8)+('Ingresos'!$E$14:$E$17&lt;&gt;"CRC")*$F$9)^(D70-1))*12</f>
        <v>0</v>
      </c>
      <c r="J70" s="22">
        <f>IF(AND($N$10&gt;0,D70&gt;=N($O$10)),$N$10*12*(1+IF($M$10="CRC",N($F$8),$F$9))^(N($O$10)-1)*(1+N($F$10))^(D70-N($O$10))*IF(D70=N($O$10),IF(AND(ISNUMBER($F$21),N($F$20)&gt;=$C$30),(12-$F$21)/12,1),1),0)</f>
        <v>54388</v>
      </c>
      <c r="K70" s="22">
        <f>'Pensiones'!T59</f>
        <v>12554</v>
      </c>
      <c r="L70" s="22">
        <f>'Pensiones'!U59</f>
        <v>14740</v>
      </c>
      <c r="M70" s="23">
        <f>SUM(F70:L70)</f>
        <v>143280</v>
      </c>
      <c r="N70" s="22">
        <f>SUMPRODUCT(('Ingresos'!$H$22:$H$26=B70)*'Ingresos'!$G$22:$G$26*(1+('Ingresos'!$E$22:$E$26="CRC")*N($F$8)+('Ingresos'!$E$22:$E$26&lt;&gt;"CRC")*$F$9)^(D70-1))</f>
        <v>0</v>
      </c>
      <c r="O70" s="22">
        <f>'Pensiones'!S59</f>
        <v>0</v>
      </c>
      <c r="P70" s="23">
        <f>SUM(N70:O70)</f>
        <v>0</v>
      </c>
      <c r="Q70" s="23">
        <f>M70+P70</f>
        <v>143280</v>
      </c>
      <c r="R70" s="22">
        <f>$W$7*12*(N($F$22)*(1+$F$9)^(D70-1)+(1-N($F$22))*(1+N($F$8))^(D70-1))*IF(D70&gt;$F$19,$F$18,1)</f>
        <v>304906</v>
      </c>
      <c r="S70" s="22">
        <f>SUMPRODUCT(('Gastos'!$H$14:$H$17&lt;=B70)*('Gastos'!$H$14:$H$17+'Gastos'!$I$14:$I$17&gt;B70)*'Gastos'!$G$14:$G$17*(1+('Gastos'!$E$14:$E$17="CRC")*N($F$8)+('Gastos'!$E$14:$E$17&lt;&gt;"CRC")*$F$9)^(D70-1))</f>
        <v>0</v>
      </c>
      <c r="T70" s="22">
        <f>$W$10*(1+IF($V$10="CRC",N($F$8),$F$9))^(D70-1)</f>
        <v>13859</v>
      </c>
      <c r="U70" s="22">
        <f>(IF(D70&lt;=$X$11,$W$11*12,0)+IF('Gastos'!$G$28="Sí",0,SUMPRODUCT(('Gastos'!$H$22:$H$26&gt;=B70)*'Gastos'!$G$22:$G$26)*12)+SUMPRODUCT(('Gastos'!$H$43:$H$45&lt;=B70)*('Gastos'!$H$43:$H$45+'Gastos'!$I$43:$I$45-1&gt;=B70)*'Gastos'!$K$43:$K$45))</f>
        <v>0</v>
      </c>
      <c r="V70" s="23">
        <f>SUM(R70:U70)</f>
        <v>318765</v>
      </c>
      <c r="W70" s="22">
        <f>SUMPRODUCT(('Gastos'!$I$33:$I$37=1)*('Gastos'!$H$33:$H$37=B70)*'Gastos'!$G$33:$G$37*(1+('Gastos'!$E$33:$E$37="CRC")*N($F$8)+('Gastos'!$E$33:$E$37&lt;&gt;"CRC")*$F$9)^(D70-1))+SUMPRODUCT(('Gastos'!$I$33:$I$37=2)*('Gastos'!$H$33:$H$37&lt;=B70)*'Gastos'!$G$33:$G$37*(1+('Gastos'!$E$33:$E$37="CRC")*N($F$8)+('Gastos'!$E$33:$E$37&lt;&gt;"CRC")*$F$9)^(D70-1))+SUMPRODUCT(('Retiros del portafolio'!$H$15:$H$18=B70)*'Retiros del portafolio'!$G$15:$G$18*(1+('Retiros del portafolio'!$E$15:$E$18="CRC")*N($F$8)+('Retiros del portafolio'!$E$15:$E$18&lt;&gt;"CRC")*$F$9)^(D70-1))</f>
        <v>27719</v>
      </c>
      <c r="X70" s="22">
        <f>SUMPRODUCT(('Retiros del portafolio'!$H$6:$H$9=B70)*'Retiros del portafolio'!$G$6:$G$9*(1+('Retiros del portafolio'!$E$6:$E$9="CRC")*N($F$8)+('Retiros del portafolio'!$E$6:$E$9&lt;&gt;"CRC")*$F$9)^(D70-1))</f>
        <v>0</v>
      </c>
      <c r="Y70" s="23">
        <f>W70+X70</f>
        <v>27719</v>
      </c>
      <c r="Z70" s="23">
        <f>V70+Y70</f>
        <v>346484</v>
      </c>
      <c r="AA70" s="23">
        <f>Q70-Z70</f>
        <v>-203204</v>
      </c>
      <c r="AB70" s="22">
        <f>SUMPRODUCT(('Desinversiones'!$H$6:$H$10=B70)*('Desinversiones'!$I$6:$I$10=1)*'Desinversiones'!$G$6:$G$10*(1+('Desinversiones'!$E$6:$E$10="CRC")*N($F$8)+('Desinversiones'!$E$6:$E$10&lt;&gt;"CRC")*$F$9)^(D70-1))</f>
        <v>0</v>
      </c>
      <c r="AC70" s="22">
        <f>SUMPRODUCT(('Desinversiones'!$H$6:$H$10=B70)*('Desinversiones'!$I$6:$I$10=2)*'Desinversiones'!$G$6:$G$10*(1+('Desinversiones'!$E$6:$E$10="CRC")*N($F$8)+('Desinversiones'!$E$6:$E$10&lt;&gt;"CRC")*$F$9)^(D70-1))</f>
        <v>0</v>
      </c>
      <c r="AD70" s="22">
        <f>SUMPRODUCT(('Desinversiones'!$H$6:$H$10=B70)*('Desinversiones'!$I$6:$I$10=3)*'Desinversiones'!$G$6:$G$10*(1+('Desinversiones'!$E$6:$E$10="CRC")*N($F$8)+('Desinversiones'!$E$6:$E$10&lt;&gt;"CRC")*$F$9)^(D70-1))</f>
        <v>0</v>
      </c>
      <c r="AE70" s="23">
        <f>SUM(AB70:AD70)</f>
        <v>0</v>
      </c>
      <c r="AF70" s="23">
        <f>AE70</f>
        <v>0</v>
      </c>
      <c r="AG70" s="22">
        <f>AJ69</f>
        <v>0</v>
      </c>
      <c r="AH70" s="22">
        <f>AG70*$F$13</f>
        <v>0</v>
      </c>
      <c r="AI70" s="23">
        <f>AA70+AF70</f>
        <v>-203204</v>
      </c>
      <c r="AJ70" s="23">
        <f>AG70+AH70+AI70+AM70</f>
        <v>0</v>
      </c>
      <c r="AK70" s="22">
        <f>AJ70/(1+$F$9)^(D70-1+$F$24/12)</f>
        <v>0</v>
      </c>
      <c r="AL70" s="24">
        <f>IF(AG70&lt;=0,0,MAX(0,-AI70)/AG70)</f>
        <v>0</v>
      </c>
      <c r="AM70" s="22">
        <f>MAX(0,-(AG70+AH70+AI70))</f>
        <v>203204</v>
      </c>
    </row>
    <row r="71">
      <c r="B71" s="25">
        <f>B70+1</f>
        <v>2067</v>
      </c>
      <c r="C71" s="25">
        <f>C70+1</f>
        <v>87</v>
      </c>
      <c r="D71" s="25">
        <f>D70+1</f>
        <v>42</v>
      </c>
      <c r="E71" s="26" t="str">
        <f>IF(D71&lt;=$F$19,"Acumulación","Retiro")</f>
        <v>Retiro</v>
      </c>
      <c r="F71" s="22">
        <f>IF(D71&lt;=$P$7,$N$7*12*(1+IF($M$7="CRC",N($F$8),$F$9))^(D71-1),0)</f>
        <v>0</v>
      </c>
      <c r="G71" s="22">
        <f>IF(D71&lt;=$P$8,$N$8*12*(1+IF($M$8="CRC",N($F$8),$F$9))^(D71-1),0)</f>
        <v>0</v>
      </c>
      <c r="H71" s="22">
        <f>IF(AND($N$9&gt;0,D71&gt;=$O$9,D71&lt;=$P$9),$N$9*12*(1+IF($M$9="CRC",N($F$8),$F$9))^(D71-1),0)</f>
        <v>63999</v>
      </c>
      <c r="I71" s="22">
        <f>SUMPRODUCT(('Ingresos'!$H$14:$H$17&gt;=B71)*'Ingresos'!$G$14:$G$17*(1+('Ingresos'!$E$14:$E$17="CRC")*N($F$8)+('Ingresos'!$E$14:$E$17&lt;&gt;"CRC")*$F$9)^(D71-1))*12</f>
        <v>0</v>
      </c>
      <c r="J71" s="22">
        <f>IF(AND($N$10&gt;0,D71&gt;=N($O$10)),$N$10*12*(1+IF($M$10="CRC",N($F$8),$F$9))^(N($O$10)-1)*(1+N($F$10))^(D71-N($O$10))*IF(D71=N($O$10),IF(AND(ISNUMBER($F$21),N($F$20)&gt;=$C$30),(12-$F$21)/12,1),1),0)</f>
        <v>54932</v>
      </c>
      <c r="K71" s="22">
        <f>'Pensiones'!T60</f>
        <v>12554</v>
      </c>
      <c r="L71" s="22">
        <f>'Pensiones'!U60</f>
        <v>14740</v>
      </c>
      <c r="M71" s="23">
        <f>SUM(F71:L71)</f>
        <v>146226</v>
      </c>
      <c r="N71" s="22">
        <f>SUMPRODUCT(('Ingresos'!$H$22:$H$26=B71)*'Ingresos'!$G$22:$G$26*(1+('Ingresos'!$E$22:$E$26="CRC")*N($F$8)+('Ingresos'!$E$22:$E$26&lt;&gt;"CRC")*$F$9)^(D71-1))</f>
        <v>0</v>
      </c>
      <c r="O71" s="22">
        <f>'Pensiones'!S60</f>
        <v>0</v>
      </c>
      <c r="P71" s="23">
        <f>SUM(N71:O71)</f>
        <v>0</v>
      </c>
      <c r="Q71" s="23">
        <f>M71+P71</f>
        <v>146226</v>
      </c>
      <c r="R71" s="22">
        <f>$W$7*12*(N($F$22)*(1+$F$9)^(D71-1)+(1-N($F$22))*(1+N($F$8))^(D71-1))*IF(D71&gt;$F$19,$F$18,1)</f>
        <v>316797</v>
      </c>
      <c r="S71" s="22">
        <f>SUMPRODUCT(('Gastos'!$H$14:$H$17&lt;=B71)*('Gastos'!$H$14:$H$17+'Gastos'!$I$14:$I$17&gt;B71)*'Gastos'!$G$14:$G$17*(1+('Gastos'!$E$14:$E$17="CRC")*N($F$8)+('Gastos'!$E$14:$E$17&lt;&gt;"CRC")*$F$9)^(D71-1))</f>
        <v>0</v>
      </c>
      <c r="T71" s="22">
        <f>$W$10*(1+IF($V$10="CRC",N($F$8),$F$9))^(D71-1)</f>
        <v>14400</v>
      </c>
      <c r="U71" s="22">
        <f>(IF(D71&lt;=$X$11,$W$11*12,0)+IF('Gastos'!$G$28="Sí",0,SUMPRODUCT(('Gastos'!$H$22:$H$26&gt;=B71)*'Gastos'!$G$22:$G$26)*12)+SUMPRODUCT(('Gastos'!$H$43:$H$45&lt;=B71)*('Gastos'!$H$43:$H$45+'Gastos'!$I$43:$I$45-1&gt;=B71)*'Gastos'!$K$43:$K$45))</f>
        <v>0</v>
      </c>
      <c r="V71" s="23">
        <f>SUM(R71:U71)</f>
        <v>331197</v>
      </c>
      <c r="W71" s="22">
        <f>SUMPRODUCT(('Gastos'!$I$33:$I$37=1)*('Gastos'!$H$33:$H$37=B71)*'Gastos'!$G$33:$G$37*(1+('Gastos'!$E$33:$E$37="CRC")*N($F$8)+('Gastos'!$E$33:$E$37&lt;&gt;"CRC")*$F$9)^(D71-1))+SUMPRODUCT(('Gastos'!$I$33:$I$37=2)*('Gastos'!$H$33:$H$37&lt;=B71)*'Gastos'!$G$33:$G$37*(1+('Gastos'!$E$33:$E$37="CRC")*N($F$8)+('Gastos'!$E$33:$E$37&lt;&gt;"CRC")*$F$9)^(D71-1))+SUMPRODUCT(('Retiros del portafolio'!$H$15:$H$18=B71)*'Retiros del portafolio'!$G$15:$G$18*(1+('Retiros del portafolio'!$E$15:$E$18="CRC")*N($F$8)+('Retiros del portafolio'!$E$15:$E$18&lt;&gt;"CRC")*$F$9)^(D71-1))</f>
        <v>28800</v>
      </c>
      <c r="X71" s="22">
        <f>SUMPRODUCT(('Retiros del portafolio'!$H$6:$H$9=B71)*'Retiros del portafolio'!$G$6:$G$9*(1+('Retiros del portafolio'!$E$6:$E$9="CRC")*N($F$8)+('Retiros del portafolio'!$E$6:$E$9&lt;&gt;"CRC")*$F$9)^(D71-1))</f>
        <v>0</v>
      </c>
      <c r="Y71" s="23">
        <f>W71+X71</f>
        <v>28800</v>
      </c>
      <c r="Z71" s="23">
        <f>V71+Y71</f>
        <v>359997</v>
      </c>
      <c r="AA71" s="23">
        <f>Q71-Z71</f>
        <v>-213771</v>
      </c>
      <c r="AB71" s="22">
        <f>SUMPRODUCT(('Desinversiones'!$H$6:$H$10=B71)*('Desinversiones'!$I$6:$I$10=1)*'Desinversiones'!$G$6:$G$10*(1+('Desinversiones'!$E$6:$E$10="CRC")*N($F$8)+('Desinversiones'!$E$6:$E$10&lt;&gt;"CRC")*$F$9)^(D71-1))</f>
        <v>0</v>
      </c>
      <c r="AC71" s="22">
        <f>SUMPRODUCT(('Desinversiones'!$H$6:$H$10=B71)*('Desinversiones'!$I$6:$I$10=2)*'Desinversiones'!$G$6:$G$10*(1+('Desinversiones'!$E$6:$E$10="CRC")*N($F$8)+('Desinversiones'!$E$6:$E$10&lt;&gt;"CRC")*$F$9)^(D71-1))</f>
        <v>0</v>
      </c>
      <c r="AD71" s="22">
        <f>SUMPRODUCT(('Desinversiones'!$H$6:$H$10=B71)*('Desinversiones'!$I$6:$I$10=3)*'Desinversiones'!$G$6:$G$10*(1+('Desinversiones'!$E$6:$E$10="CRC")*N($F$8)+('Desinversiones'!$E$6:$E$10&lt;&gt;"CRC")*$F$9)^(D71-1))</f>
        <v>0</v>
      </c>
      <c r="AE71" s="23">
        <f>SUM(AB71:AD71)</f>
        <v>0</v>
      </c>
      <c r="AF71" s="23">
        <f>AE71</f>
        <v>0</v>
      </c>
      <c r="AG71" s="22">
        <f>AJ70</f>
        <v>0</v>
      </c>
      <c r="AH71" s="22">
        <f>AG71*$F$13</f>
        <v>0</v>
      </c>
      <c r="AI71" s="23">
        <f>AA71+AF71</f>
        <v>-213771</v>
      </c>
      <c r="AJ71" s="23">
        <f>AG71+AH71+AI71+AM71</f>
        <v>0</v>
      </c>
      <c r="AK71" s="22">
        <f>AJ71/(1+$F$9)^(D71-1+$F$24/12)</f>
        <v>0</v>
      </c>
      <c r="AL71" s="24">
        <f>IF(AG71&lt;=0,0,MAX(0,-AI71)/AG71)</f>
        <v>0</v>
      </c>
      <c r="AM71" s="22">
        <f>MAX(0,-(AG71+AH71+AI71))</f>
        <v>213771</v>
      </c>
    </row>
    <row r="72">
      <c r="B72" s="25">
        <f>B71+1</f>
        <v>2068</v>
      </c>
      <c r="C72" s="25">
        <f>C71+1</f>
        <v>88</v>
      </c>
      <c r="D72" s="25">
        <f>D71+1</f>
        <v>43</v>
      </c>
      <c r="E72" s="26" t="str">
        <f>IF(D72&lt;=$F$19,"Acumulación","Retiro")</f>
        <v>Retiro</v>
      </c>
      <c r="F72" s="22">
        <f>IF(D72&lt;=$P$7,$N$7*12*(1+IF($M$7="CRC",N($F$8),$F$9))^(D72-1),0)</f>
        <v>0</v>
      </c>
      <c r="G72" s="22">
        <f>IF(D72&lt;=$P$8,$N$8*12*(1+IF($M$8="CRC",N($F$8),$F$9))^(D72-1),0)</f>
        <v>0</v>
      </c>
      <c r="H72" s="22">
        <f>IF(AND($N$9&gt;0,D72&gt;=$O$9,D72&lt;=$P$9),$N$9*12*(1+IF($M$9="CRC",N($F$8),$F$9))^(D72-1),0)</f>
        <v>66495</v>
      </c>
      <c r="I72" s="22">
        <f>SUMPRODUCT(('Ingresos'!$H$14:$H$17&gt;=B72)*'Ingresos'!$G$14:$G$17*(1+('Ingresos'!$E$14:$E$17="CRC")*N($F$8)+('Ingresos'!$E$14:$E$17&lt;&gt;"CRC")*$F$9)^(D72-1))*12</f>
        <v>0</v>
      </c>
      <c r="J72" s="22">
        <f>IF(AND($N$10&gt;0,D72&gt;=N($O$10)),$N$10*12*(1+IF($M$10="CRC",N($F$8),$F$9))^(N($O$10)-1)*(1+N($F$10))^(D72-N($O$10))*IF(D72=N($O$10),IF(AND(ISNUMBER($F$21),N($F$20)&gt;=$C$30),(12-$F$21)/12,1),1),0)</f>
        <v>55481</v>
      </c>
      <c r="K72" s="22">
        <f>'Pensiones'!T61</f>
        <v>12554</v>
      </c>
      <c r="L72" s="22">
        <f>'Pensiones'!U61</f>
        <v>14740</v>
      </c>
      <c r="M72" s="23">
        <f>SUM(F72:L72)</f>
        <v>149271</v>
      </c>
      <c r="N72" s="22">
        <f>SUMPRODUCT(('Ingresos'!$H$22:$H$26=B72)*'Ingresos'!$G$22:$G$26*(1+('Ingresos'!$E$22:$E$26="CRC")*N($F$8)+('Ingresos'!$E$22:$E$26&lt;&gt;"CRC")*$F$9)^(D72-1))</f>
        <v>0</v>
      </c>
      <c r="O72" s="22">
        <f>'Pensiones'!S61</f>
        <v>0</v>
      </c>
      <c r="P72" s="23">
        <f>SUM(N72:O72)</f>
        <v>0</v>
      </c>
      <c r="Q72" s="23">
        <f>M72+P72</f>
        <v>149271</v>
      </c>
      <c r="R72" s="22">
        <f>$W$7*12*(N($F$22)*(1+$F$9)^(D72-1)+(1-N($F$22))*(1+N($F$8))^(D72-1))*IF(D72&gt;$F$19,$F$18,1)</f>
        <v>329152</v>
      </c>
      <c r="S72" s="22">
        <f>SUMPRODUCT(('Gastos'!$H$14:$H$17&lt;=B72)*('Gastos'!$H$14:$H$17+'Gastos'!$I$14:$I$17&gt;B72)*'Gastos'!$G$14:$G$17*(1+('Gastos'!$E$14:$E$17="CRC")*N($F$8)+('Gastos'!$E$14:$E$17&lt;&gt;"CRC")*$F$9)^(D72-1))</f>
        <v>0</v>
      </c>
      <c r="T72" s="22">
        <f>$W$10*(1+IF($V$10="CRC",N($F$8),$F$9))^(D72-1)</f>
        <v>14961</v>
      </c>
      <c r="U72" s="22">
        <f>(IF(D72&lt;=$X$11,$W$11*12,0)+IF('Gastos'!$G$28="Sí",0,SUMPRODUCT(('Gastos'!$H$22:$H$26&gt;=B72)*'Gastos'!$G$22:$G$26)*12)+SUMPRODUCT(('Gastos'!$H$43:$H$45&lt;=B72)*('Gastos'!$H$43:$H$45+'Gastos'!$I$43:$I$45-1&gt;=B72)*'Gastos'!$K$43:$K$45))</f>
        <v>0</v>
      </c>
      <c r="V72" s="23">
        <f>SUM(R72:U72)</f>
        <v>344114</v>
      </c>
      <c r="W72" s="22">
        <f>SUMPRODUCT(('Gastos'!$I$33:$I$37=1)*('Gastos'!$H$33:$H$37=B72)*'Gastos'!$G$33:$G$37*(1+('Gastos'!$E$33:$E$37="CRC")*N($F$8)+('Gastos'!$E$33:$E$37&lt;&gt;"CRC")*$F$9)^(D72-1))+SUMPRODUCT(('Gastos'!$I$33:$I$37=2)*('Gastos'!$H$33:$H$37&lt;=B72)*'Gastos'!$G$33:$G$37*(1+('Gastos'!$E$33:$E$37="CRC")*N($F$8)+('Gastos'!$E$33:$E$37&lt;&gt;"CRC")*$F$9)^(D72-1))+SUMPRODUCT(('Retiros del portafolio'!$H$15:$H$18=B72)*'Retiros del portafolio'!$G$15:$G$18*(1+('Retiros del portafolio'!$E$15:$E$18="CRC")*N($F$8)+('Retiros del portafolio'!$E$15:$E$18&lt;&gt;"CRC")*$F$9)^(D72-1))</f>
        <v>29923</v>
      </c>
      <c r="X72" s="22">
        <f>SUMPRODUCT(('Retiros del portafolio'!$H$6:$H$9=B72)*'Retiros del portafolio'!$G$6:$G$9*(1+('Retiros del portafolio'!$E$6:$E$9="CRC")*N($F$8)+('Retiros del portafolio'!$E$6:$E$9&lt;&gt;"CRC")*$F$9)^(D72-1))</f>
        <v>0</v>
      </c>
      <c r="Y72" s="23">
        <f>W72+X72</f>
        <v>29923</v>
      </c>
      <c r="Z72" s="23">
        <f>V72+Y72</f>
        <v>374037</v>
      </c>
      <c r="AA72" s="23">
        <f>Q72-Z72</f>
        <v>-224766</v>
      </c>
      <c r="AB72" s="22">
        <f>SUMPRODUCT(('Desinversiones'!$H$6:$H$10=B72)*('Desinversiones'!$I$6:$I$10=1)*'Desinversiones'!$G$6:$G$10*(1+('Desinversiones'!$E$6:$E$10="CRC")*N($F$8)+('Desinversiones'!$E$6:$E$10&lt;&gt;"CRC")*$F$9)^(D72-1))</f>
        <v>0</v>
      </c>
      <c r="AC72" s="22">
        <f>SUMPRODUCT(('Desinversiones'!$H$6:$H$10=B72)*('Desinversiones'!$I$6:$I$10=2)*'Desinversiones'!$G$6:$G$10*(1+('Desinversiones'!$E$6:$E$10="CRC")*N($F$8)+('Desinversiones'!$E$6:$E$10&lt;&gt;"CRC")*$F$9)^(D72-1))</f>
        <v>0</v>
      </c>
      <c r="AD72" s="22">
        <f>SUMPRODUCT(('Desinversiones'!$H$6:$H$10=B72)*('Desinversiones'!$I$6:$I$10=3)*'Desinversiones'!$G$6:$G$10*(1+('Desinversiones'!$E$6:$E$10="CRC")*N($F$8)+('Desinversiones'!$E$6:$E$10&lt;&gt;"CRC")*$F$9)^(D72-1))</f>
        <v>0</v>
      </c>
      <c r="AE72" s="23">
        <f>SUM(AB72:AD72)</f>
        <v>0</v>
      </c>
      <c r="AF72" s="23">
        <f>AE72</f>
        <v>0</v>
      </c>
      <c r="AG72" s="22">
        <f>AJ71</f>
        <v>0</v>
      </c>
      <c r="AH72" s="22">
        <f>AG72*$F$13</f>
        <v>0</v>
      </c>
      <c r="AI72" s="23">
        <f>AA72+AF72</f>
        <v>-224766</v>
      </c>
      <c r="AJ72" s="23">
        <f>AG72+AH72+AI72+AM72</f>
        <v>0</v>
      </c>
      <c r="AK72" s="22">
        <f>AJ72/(1+$F$9)^(D72-1+$F$24/12)</f>
        <v>0</v>
      </c>
      <c r="AL72" s="24">
        <f>IF(AG72&lt;=0,0,MAX(0,-AI72)/AG72)</f>
        <v>0</v>
      </c>
      <c r="AM72" s="22">
        <f>MAX(0,-(AG72+AH72+AI72))</f>
        <v>224766</v>
      </c>
    </row>
    <row r="73">
      <c r="B73" s="25">
        <f>B72+1</f>
        <v>2069</v>
      </c>
      <c r="C73" s="25">
        <f>C72+1</f>
        <v>89</v>
      </c>
      <c r="D73" s="25">
        <f>D72+1</f>
        <v>44</v>
      </c>
      <c r="E73" s="26" t="str">
        <f>IF(D73&lt;=$F$19,"Acumulación","Retiro")</f>
        <v>Retiro</v>
      </c>
      <c r="F73" s="22">
        <f>IF(D73&lt;=$P$7,$N$7*12*(1+IF($M$7="CRC",N($F$8),$F$9))^(D73-1),0)</f>
        <v>0</v>
      </c>
      <c r="G73" s="22">
        <f>IF(D73&lt;=$P$8,$N$8*12*(1+IF($M$8="CRC",N($F$8),$F$9))^(D73-1),0)</f>
        <v>0</v>
      </c>
      <c r="H73" s="22">
        <f>IF(AND($N$9&gt;0,D73&gt;=$O$9,D73&lt;=$P$9),$N$9*12*(1+IF($M$9="CRC",N($F$8),$F$9))^(D73-1),0)</f>
        <v>69089</v>
      </c>
      <c r="I73" s="22">
        <f>SUMPRODUCT(('Ingresos'!$H$14:$H$17&gt;=B73)*'Ingresos'!$G$14:$G$17*(1+('Ingresos'!$E$14:$E$17="CRC")*N($F$8)+('Ingresos'!$E$14:$E$17&lt;&gt;"CRC")*$F$9)^(D73-1))*12</f>
        <v>0</v>
      </c>
      <c r="J73" s="22">
        <f>IF(AND($N$10&gt;0,D73&gt;=N($O$10)),$N$10*12*(1+IF($M$10="CRC",N($F$8),$F$9))^(N($O$10)-1)*(1+N($F$10))^(D73-N($O$10))*IF(D73=N($O$10),IF(AND(ISNUMBER($F$21),N($F$20)&gt;=$C$30),(12-$F$21)/12,1),1),0)</f>
        <v>56036</v>
      </c>
      <c r="K73" s="22">
        <f>'Pensiones'!T62</f>
        <v>12554</v>
      </c>
      <c r="L73" s="22">
        <f>'Pensiones'!U62</f>
        <v>14740</v>
      </c>
      <c r="M73" s="23">
        <f>SUM(F73:L73)</f>
        <v>152419</v>
      </c>
      <c r="N73" s="22">
        <f>SUMPRODUCT(('Ingresos'!$H$22:$H$26=B73)*'Ingresos'!$G$22:$G$26*(1+('Ingresos'!$E$22:$E$26="CRC")*N($F$8)+('Ingresos'!$E$22:$E$26&lt;&gt;"CRC")*$F$9)^(D73-1))</f>
        <v>0</v>
      </c>
      <c r="O73" s="22">
        <f>'Pensiones'!S62</f>
        <v>0</v>
      </c>
      <c r="P73" s="23">
        <f>SUM(N73:O73)</f>
        <v>0</v>
      </c>
      <c r="Q73" s="23">
        <f>M73+P73</f>
        <v>152419</v>
      </c>
      <c r="R73" s="22">
        <f>$W$7*12*(N($F$22)*(1+$F$9)^(D73-1)+(1-N($F$22))*(1+N($F$8))^(D73-1))*IF(D73&gt;$F$19,$F$18,1)</f>
        <v>341989</v>
      </c>
      <c r="S73" s="22">
        <f>SUMPRODUCT(('Gastos'!$H$14:$H$17&lt;=B73)*('Gastos'!$H$14:$H$17+'Gastos'!$I$14:$I$17&gt;B73)*'Gastos'!$G$14:$G$17*(1+('Gastos'!$E$14:$E$17="CRC")*N($F$8)+('Gastos'!$E$14:$E$17&lt;&gt;"CRC")*$F$9)^(D73-1))</f>
        <v>0</v>
      </c>
      <c r="T73" s="22">
        <f>$W$10*(1+IF($V$10="CRC",N($F$8),$F$9))^(D73-1)</f>
        <v>15545</v>
      </c>
      <c r="U73" s="22">
        <f>(IF(D73&lt;=$X$11,$W$11*12,0)+IF('Gastos'!$G$28="Sí",0,SUMPRODUCT(('Gastos'!$H$22:$H$26&gt;=B73)*'Gastos'!$G$22:$G$26)*12)+SUMPRODUCT(('Gastos'!$H$43:$H$45&lt;=B73)*('Gastos'!$H$43:$H$45+'Gastos'!$I$43:$I$45-1&gt;=B73)*'Gastos'!$K$43:$K$45))</f>
        <v>0</v>
      </c>
      <c r="V73" s="23">
        <f>SUM(R73:U73)</f>
        <v>357534</v>
      </c>
      <c r="W73" s="22">
        <f>SUMPRODUCT(('Gastos'!$I$33:$I$37=1)*('Gastos'!$H$33:$H$37=B73)*'Gastos'!$G$33:$G$37*(1+('Gastos'!$E$33:$E$37="CRC")*N($F$8)+('Gastos'!$E$33:$E$37&lt;&gt;"CRC")*$F$9)^(D73-1))+SUMPRODUCT(('Gastos'!$I$33:$I$37=2)*('Gastos'!$H$33:$H$37&lt;=B73)*'Gastos'!$G$33:$G$37*(1+('Gastos'!$E$33:$E$37="CRC")*N($F$8)+('Gastos'!$E$33:$E$37&lt;&gt;"CRC")*$F$9)^(D73-1))+SUMPRODUCT(('Retiros del portafolio'!$H$15:$H$18=B73)*'Retiros del portafolio'!$G$15:$G$18*(1+('Retiros del portafolio'!$E$15:$E$18="CRC")*N($F$8)+('Retiros del portafolio'!$E$15:$E$18&lt;&gt;"CRC")*$F$9)^(D73-1))</f>
        <v>31090</v>
      </c>
      <c r="X73" s="22">
        <f>SUMPRODUCT(('Retiros del portafolio'!$H$6:$H$9=B73)*'Retiros del portafolio'!$G$6:$G$9*(1+('Retiros del portafolio'!$E$6:$E$9="CRC")*N($F$8)+('Retiros del portafolio'!$E$6:$E$9&lt;&gt;"CRC")*$F$9)^(D73-1))</f>
        <v>0</v>
      </c>
      <c r="Y73" s="23">
        <f>W73+X73</f>
        <v>31090</v>
      </c>
      <c r="Z73" s="23">
        <f>V73+Y73</f>
        <v>388624</v>
      </c>
      <c r="AA73" s="23">
        <f>Q73-Z73</f>
        <v>-236205</v>
      </c>
      <c r="AB73" s="22">
        <f>SUMPRODUCT(('Desinversiones'!$H$6:$H$10=B73)*('Desinversiones'!$I$6:$I$10=1)*'Desinversiones'!$G$6:$G$10*(1+('Desinversiones'!$E$6:$E$10="CRC")*N($F$8)+('Desinversiones'!$E$6:$E$10&lt;&gt;"CRC")*$F$9)^(D73-1))</f>
        <v>0</v>
      </c>
      <c r="AC73" s="22">
        <f>SUMPRODUCT(('Desinversiones'!$H$6:$H$10=B73)*('Desinversiones'!$I$6:$I$10=2)*'Desinversiones'!$G$6:$G$10*(1+('Desinversiones'!$E$6:$E$10="CRC")*N($F$8)+('Desinversiones'!$E$6:$E$10&lt;&gt;"CRC")*$F$9)^(D73-1))</f>
        <v>0</v>
      </c>
      <c r="AD73" s="22">
        <f>SUMPRODUCT(('Desinversiones'!$H$6:$H$10=B73)*('Desinversiones'!$I$6:$I$10=3)*'Desinversiones'!$G$6:$G$10*(1+('Desinversiones'!$E$6:$E$10="CRC")*N($F$8)+('Desinversiones'!$E$6:$E$10&lt;&gt;"CRC")*$F$9)^(D73-1))</f>
        <v>0</v>
      </c>
      <c r="AE73" s="23">
        <f>SUM(AB73:AD73)</f>
        <v>0</v>
      </c>
      <c r="AF73" s="23">
        <f>AE73</f>
        <v>0</v>
      </c>
      <c r="AG73" s="22">
        <f>AJ72</f>
        <v>0</v>
      </c>
      <c r="AH73" s="22">
        <f>AG73*$F$13</f>
        <v>0</v>
      </c>
      <c r="AI73" s="23">
        <f>AA73+AF73</f>
        <v>-236205</v>
      </c>
      <c r="AJ73" s="23">
        <f>AG73+AH73+AI73+AM73</f>
        <v>0</v>
      </c>
      <c r="AK73" s="22">
        <f>AJ73/(1+$F$9)^(D73-1+$F$24/12)</f>
        <v>0</v>
      </c>
      <c r="AL73" s="24">
        <f>IF(AG73&lt;=0,0,MAX(0,-AI73)/AG73)</f>
        <v>0</v>
      </c>
      <c r="AM73" s="22">
        <f>MAX(0,-(AG73+AH73+AI73))</f>
        <v>236205</v>
      </c>
    </row>
    <row r="74">
      <c r="B74" s="25">
        <f>B73+1</f>
        <v>2070</v>
      </c>
      <c r="C74" s="25">
        <f>C73+1</f>
        <v>90</v>
      </c>
      <c r="D74" s="25">
        <f>D73+1</f>
        <v>45</v>
      </c>
      <c r="E74" s="26" t="str">
        <f>IF(D74&lt;=$F$19,"Acumulación","Retiro")</f>
        <v>Retiro</v>
      </c>
      <c r="F74" s="22">
        <f>IF(D74&lt;=$P$7,$N$7*12*(1+IF($M$7="CRC",N($F$8),$F$9))^(D74-1),0)</f>
        <v>0</v>
      </c>
      <c r="G74" s="22">
        <f>IF(D74&lt;=$P$8,$N$8*12*(1+IF($M$8="CRC",N($F$8),$F$9))^(D74-1),0)</f>
        <v>0</v>
      </c>
      <c r="H74" s="22">
        <f>IF(AND($N$9&gt;0,D74&gt;=$O$9,D74&lt;=$P$9),$N$9*12*(1+IF($M$9="CRC",N($F$8),$F$9))^(D74-1),0)</f>
        <v>71783</v>
      </c>
      <c r="I74" s="22">
        <f>SUMPRODUCT(('Ingresos'!$H$14:$H$17&gt;=B74)*'Ingresos'!$G$14:$G$17*(1+('Ingresos'!$E$14:$E$17="CRC")*N($F$8)+('Ingresos'!$E$14:$E$17&lt;&gt;"CRC")*$F$9)^(D74-1))*12</f>
        <v>0</v>
      </c>
      <c r="J74" s="22">
        <f>IF(AND($N$10&gt;0,D74&gt;=N($O$10)),$N$10*12*(1+IF($M$10="CRC",N($F$8),$F$9))^(N($O$10)-1)*(1+N($F$10))^(D74-N($O$10))*IF(D74=N($O$10),IF(AND(ISNUMBER($F$21),N($F$20)&gt;=$C$30),(12-$F$21)/12,1),1),0)</f>
        <v>56596</v>
      </c>
      <c r="K74" s="22">
        <f>'Pensiones'!T63</f>
        <v>12554</v>
      </c>
      <c r="L74" s="22">
        <f>'Pensiones'!U63</f>
        <v>14740</v>
      </c>
      <c r="M74" s="23">
        <f>SUM(F74:L74)</f>
        <v>155674</v>
      </c>
      <c r="N74" s="22">
        <f>SUMPRODUCT(('Ingresos'!$H$22:$H$26=B74)*'Ingresos'!$G$22:$G$26*(1+('Ingresos'!$E$22:$E$26="CRC")*N($F$8)+('Ingresos'!$E$22:$E$26&lt;&gt;"CRC")*$F$9)^(D74-1))</f>
        <v>0</v>
      </c>
      <c r="O74" s="22">
        <f>'Pensiones'!S63</f>
        <v>0</v>
      </c>
      <c r="P74" s="23">
        <f>SUM(N74:O74)</f>
        <v>0</v>
      </c>
      <c r="Q74" s="23">
        <f>M74+P74</f>
        <v>155674</v>
      </c>
      <c r="R74" s="22">
        <f>$W$7*12*(N($F$22)*(1+$F$9)^(D74-1)+(1-N($F$22))*(1+N($F$8))^(D74-1))*IF(D74&gt;$F$19,$F$18,1)</f>
        <v>355327</v>
      </c>
      <c r="S74" s="22">
        <f>SUMPRODUCT(('Gastos'!$H$14:$H$17&lt;=B74)*('Gastos'!$H$14:$H$17+'Gastos'!$I$14:$I$17&gt;B74)*'Gastos'!$G$14:$G$17*(1+('Gastos'!$E$14:$E$17="CRC")*N($F$8)+('Gastos'!$E$14:$E$17&lt;&gt;"CRC")*$F$9)^(D74-1))</f>
        <v>0</v>
      </c>
      <c r="T74" s="22">
        <f>$W$10*(1+IF($V$10="CRC",N($F$8),$F$9))^(D74-1)</f>
        <v>16151</v>
      </c>
      <c r="U74" s="22">
        <f>(IF(D74&lt;=$X$11,$W$11*12,0)+IF('Gastos'!$G$28="Sí",0,SUMPRODUCT(('Gastos'!$H$22:$H$26&gt;=B74)*'Gastos'!$G$22:$G$26)*12)+SUMPRODUCT(('Gastos'!$H$43:$H$45&lt;=B74)*('Gastos'!$H$43:$H$45+'Gastos'!$I$43:$I$45-1&gt;=B74)*'Gastos'!$K$43:$K$45))</f>
        <v>0</v>
      </c>
      <c r="V74" s="23">
        <f>SUM(R74:U74)</f>
        <v>371478</v>
      </c>
      <c r="W74" s="22">
        <f>SUMPRODUCT(('Gastos'!$I$33:$I$37=1)*('Gastos'!$H$33:$H$37=B74)*'Gastos'!$G$33:$G$37*(1+('Gastos'!$E$33:$E$37="CRC")*N($F$8)+('Gastos'!$E$33:$E$37&lt;&gt;"CRC")*$F$9)^(D74-1))+SUMPRODUCT(('Gastos'!$I$33:$I$37=2)*('Gastos'!$H$33:$H$37&lt;=B74)*'Gastos'!$G$33:$G$37*(1+('Gastos'!$E$33:$E$37="CRC")*N($F$8)+('Gastos'!$E$33:$E$37&lt;&gt;"CRC")*$F$9)^(D74-1))+SUMPRODUCT(('Retiros del portafolio'!$H$15:$H$18=B74)*'Retiros del portafolio'!$G$15:$G$18*(1+('Retiros del portafolio'!$E$15:$E$18="CRC")*N($F$8)+('Retiros del portafolio'!$E$15:$E$18&lt;&gt;"CRC")*$F$9)^(D74-1))</f>
        <v>32302</v>
      </c>
      <c r="X74" s="22">
        <f>SUMPRODUCT(('Retiros del portafolio'!$H$6:$H$9=B74)*'Retiros del portafolio'!$G$6:$G$9*(1+('Retiros del portafolio'!$E$6:$E$9="CRC")*N($F$8)+('Retiros del portafolio'!$E$6:$E$9&lt;&gt;"CRC")*$F$9)^(D74-1))</f>
        <v>0</v>
      </c>
      <c r="Y74" s="23">
        <f>W74+X74</f>
        <v>32302</v>
      </c>
      <c r="Z74" s="23">
        <f>V74+Y74</f>
        <v>403781</v>
      </c>
      <c r="AA74" s="23">
        <f>Q74-Z74</f>
        <v>-248107</v>
      </c>
      <c r="AB74" s="22">
        <f>SUMPRODUCT(('Desinversiones'!$H$6:$H$10=B74)*('Desinversiones'!$I$6:$I$10=1)*'Desinversiones'!$G$6:$G$10*(1+('Desinversiones'!$E$6:$E$10="CRC")*N($F$8)+('Desinversiones'!$E$6:$E$10&lt;&gt;"CRC")*$F$9)^(D74-1))</f>
        <v>0</v>
      </c>
      <c r="AC74" s="22">
        <f>SUMPRODUCT(('Desinversiones'!$H$6:$H$10=B74)*('Desinversiones'!$I$6:$I$10=2)*'Desinversiones'!$G$6:$G$10*(1+('Desinversiones'!$E$6:$E$10="CRC")*N($F$8)+('Desinversiones'!$E$6:$E$10&lt;&gt;"CRC")*$F$9)^(D74-1))</f>
        <v>0</v>
      </c>
      <c r="AD74" s="22">
        <f>SUMPRODUCT(('Desinversiones'!$H$6:$H$10=B74)*('Desinversiones'!$I$6:$I$10=3)*'Desinversiones'!$G$6:$G$10*(1+('Desinversiones'!$E$6:$E$10="CRC")*N($F$8)+('Desinversiones'!$E$6:$E$10&lt;&gt;"CRC")*$F$9)^(D74-1))</f>
        <v>0</v>
      </c>
      <c r="AE74" s="23">
        <f>SUM(AB74:AD74)</f>
        <v>0</v>
      </c>
      <c r="AF74" s="23">
        <f>AE74</f>
        <v>0</v>
      </c>
      <c r="AG74" s="22">
        <f>AJ73</f>
        <v>0</v>
      </c>
      <c r="AH74" s="22">
        <f>AG74*$F$13</f>
        <v>0</v>
      </c>
      <c r="AI74" s="23">
        <f>AA74+AF74</f>
        <v>-248107</v>
      </c>
      <c r="AJ74" s="23">
        <f>AG74+AH74+AI74+AM74</f>
        <v>0</v>
      </c>
      <c r="AK74" s="22">
        <f>AJ74/(1+$F$9)^(D74-1+$F$24/12)</f>
        <v>0</v>
      </c>
      <c r="AL74" s="24">
        <f>IF(AG74&lt;=0,0,MAX(0,-AI74)/AG74)</f>
        <v>0</v>
      </c>
      <c r="AM74" s="22">
        <f>MAX(0,-(AG74+AH74+AI74))</f>
        <v>248107</v>
      </c>
    </row>
    <row r="75">
      <c r="B75" s="25">
        <f>B74+1</f>
        <v>2071</v>
      </c>
      <c r="C75" s="25">
        <f>C74+1</f>
        <v>91</v>
      </c>
      <c r="D75" s="25">
        <f>D74+1</f>
        <v>46</v>
      </c>
      <c r="E75" s="26" t="str">
        <f>IF(D75&lt;=$F$19,"Acumulación","Retiro")</f>
        <v>Retiro</v>
      </c>
      <c r="F75" s="22">
        <f>IF(D75&lt;=$P$7,$N$7*12*(1+IF($M$7="CRC",N($F$8),$F$9))^(D75-1),0)</f>
        <v>0</v>
      </c>
      <c r="G75" s="22">
        <f>IF(D75&lt;=$P$8,$N$8*12*(1+IF($M$8="CRC",N($F$8),$F$9))^(D75-1),0)</f>
        <v>0</v>
      </c>
      <c r="H75" s="22">
        <f>IF(AND($N$9&gt;0,D75&gt;=$O$9,D75&lt;=$P$9),$N$9*12*(1+IF($M$9="CRC",N($F$8),$F$9))^(D75-1),0)</f>
        <v>74583</v>
      </c>
      <c r="I75" s="22">
        <f>SUMPRODUCT(('Ingresos'!$H$14:$H$17&gt;=B75)*'Ingresos'!$G$14:$G$17*(1+('Ingresos'!$E$14:$E$17="CRC")*N($F$8)+('Ingresos'!$E$14:$E$17&lt;&gt;"CRC")*$F$9)^(D75-1))*12</f>
        <v>0</v>
      </c>
      <c r="J75" s="22">
        <f>IF(AND($N$10&gt;0,D75&gt;=N($O$10)),$N$10*12*(1+IF($M$10="CRC",N($F$8),$F$9))^(N($O$10)-1)*(1+N($F$10))^(D75-N($O$10))*IF(D75=N($O$10),IF(AND(ISNUMBER($F$21),N($F$20)&gt;=$C$30),(12-$F$21)/12,1),1),0)</f>
        <v>57162</v>
      </c>
      <c r="K75" s="22">
        <f>'Pensiones'!T64</f>
        <v>12554</v>
      </c>
      <c r="L75" s="22">
        <f>'Pensiones'!U64</f>
        <v>14740</v>
      </c>
      <c r="M75" s="23">
        <f>SUM(F75:L75)</f>
        <v>159039</v>
      </c>
      <c r="N75" s="22">
        <f>SUMPRODUCT(('Ingresos'!$H$22:$H$26=B75)*'Ingresos'!$G$22:$G$26*(1+('Ingresos'!$E$22:$E$26="CRC")*N($F$8)+('Ingresos'!$E$22:$E$26&lt;&gt;"CRC")*$F$9)^(D75-1))</f>
        <v>0</v>
      </c>
      <c r="O75" s="22">
        <f>'Pensiones'!S64</f>
        <v>0</v>
      </c>
      <c r="P75" s="23">
        <f>SUM(N75:O75)</f>
        <v>0</v>
      </c>
      <c r="Q75" s="23">
        <f>M75+P75</f>
        <v>159039</v>
      </c>
      <c r="R75" s="22">
        <f>$W$7*12*(N($F$22)*(1+$F$9)^(D75-1)+(1-N($F$22))*(1+N($F$8))^(D75-1))*IF(D75&gt;$F$19,$F$18,1)</f>
        <v>369185</v>
      </c>
      <c r="S75" s="22">
        <f>SUMPRODUCT(('Gastos'!$H$14:$H$17&lt;=B75)*('Gastos'!$H$14:$H$17+'Gastos'!$I$14:$I$17&gt;B75)*'Gastos'!$G$14:$G$17*(1+('Gastos'!$E$14:$E$17="CRC")*N($F$8)+('Gastos'!$E$14:$E$17&lt;&gt;"CRC")*$F$9)^(D75-1))</f>
        <v>0</v>
      </c>
      <c r="T75" s="22">
        <f>$W$10*(1+IF($V$10="CRC",N($F$8),$F$9))^(D75-1)</f>
        <v>16781</v>
      </c>
      <c r="U75" s="22">
        <f>(IF(D75&lt;=$X$11,$W$11*12,0)+IF('Gastos'!$G$28="Sí",0,SUMPRODUCT(('Gastos'!$H$22:$H$26&gt;=B75)*'Gastos'!$G$22:$G$26)*12)+SUMPRODUCT(('Gastos'!$H$43:$H$45&lt;=B75)*('Gastos'!$H$43:$H$45+'Gastos'!$I$43:$I$45-1&gt;=B75)*'Gastos'!$K$43:$K$45))</f>
        <v>0</v>
      </c>
      <c r="V75" s="23">
        <f>SUM(R75:U75)</f>
        <v>385966</v>
      </c>
      <c r="W75" s="22">
        <f>SUMPRODUCT(('Gastos'!$I$33:$I$37=1)*('Gastos'!$H$33:$H$37=B75)*'Gastos'!$G$33:$G$37*(1+('Gastos'!$E$33:$E$37="CRC")*N($F$8)+('Gastos'!$E$33:$E$37&lt;&gt;"CRC")*$F$9)^(D75-1))+SUMPRODUCT(('Gastos'!$I$33:$I$37=2)*('Gastos'!$H$33:$H$37&lt;=B75)*'Gastos'!$G$33:$G$37*(1+('Gastos'!$E$33:$E$37="CRC")*N($F$8)+('Gastos'!$E$33:$E$37&lt;&gt;"CRC")*$F$9)^(D75-1))+SUMPRODUCT(('Retiros del portafolio'!$H$15:$H$18=B75)*'Retiros del portafolio'!$G$15:$G$18*(1+('Retiros del portafolio'!$E$15:$E$18="CRC")*N($F$8)+('Retiros del portafolio'!$E$15:$E$18&lt;&gt;"CRC")*$F$9)^(D75-1))</f>
        <v>33562</v>
      </c>
      <c r="X75" s="22">
        <f>SUMPRODUCT(('Retiros del portafolio'!$H$6:$H$9=B75)*'Retiros del portafolio'!$G$6:$G$9*(1+('Retiros del portafolio'!$E$6:$E$9="CRC")*N($F$8)+('Retiros del portafolio'!$E$6:$E$9&lt;&gt;"CRC")*$F$9)^(D75-1))</f>
        <v>0</v>
      </c>
      <c r="Y75" s="23">
        <f>W75+X75</f>
        <v>33562</v>
      </c>
      <c r="Z75" s="23">
        <f>V75+Y75</f>
        <v>419528</v>
      </c>
      <c r="AA75" s="23">
        <f>Q75-Z75</f>
        <v>-260489</v>
      </c>
      <c r="AB75" s="22">
        <f>SUMPRODUCT(('Desinversiones'!$H$6:$H$10=B75)*('Desinversiones'!$I$6:$I$10=1)*'Desinversiones'!$G$6:$G$10*(1+('Desinversiones'!$E$6:$E$10="CRC")*N($F$8)+('Desinversiones'!$E$6:$E$10&lt;&gt;"CRC")*$F$9)^(D75-1))</f>
        <v>0</v>
      </c>
      <c r="AC75" s="22">
        <f>SUMPRODUCT(('Desinversiones'!$H$6:$H$10=B75)*('Desinversiones'!$I$6:$I$10=2)*'Desinversiones'!$G$6:$G$10*(1+('Desinversiones'!$E$6:$E$10="CRC")*N($F$8)+('Desinversiones'!$E$6:$E$10&lt;&gt;"CRC")*$F$9)^(D75-1))</f>
        <v>0</v>
      </c>
      <c r="AD75" s="22">
        <f>SUMPRODUCT(('Desinversiones'!$H$6:$H$10=B75)*('Desinversiones'!$I$6:$I$10=3)*'Desinversiones'!$G$6:$G$10*(1+('Desinversiones'!$E$6:$E$10="CRC")*N($F$8)+('Desinversiones'!$E$6:$E$10&lt;&gt;"CRC")*$F$9)^(D75-1))</f>
        <v>0</v>
      </c>
      <c r="AE75" s="23">
        <f>SUM(AB75:AD75)</f>
        <v>0</v>
      </c>
      <c r="AF75" s="23">
        <f>AE75</f>
        <v>0</v>
      </c>
      <c r="AG75" s="22">
        <f>AJ74</f>
        <v>0</v>
      </c>
      <c r="AH75" s="22">
        <f>AG75*$F$13</f>
        <v>0</v>
      </c>
      <c r="AI75" s="23">
        <f>AA75+AF75</f>
        <v>-260489</v>
      </c>
      <c r="AJ75" s="23">
        <f>AG75+AH75+AI75+AM75</f>
        <v>0</v>
      </c>
      <c r="AK75" s="22">
        <f>AJ75/(1+$F$9)^(D75-1+$F$24/12)</f>
        <v>0</v>
      </c>
      <c r="AL75" s="24">
        <f>IF(AG75&lt;=0,0,MAX(0,-AI75)/AG75)</f>
        <v>0</v>
      </c>
      <c r="AM75" s="22">
        <f>MAX(0,-(AG75+AH75+AI75))</f>
        <v>260489</v>
      </c>
    </row>
    <row r="76">
      <c r="B76" s="25">
        <f>B75+1</f>
        <v>2072</v>
      </c>
      <c r="C76" s="25">
        <f>C75+1</f>
        <v>92</v>
      </c>
      <c r="D76" s="25">
        <f>D75+1</f>
        <v>47</v>
      </c>
      <c r="E76" s="26" t="str">
        <f>IF(D76&lt;=$F$19,"Acumulación","Retiro")</f>
        <v>Retiro</v>
      </c>
      <c r="F76" s="22">
        <f>IF(D76&lt;=$P$7,$N$7*12*(1+IF($M$7="CRC",N($F$8),$F$9))^(D76-1),0)</f>
        <v>0</v>
      </c>
      <c r="G76" s="22">
        <f>IF(D76&lt;=$P$8,$N$8*12*(1+IF($M$8="CRC",N($F$8),$F$9))^(D76-1),0)</f>
        <v>0</v>
      </c>
      <c r="H76" s="22">
        <f>IF(AND($N$9&gt;0,D76&gt;=$O$9,D76&lt;=$P$9),$N$9*12*(1+IF($M$9="CRC",N($F$8),$F$9))^(D76-1),0)</f>
        <v>77491</v>
      </c>
      <c r="I76" s="22">
        <f>SUMPRODUCT(('Ingresos'!$H$14:$H$17&gt;=B76)*'Ingresos'!$G$14:$G$17*(1+('Ingresos'!$E$14:$E$17="CRC")*N($F$8)+('Ingresos'!$E$14:$E$17&lt;&gt;"CRC")*$F$9)^(D76-1))*12</f>
        <v>0</v>
      </c>
      <c r="J76" s="22">
        <f>IF(AND($N$10&gt;0,D76&gt;=N($O$10)),$N$10*12*(1+IF($M$10="CRC",N($F$8),$F$9))^(N($O$10)-1)*(1+N($F$10))^(D76-N($O$10))*IF(D76=N($O$10),IF(AND(ISNUMBER($F$21),N($F$20)&gt;=$C$30),(12-$F$21)/12,1),1),0)</f>
        <v>57734</v>
      </c>
      <c r="K76" s="22">
        <f>'Pensiones'!T65</f>
        <v>12554</v>
      </c>
      <c r="L76" s="22">
        <f>'Pensiones'!U65</f>
        <v>14740</v>
      </c>
      <c r="M76" s="23">
        <f>SUM(F76:L76)</f>
        <v>162520</v>
      </c>
      <c r="N76" s="22">
        <f>SUMPRODUCT(('Ingresos'!$H$22:$H$26=B76)*'Ingresos'!$G$22:$G$26*(1+('Ingresos'!$E$22:$E$26="CRC")*N($F$8)+('Ingresos'!$E$22:$E$26&lt;&gt;"CRC")*$F$9)^(D76-1))</f>
        <v>0</v>
      </c>
      <c r="O76" s="22">
        <f>'Pensiones'!S65</f>
        <v>0</v>
      </c>
      <c r="P76" s="23">
        <f>SUM(N76:O76)</f>
        <v>0</v>
      </c>
      <c r="Q76" s="23">
        <f>M76+P76</f>
        <v>162520</v>
      </c>
      <c r="R76" s="22">
        <f>$W$7*12*(N($F$22)*(1+$F$9)^(D76-1)+(1-N($F$22))*(1+N($F$8))^(D76-1))*IF(D76&gt;$F$19,$F$18,1)</f>
        <v>383583</v>
      </c>
      <c r="S76" s="22">
        <f>SUMPRODUCT(('Gastos'!$H$14:$H$17&lt;=B76)*('Gastos'!$H$14:$H$17+'Gastos'!$I$14:$I$17&gt;B76)*'Gastos'!$G$14:$G$17*(1+('Gastos'!$E$14:$E$17="CRC")*N($F$8)+('Gastos'!$E$14:$E$17&lt;&gt;"CRC")*$F$9)^(D76-1))</f>
        <v>0</v>
      </c>
      <c r="T76" s="22">
        <f>$W$10*(1+IF($V$10="CRC",N($F$8),$F$9))^(D76-1)</f>
        <v>17436</v>
      </c>
      <c r="U76" s="22">
        <f>(IF(D76&lt;=$X$11,$W$11*12,0)+IF('Gastos'!$G$28="Sí",0,SUMPRODUCT(('Gastos'!$H$22:$H$26&gt;=B76)*'Gastos'!$G$22:$G$26)*12)+SUMPRODUCT(('Gastos'!$H$43:$H$45&lt;=B76)*('Gastos'!$H$43:$H$45+'Gastos'!$I$43:$I$45-1&gt;=B76)*'Gastos'!$K$43:$K$45))</f>
        <v>0</v>
      </c>
      <c r="V76" s="23">
        <f>SUM(R76:U76)</f>
        <v>401018</v>
      </c>
      <c r="W76" s="22">
        <f>SUMPRODUCT(('Gastos'!$I$33:$I$37=1)*('Gastos'!$H$33:$H$37=B76)*'Gastos'!$G$33:$G$37*(1+('Gastos'!$E$33:$E$37="CRC")*N($F$8)+('Gastos'!$E$33:$E$37&lt;&gt;"CRC")*$F$9)^(D76-1))+SUMPRODUCT(('Gastos'!$I$33:$I$37=2)*('Gastos'!$H$33:$H$37&lt;=B76)*'Gastos'!$G$33:$G$37*(1+('Gastos'!$E$33:$E$37="CRC")*N($F$8)+('Gastos'!$E$33:$E$37&lt;&gt;"CRC")*$F$9)^(D76-1))+SUMPRODUCT(('Retiros del portafolio'!$H$15:$H$18=B76)*'Retiros del portafolio'!$G$15:$G$18*(1+('Retiros del portafolio'!$E$15:$E$18="CRC")*N($F$8)+('Retiros del portafolio'!$E$15:$E$18&lt;&gt;"CRC")*$F$9)^(D76-1))</f>
        <v>34871</v>
      </c>
      <c r="X76" s="22">
        <f>SUMPRODUCT(('Retiros del portafolio'!$H$6:$H$9=B76)*'Retiros del portafolio'!$G$6:$G$9*(1+('Retiros del portafolio'!$E$6:$E$9="CRC")*N($F$8)+('Retiros del portafolio'!$E$6:$E$9&lt;&gt;"CRC")*$F$9)^(D76-1))</f>
        <v>0</v>
      </c>
      <c r="Y76" s="23">
        <f>W76+X76</f>
        <v>34871</v>
      </c>
      <c r="Z76" s="23">
        <f>V76+Y76</f>
        <v>435890</v>
      </c>
      <c r="AA76" s="23">
        <f>Q76-Z76</f>
        <v>-273370</v>
      </c>
      <c r="AB76" s="22">
        <f>SUMPRODUCT(('Desinversiones'!$H$6:$H$10=B76)*('Desinversiones'!$I$6:$I$10=1)*'Desinversiones'!$G$6:$G$10*(1+('Desinversiones'!$E$6:$E$10="CRC")*N($F$8)+('Desinversiones'!$E$6:$E$10&lt;&gt;"CRC")*$F$9)^(D76-1))</f>
        <v>0</v>
      </c>
      <c r="AC76" s="22">
        <f>SUMPRODUCT(('Desinversiones'!$H$6:$H$10=B76)*('Desinversiones'!$I$6:$I$10=2)*'Desinversiones'!$G$6:$G$10*(1+('Desinversiones'!$E$6:$E$10="CRC")*N($F$8)+('Desinversiones'!$E$6:$E$10&lt;&gt;"CRC")*$F$9)^(D76-1))</f>
        <v>0</v>
      </c>
      <c r="AD76" s="22">
        <f>SUMPRODUCT(('Desinversiones'!$H$6:$H$10=B76)*('Desinversiones'!$I$6:$I$10=3)*'Desinversiones'!$G$6:$G$10*(1+('Desinversiones'!$E$6:$E$10="CRC")*N($F$8)+('Desinversiones'!$E$6:$E$10&lt;&gt;"CRC")*$F$9)^(D76-1))</f>
        <v>0</v>
      </c>
      <c r="AE76" s="23">
        <f>SUM(AB76:AD76)</f>
        <v>0</v>
      </c>
      <c r="AF76" s="23">
        <f>AE76</f>
        <v>0</v>
      </c>
      <c r="AG76" s="22">
        <f>AJ75</f>
        <v>0</v>
      </c>
      <c r="AH76" s="22">
        <f>AG76*$F$13</f>
        <v>0</v>
      </c>
      <c r="AI76" s="23">
        <f>AA76+AF76</f>
        <v>-273370</v>
      </c>
      <c r="AJ76" s="23">
        <f>AG76+AH76+AI76+AM76</f>
        <v>0</v>
      </c>
      <c r="AK76" s="22">
        <f>AJ76/(1+$F$9)^(D76-1+$F$24/12)</f>
        <v>0</v>
      </c>
      <c r="AL76" s="24">
        <f>IF(AG76&lt;=0,0,MAX(0,-AI76)/AG76)</f>
        <v>0</v>
      </c>
      <c r="AM76" s="22">
        <f>MAX(0,-(AG76+AH76+AI76))</f>
        <v>273370</v>
      </c>
    </row>
    <row r="77">
      <c r="B77" s="25">
        <f>B76+1</f>
        <v>2073</v>
      </c>
      <c r="C77" s="25">
        <f>C76+1</f>
        <v>93</v>
      </c>
      <c r="D77" s="25">
        <f>D76+1</f>
        <v>48</v>
      </c>
      <c r="E77" s="26" t="str">
        <f>IF(D77&lt;=$F$19,"Acumulación","Retiro")</f>
        <v>Retiro</v>
      </c>
      <c r="F77" s="22">
        <f>IF(D77&lt;=$P$7,$N$7*12*(1+IF($M$7="CRC",N($F$8),$F$9))^(D77-1),0)</f>
        <v>0</v>
      </c>
      <c r="G77" s="22">
        <f>IF(D77&lt;=$P$8,$N$8*12*(1+IF($M$8="CRC",N($F$8),$F$9))^(D77-1),0)</f>
        <v>0</v>
      </c>
      <c r="H77" s="22">
        <f>IF(AND($N$9&gt;0,D77&gt;=$O$9,D77&lt;=$P$9),$N$9*12*(1+IF($M$9="CRC",N($F$8),$F$9))^(D77-1),0)</f>
        <v>80514</v>
      </c>
      <c r="I77" s="22">
        <f>SUMPRODUCT(('Ingresos'!$H$14:$H$17&gt;=B77)*'Ingresos'!$G$14:$G$17*(1+('Ingresos'!$E$14:$E$17="CRC")*N($F$8)+('Ingresos'!$E$14:$E$17&lt;&gt;"CRC")*$F$9)^(D77-1))*12</f>
        <v>0</v>
      </c>
      <c r="J77" s="22">
        <f>IF(AND($N$10&gt;0,D77&gt;=N($O$10)),$N$10*12*(1+IF($M$10="CRC",N($F$8),$F$9))^(N($O$10)-1)*(1+N($F$10))^(D77-N($O$10))*IF(D77=N($O$10),IF(AND(ISNUMBER($F$21),N($F$20)&gt;=$C$30),(12-$F$21)/12,1),1),0)</f>
        <v>58311</v>
      </c>
      <c r="K77" s="22">
        <f>'Pensiones'!T66</f>
        <v>12554</v>
      </c>
      <c r="L77" s="22">
        <f>'Pensiones'!U66</f>
        <v>14740</v>
      </c>
      <c r="M77" s="23">
        <f>SUM(F77:L77)</f>
        <v>166119</v>
      </c>
      <c r="N77" s="22">
        <f>SUMPRODUCT(('Ingresos'!$H$22:$H$26=B77)*'Ingresos'!$G$22:$G$26*(1+('Ingresos'!$E$22:$E$26="CRC")*N($F$8)+('Ingresos'!$E$22:$E$26&lt;&gt;"CRC")*$F$9)^(D77-1))</f>
        <v>0</v>
      </c>
      <c r="O77" s="22">
        <f>'Pensiones'!S66</f>
        <v>0</v>
      </c>
      <c r="P77" s="23">
        <f>SUM(N77:O77)</f>
        <v>0</v>
      </c>
      <c r="Q77" s="23">
        <f>M77+P77</f>
        <v>166119</v>
      </c>
      <c r="R77" s="22">
        <f>$W$7*12*(N($F$22)*(1+$F$9)^(D77-1)+(1-N($F$22))*(1+N($F$8))^(D77-1))*IF(D77&gt;$F$19,$F$18,1)</f>
        <v>398543</v>
      </c>
      <c r="S77" s="22">
        <f>SUMPRODUCT(('Gastos'!$H$14:$H$17&lt;=B77)*('Gastos'!$H$14:$H$17+'Gastos'!$I$14:$I$17&gt;B77)*'Gastos'!$G$14:$G$17*(1+('Gastos'!$E$14:$E$17="CRC")*N($F$8)+('Gastos'!$E$14:$E$17&lt;&gt;"CRC")*$F$9)^(D77-1))</f>
        <v>0</v>
      </c>
      <c r="T77" s="22">
        <f>$W$10*(1+IF($V$10="CRC",N($F$8),$F$9))^(D77-1)</f>
        <v>18116</v>
      </c>
      <c r="U77" s="22">
        <f>(IF(D77&lt;=$X$11,$W$11*12,0)+IF('Gastos'!$G$28="Sí",0,SUMPRODUCT(('Gastos'!$H$22:$H$26&gt;=B77)*'Gastos'!$G$22:$G$26)*12)+SUMPRODUCT(('Gastos'!$H$43:$H$45&lt;=B77)*('Gastos'!$H$43:$H$45+'Gastos'!$I$43:$I$45-1&gt;=B77)*'Gastos'!$K$43:$K$45))</f>
        <v>0</v>
      </c>
      <c r="V77" s="23">
        <f>SUM(R77:U77)</f>
        <v>416658</v>
      </c>
      <c r="W77" s="22">
        <f>SUMPRODUCT(('Gastos'!$I$33:$I$37=1)*('Gastos'!$H$33:$H$37=B77)*'Gastos'!$G$33:$G$37*(1+('Gastos'!$E$33:$E$37="CRC")*N($F$8)+('Gastos'!$E$33:$E$37&lt;&gt;"CRC")*$F$9)^(D77-1))+SUMPRODUCT(('Gastos'!$I$33:$I$37=2)*('Gastos'!$H$33:$H$37&lt;=B77)*'Gastos'!$G$33:$G$37*(1+('Gastos'!$E$33:$E$37="CRC")*N($F$8)+('Gastos'!$E$33:$E$37&lt;&gt;"CRC")*$F$9)^(D77-1))+SUMPRODUCT(('Retiros del portafolio'!$H$15:$H$18=B77)*'Retiros del portafolio'!$G$15:$G$18*(1+('Retiros del portafolio'!$E$15:$E$18="CRC")*N($F$8)+('Retiros del portafolio'!$E$15:$E$18&lt;&gt;"CRC")*$F$9)^(D77-1))</f>
        <v>36231</v>
      </c>
      <c r="X77" s="22">
        <f>SUMPRODUCT(('Retiros del portafolio'!$H$6:$H$9=B77)*'Retiros del portafolio'!$G$6:$G$9*(1+('Retiros del portafolio'!$E$6:$E$9="CRC")*N($F$8)+('Retiros del portafolio'!$E$6:$E$9&lt;&gt;"CRC")*$F$9)^(D77-1))</f>
        <v>0</v>
      </c>
      <c r="Y77" s="23">
        <f>W77+X77</f>
        <v>36231</v>
      </c>
      <c r="Z77" s="23">
        <f>V77+Y77</f>
        <v>452889</v>
      </c>
      <c r="AA77" s="23">
        <f>Q77-Z77</f>
        <v>-286770</v>
      </c>
      <c r="AB77" s="22">
        <f>SUMPRODUCT(('Desinversiones'!$H$6:$H$10=B77)*('Desinversiones'!$I$6:$I$10=1)*'Desinversiones'!$G$6:$G$10*(1+('Desinversiones'!$E$6:$E$10="CRC")*N($F$8)+('Desinversiones'!$E$6:$E$10&lt;&gt;"CRC")*$F$9)^(D77-1))</f>
        <v>0</v>
      </c>
      <c r="AC77" s="22">
        <f>SUMPRODUCT(('Desinversiones'!$H$6:$H$10=B77)*('Desinversiones'!$I$6:$I$10=2)*'Desinversiones'!$G$6:$G$10*(1+('Desinversiones'!$E$6:$E$10="CRC")*N($F$8)+('Desinversiones'!$E$6:$E$10&lt;&gt;"CRC")*$F$9)^(D77-1))</f>
        <v>0</v>
      </c>
      <c r="AD77" s="22">
        <f>SUMPRODUCT(('Desinversiones'!$H$6:$H$10=B77)*('Desinversiones'!$I$6:$I$10=3)*'Desinversiones'!$G$6:$G$10*(1+('Desinversiones'!$E$6:$E$10="CRC")*N($F$8)+('Desinversiones'!$E$6:$E$10&lt;&gt;"CRC")*$F$9)^(D77-1))</f>
        <v>0</v>
      </c>
      <c r="AE77" s="23">
        <f>SUM(AB77:AD77)</f>
        <v>0</v>
      </c>
      <c r="AF77" s="23">
        <f>AE77</f>
        <v>0</v>
      </c>
      <c r="AG77" s="22">
        <f>AJ76</f>
        <v>0</v>
      </c>
      <c r="AH77" s="22">
        <f>AG77*$F$13</f>
        <v>0</v>
      </c>
      <c r="AI77" s="23">
        <f>AA77+AF77</f>
        <v>-286770</v>
      </c>
      <c r="AJ77" s="23">
        <f>AG77+AH77+AI77+AM77</f>
        <v>0</v>
      </c>
      <c r="AK77" s="22">
        <f>AJ77/(1+$F$9)^(D77-1+$F$24/12)</f>
        <v>0</v>
      </c>
      <c r="AL77" s="24">
        <f>IF(AG77&lt;=0,0,MAX(0,-AI77)/AG77)</f>
        <v>0</v>
      </c>
      <c r="AM77" s="22">
        <f>MAX(0,-(AG77+AH77+AI77))</f>
        <v>286770</v>
      </c>
    </row>
    <row r="78">
      <c r="B78" s="25">
        <f>B77+1</f>
        <v>2074</v>
      </c>
      <c r="C78" s="25">
        <f>C77+1</f>
        <v>94</v>
      </c>
      <c r="D78" s="25">
        <f>D77+1</f>
        <v>49</v>
      </c>
      <c r="E78" s="26" t="str">
        <f>IF(D78&lt;=$F$19,"Acumulación","Retiro")</f>
        <v>Retiro</v>
      </c>
      <c r="F78" s="22">
        <f>IF(D78&lt;=$P$7,$N$7*12*(1+IF($M$7="CRC",N($F$8),$F$9))^(D78-1),0)</f>
        <v>0</v>
      </c>
      <c r="G78" s="22">
        <f>IF(D78&lt;=$P$8,$N$8*12*(1+IF($M$8="CRC",N($F$8),$F$9))^(D78-1),0)</f>
        <v>0</v>
      </c>
      <c r="H78" s="22">
        <f>IF(AND($N$9&gt;0,D78&gt;=$O$9,D78&lt;=$P$9),$N$9*12*(1+IF($M$9="CRC",N($F$8),$F$9))^(D78-1),0)</f>
        <v>83654</v>
      </c>
      <c r="I78" s="22">
        <f>SUMPRODUCT(('Ingresos'!$H$14:$H$17&gt;=B78)*'Ingresos'!$G$14:$G$17*(1+('Ingresos'!$E$14:$E$17="CRC")*N($F$8)+('Ingresos'!$E$14:$E$17&lt;&gt;"CRC")*$F$9)^(D78-1))*12</f>
        <v>0</v>
      </c>
      <c r="J78" s="22">
        <f>IF(AND($N$10&gt;0,D78&gt;=N($O$10)),$N$10*12*(1+IF($M$10="CRC",N($F$8),$F$9))^(N($O$10)-1)*(1+N($F$10))^(D78-N($O$10))*IF(D78=N($O$10),IF(AND(ISNUMBER($F$21),N($F$20)&gt;=$C$30),(12-$F$21)/12,1),1),0)</f>
        <v>58894</v>
      </c>
      <c r="K78" s="22">
        <f>'Pensiones'!T67</f>
        <v>12554</v>
      </c>
      <c r="L78" s="22">
        <f>'Pensiones'!U67</f>
        <v>14740</v>
      </c>
      <c r="M78" s="23">
        <f>SUM(F78:L78)</f>
        <v>169842</v>
      </c>
      <c r="N78" s="22">
        <f>SUMPRODUCT(('Ingresos'!$H$22:$H$26=B78)*'Ingresos'!$G$22:$G$26*(1+('Ingresos'!$E$22:$E$26="CRC")*N($F$8)+('Ingresos'!$E$22:$E$26&lt;&gt;"CRC")*$F$9)^(D78-1))</f>
        <v>0</v>
      </c>
      <c r="O78" s="22">
        <f>'Pensiones'!S67</f>
        <v>0</v>
      </c>
      <c r="P78" s="23">
        <f>SUM(N78:O78)</f>
        <v>0</v>
      </c>
      <c r="Q78" s="23">
        <f>M78+P78</f>
        <v>169842</v>
      </c>
      <c r="R78" s="22">
        <f>$W$7*12*(N($F$22)*(1+$F$9)^(D78-1)+(1-N($F$22))*(1+N($F$8))^(D78-1))*IF(D78&gt;$F$19,$F$18,1)</f>
        <v>414086</v>
      </c>
      <c r="S78" s="22">
        <f>SUMPRODUCT(('Gastos'!$H$14:$H$17&lt;=B78)*('Gastos'!$H$14:$H$17+'Gastos'!$I$14:$I$17&gt;B78)*'Gastos'!$G$14:$G$17*(1+('Gastos'!$E$14:$E$17="CRC")*N($F$8)+('Gastos'!$E$14:$E$17&lt;&gt;"CRC")*$F$9)^(D78-1))</f>
        <v>0</v>
      </c>
      <c r="T78" s="22">
        <f>$W$10*(1+IF($V$10="CRC",N($F$8),$F$9))^(D78-1)</f>
        <v>18822</v>
      </c>
      <c r="U78" s="22">
        <f>(IF(D78&lt;=$X$11,$W$11*12,0)+IF('Gastos'!$G$28="Sí",0,SUMPRODUCT(('Gastos'!$H$22:$H$26&gt;=B78)*'Gastos'!$G$22:$G$26)*12)+SUMPRODUCT(('Gastos'!$H$43:$H$45&lt;=B78)*('Gastos'!$H$43:$H$45+'Gastos'!$I$43:$I$45-1&gt;=B78)*'Gastos'!$K$43:$K$45))</f>
        <v>0</v>
      </c>
      <c r="V78" s="23">
        <f>SUM(R78:U78)</f>
        <v>432908</v>
      </c>
      <c r="W78" s="22">
        <f>SUMPRODUCT(('Gastos'!$I$33:$I$37=1)*('Gastos'!$H$33:$H$37=B78)*'Gastos'!$G$33:$G$37*(1+('Gastos'!$E$33:$E$37="CRC")*N($F$8)+('Gastos'!$E$33:$E$37&lt;&gt;"CRC")*$F$9)^(D78-1))+SUMPRODUCT(('Gastos'!$I$33:$I$37=2)*('Gastos'!$H$33:$H$37&lt;=B78)*'Gastos'!$G$33:$G$37*(1+('Gastos'!$E$33:$E$37="CRC")*N($F$8)+('Gastos'!$E$33:$E$37&lt;&gt;"CRC")*$F$9)^(D78-1))+SUMPRODUCT(('Retiros del portafolio'!$H$15:$H$18=B78)*'Retiros del portafolio'!$G$15:$G$18*(1+('Retiros del portafolio'!$E$15:$E$18="CRC")*N($F$8)+('Retiros del portafolio'!$E$15:$E$18&lt;&gt;"CRC")*$F$9)^(D78-1))</f>
        <v>37644</v>
      </c>
      <c r="X78" s="22">
        <f>SUMPRODUCT(('Retiros del portafolio'!$H$6:$H$9=B78)*'Retiros del portafolio'!$G$6:$G$9*(1+('Retiros del portafolio'!$E$6:$E$9="CRC")*N($F$8)+('Retiros del portafolio'!$E$6:$E$9&lt;&gt;"CRC")*$F$9)^(D78-1))</f>
        <v>0</v>
      </c>
      <c r="Y78" s="23">
        <f>W78+X78</f>
        <v>37644</v>
      </c>
      <c r="Z78" s="23">
        <f>V78+Y78</f>
        <v>470552</v>
      </c>
      <c r="AA78" s="23">
        <f>Q78-Z78</f>
        <v>-300709</v>
      </c>
      <c r="AB78" s="22">
        <f>SUMPRODUCT(('Desinversiones'!$H$6:$H$10=B78)*('Desinversiones'!$I$6:$I$10=1)*'Desinversiones'!$G$6:$G$10*(1+('Desinversiones'!$E$6:$E$10="CRC")*N($F$8)+('Desinversiones'!$E$6:$E$10&lt;&gt;"CRC")*$F$9)^(D78-1))</f>
        <v>0</v>
      </c>
      <c r="AC78" s="22">
        <f>SUMPRODUCT(('Desinversiones'!$H$6:$H$10=B78)*('Desinversiones'!$I$6:$I$10=2)*'Desinversiones'!$G$6:$G$10*(1+('Desinversiones'!$E$6:$E$10="CRC")*N($F$8)+('Desinversiones'!$E$6:$E$10&lt;&gt;"CRC")*$F$9)^(D78-1))</f>
        <v>0</v>
      </c>
      <c r="AD78" s="22">
        <f>SUMPRODUCT(('Desinversiones'!$H$6:$H$10=B78)*('Desinversiones'!$I$6:$I$10=3)*'Desinversiones'!$G$6:$G$10*(1+('Desinversiones'!$E$6:$E$10="CRC")*N($F$8)+('Desinversiones'!$E$6:$E$10&lt;&gt;"CRC")*$F$9)^(D78-1))</f>
        <v>0</v>
      </c>
      <c r="AE78" s="23">
        <f>SUM(AB78:AD78)</f>
        <v>0</v>
      </c>
      <c r="AF78" s="23">
        <f>AE78</f>
        <v>0</v>
      </c>
      <c r="AG78" s="22">
        <f>AJ77</f>
        <v>0</v>
      </c>
      <c r="AH78" s="22">
        <f>AG78*$F$13</f>
        <v>0</v>
      </c>
      <c r="AI78" s="23">
        <f>AA78+AF78</f>
        <v>-300709</v>
      </c>
      <c r="AJ78" s="23">
        <f>AG78+AH78+AI78+AM78</f>
        <v>0</v>
      </c>
      <c r="AK78" s="22">
        <f>AJ78/(1+$F$9)^(D78-1+$F$24/12)</f>
        <v>0</v>
      </c>
      <c r="AL78" s="24">
        <f>IF(AG78&lt;=0,0,MAX(0,-AI78)/AG78)</f>
        <v>0</v>
      </c>
      <c r="AM78" s="22">
        <f>MAX(0,-(AG78+AH78+AI78))</f>
        <v>300709</v>
      </c>
    </row>
    <row r="79">
      <c r="B79" s="25">
        <f>B78+1</f>
        <v>2075</v>
      </c>
      <c r="C79" s="25">
        <f>C78+1</f>
        <v>95</v>
      </c>
      <c r="D79" s="25">
        <f>D78+1</f>
        <v>50</v>
      </c>
      <c r="E79" s="26" t="str">
        <f>IF(D79&lt;=$F$19,"Acumulación","Retiro")</f>
        <v>Retiro</v>
      </c>
      <c r="F79" s="22">
        <f>IF(D79&lt;=$P$7,$N$7*12*(1+IF($M$7="CRC",N($F$8),$F$9))^(D79-1),0)</f>
        <v>0</v>
      </c>
      <c r="G79" s="22">
        <f>IF(D79&lt;=$P$8,$N$8*12*(1+IF($M$8="CRC",N($F$8),$F$9))^(D79-1),0)</f>
        <v>0</v>
      </c>
      <c r="H79" s="22">
        <f>IF(AND($N$9&gt;0,D79&gt;=$O$9,D79&lt;=$P$9),$N$9*12*(1+IF($M$9="CRC",N($F$8),$F$9))^(D79-1),0)</f>
        <v>86916</v>
      </c>
      <c r="I79" s="22">
        <f>SUMPRODUCT(('Ingresos'!$H$14:$H$17&gt;=B79)*'Ingresos'!$G$14:$G$17*(1+('Ingresos'!$E$14:$E$17="CRC")*N($F$8)+('Ingresos'!$E$14:$E$17&lt;&gt;"CRC")*$F$9)^(D79-1))*12</f>
        <v>0</v>
      </c>
      <c r="J79" s="22">
        <f>IF(AND($N$10&gt;0,D79&gt;=N($O$10)),$N$10*12*(1+IF($M$10="CRC",N($F$8),$F$9))^(N($O$10)-1)*(1+N($F$10))^(D79-N($O$10))*IF(D79=N($O$10),IF(AND(ISNUMBER($F$21),N($F$20)&gt;=$C$30),(12-$F$21)/12,1),1),0)</f>
        <v>59483</v>
      </c>
      <c r="K79" s="22">
        <f>'Pensiones'!T68</f>
        <v>12554</v>
      </c>
      <c r="L79" s="22">
        <f>'Pensiones'!U68</f>
        <v>14740</v>
      </c>
      <c r="M79" s="23">
        <f>SUM(F79:L79)</f>
        <v>173694</v>
      </c>
      <c r="N79" s="22">
        <f>SUMPRODUCT(('Ingresos'!$H$22:$H$26=B79)*'Ingresos'!$G$22:$G$26*(1+('Ingresos'!$E$22:$E$26="CRC")*N($F$8)+('Ingresos'!$E$22:$E$26&lt;&gt;"CRC")*$F$9)^(D79-1))</f>
        <v>0</v>
      </c>
      <c r="O79" s="22">
        <f>'Pensiones'!S68</f>
        <v>0</v>
      </c>
      <c r="P79" s="23">
        <f>SUM(N79:O79)</f>
        <v>0</v>
      </c>
      <c r="Q79" s="23">
        <f>M79+P79</f>
        <v>173694</v>
      </c>
      <c r="R79" s="22">
        <f>$W$7*12*(N($F$22)*(1+$F$9)^(D79-1)+(1-N($F$22))*(1+N($F$8))^(D79-1))*IF(D79&gt;$F$19,$F$18,1)</f>
        <v>430235</v>
      </c>
      <c r="S79" s="22">
        <f>SUMPRODUCT(('Gastos'!$H$14:$H$17&lt;=B79)*('Gastos'!$H$14:$H$17+'Gastos'!$I$14:$I$17&gt;B79)*'Gastos'!$G$14:$G$17*(1+('Gastos'!$E$14:$E$17="CRC")*N($F$8)+('Gastos'!$E$14:$E$17&lt;&gt;"CRC")*$F$9)^(D79-1))</f>
        <v>0</v>
      </c>
      <c r="T79" s="22">
        <f>$W$10*(1+IF($V$10="CRC",N($F$8),$F$9))^(D79-1)</f>
        <v>19556</v>
      </c>
      <c r="U79" s="22">
        <f>(IF(D79&lt;=$X$11,$W$11*12,0)+IF('Gastos'!$G$28="Sí",0,SUMPRODUCT(('Gastos'!$H$22:$H$26&gt;=B79)*'Gastos'!$G$22:$G$26)*12)+SUMPRODUCT(('Gastos'!$H$43:$H$45&lt;=B79)*('Gastos'!$H$43:$H$45+'Gastos'!$I$43:$I$45-1&gt;=B79)*'Gastos'!$K$43:$K$45))</f>
        <v>0</v>
      </c>
      <c r="V79" s="23">
        <f>SUM(R79:U79)</f>
        <v>449791</v>
      </c>
      <c r="W79" s="22">
        <f>SUMPRODUCT(('Gastos'!$I$33:$I$37=1)*('Gastos'!$H$33:$H$37=B79)*'Gastos'!$G$33:$G$37*(1+('Gastos'!$E$33:$E$37="CRC")*N($F$8)+('Gastos'!$E$33:$E$37&lt;&gt;"CRC")*$F$9)^(D79-1))+SUMPRODUCT(('Gastos'!$I$33:$I$37=2)*('Gastos'!$H$33:$H$37&lt;=B79)*'Gastos'!$G$33:$G$37*(1+('Gastos'!$E$33:$E$37="CRC")*N($F$8)+('Gastos'!$E$33:$E$37&lt;&gt;"CRC")*$F$9)^(D79-1))+SUMPRODUCT(('Retiros del portafolio'!$H$15:$H$18=B79)*'Retiros del portafolio'!$G$15:$G$18*(1+('Retiros del portafolio'!$E$15:$E$18="CRC")*N($F$8)+('Retiros del portafolio'!$E$15:$E$18&lt;&gt;"CRC")*$F$9)^(D79-1))</f>
        <v>39112</v>
      </c>
      <c r="X79" s="22">
        <f>SUMPRODUCT(('Retiros del portafolio'!$H$6:$H$9=B79)*'Retiros del portafolio'!$G$6:$G$9*(1+('Retiros del portafolio'!$E$6:$E$9="CRC")*N($F$8)+('Retiros del portafolio'!$E$6:$E$9&lt;&gt;"CRC")*$F$9)^(D79-1))</f>
        <v>0</v>
      </c>
      <c r="Y79" s="23">
        <f>W79+X79</f>
        <v>39112</v>
      </c>
      <c r="Z79" s="23">
        <f>V79+Y79</f>
        <v>488903</v>
      </c>
      <c r="AA79" s="23">
        <f>Q79-Z79</f>
        <v>-315210</v>
      </c>
      <c r="AB79" s="22">
        <f>SUMPRODUCT(('Desinversiones'!$H$6:$H$10=B79)*('Desinversiones'!$I$6:$I$10=1)*'Desinversiones'!$G$6:$G$10*(1+('Desinversiones'!$E$6:$E$10="CRC")*N($F$8)+('Desinversiones'!$E$6:$E$10&lt;&gt;"CRC")*$F$9)^(D79-1))</f>
        <v>0</v>
      </c>
      <c r="AC79" s="22">
        <f>SUMPRODUCT(('Desinversiones'!$H$6:$H$10=B79)*('Desinversiones'!$I$6:$I$10=2)*'Desinversiones'!$G$6:$G$10*(1+('Desinversiones'!$E$6:$E$10="CRC")*N($F$8)+('Desinversiones'!$E$6:$E$10&lt;&gt;"CRC")*$F$9)^(D79-1))</f>
        <v>0</v>
      </c>
      <c r="AD79" s="22">
        <f>SUMPRODUCT(('Desinversiones'!$H$6:$H$10=B79)*('Desinversiones'!$I$6:$I$10=3)*'Desinversiones'!$G$6:$G$10*(1+('Desinversiones'!$E$6:$E$10="CRC")*N($F$8)+('Desinversiones'!$E$6:$E$10&lt;&gt;"CRC")*$F$9)^(D79-1))</f>
        <v>0</v>
      </c>
      <c r="AE79" s="23">
        <f>SUM(AB79:AD79)</f>
        <v>0</v>
      </c>
      <c r="AF79" s="23">
        <f>AE79</f>
        <v>0</v>
      </c>
      <c r="AG79" s="22">
        <f>AJ78</f>
        <v>0</v>
      </c>
      <c r="AH79" s="22">
        <f>AG79*$F$13</f>
        <v>0</v>
      </c>
      <c r="AI79" s="23">
        <f>AA79+AF79</f>
        <v>-315210</v>
      </c>
      <c r="AJ79" s="23">
        <f>AG79+AH79+AI79+AM79</f>
        <v>0</v>
      </c>
      <c r="AK79" s="22">
        <f>AJ79/(1+$F$9)^(D79-1+$F$24/12)</f>
        <v>0</v>
      </c>
      <c r="AL79" s="24">
        <f>IF(AG79&lt;=0,0,MAX(0,-AI79)/AG79)</f>
        <v>0</v>
      </c>
      <c r="AM79" s="22">
        <f>MAX(0,-(AG79+AH79+AI79))</f>
        <v>315210</v>
      </c>
    </row>
    <row r="81" ht="58" customHeight="1">
      <c r="B81" s="29" t="inlineStr">
        <is>
          <t>Año (B30) y edad (C30) iniciales: insumos. Flujo neto = ingresos ordinarios + extraordinarios − gastos ordinarios − extraordinarios (las inversiones, es decir las metas pagadas con el portafolio, son salidas). Flujo neto de inversiones = desinversiones (ventas de activos). En el bloque Portafolio, flujo neto = flujo neto (ingresos − gastos) + flujo neto de inversiones: entra al portafolio si es positivo y sale de él si es negativo. Portafolio final = inicial + rendimiento + flujo neto + gasto no cubierto (última columna): no baja de cero; el gasto no cubierto es lo que el portafolio ya no alcanza a pagar. La pensión empieza en el año en que el cliente cumple la edad de pensión (F20), con los meses que siguen a su cumpleaños (F21).</t>
        </is>
      </c>
    </row>
  </sheetData>
  <mergeCells count="85">
    <mergeCell ref="B4:G4"/>
    <mergeCell ref="I4:P4"/>
    <mergeCell ref="R4:X4"/>
    <mergeCell ref="Z4:AE4"/>
    <mergeCell ref="AG4:AO4"/>
    <mergeCell ref="B6:G6"/>
    <mergeCell ref="B7:E7"/>
    <mergeCell ref="B8:E8"/>
    <mergeCell ref="B9:E9"/>
    <mergeCell ref="B10:E10"/>
    <mergeCell ref="B11:E11"/>
    <mergeCell ref="B12:E12"/>
    <mergeCell ref="B13:E13"/>
    <mergeCell ref="B14:E14"/>
    <mergeCell ref="B15:E15"/>
    <mergeCell ref="B16:E16"/>
    <mergeCell ref="B17:G17"/>
    <mergeCell ref="B18:E18"/>
    <mergeCell ref="B19:E19"/>
    <mergeCell ref="B20:E20"/>
    <mergeCell ref="B21:E21"/>
    <mergeCell ref="B22:E22"/>
    <mergeCell ref="B23:E23"/>
    <mergeCell ref="B24:E24"/>
    <mergeCell ref="I6:P6"/>
    <mergeCell ref="I7:K7"/>
    <mergeCell ref="I8:K8"/>
    <mergeCell ref="I9:K9"/>
    <mergeCell ref="I10:K10"/>
    <mergeCell ref="I11:K11"/>
    <mergeCell ref="I12:K12"/>
    <mergeCell ref="L12:N12"/>
    <mergeCell ref="I13:K13"/>
    <mergeCell ref="L13:N13"/>
    <mergeCell ref="I14:P14"/>
    <mergeCell ref="I15:K15"/>
    <mergeCell ref="I16:K16"/>
    <mergeCell ref="L16:N16"/>
    <mergeCell ref="R6:X6"/>
    <mergeCell ref="R7:T7"/>
    <mergeCell ref="R8:T8"/>
    <mergeCell ref="R9:T9"/>
    <mergeCell ref="R10:T10"/>
    <mergeCell ref="R11:T11"/>
    <mergeCell ref="R12:T12"/>
    <mergeCell ref="R13:X13"/>
    <mergeCell ref="R14:T14"/>
    <mergeCell ref="R15:T15"/>
    <mergeCell ref="R16:T16"/>
    <mergeCell ref="Z6:AE6"/>
    <mergeCell ref="Z7:AB7"/>
    <mergeCell ref="Z8:AB8"/>
    <mergeCell ref="Z9:AE9"/>
    <mergeCell ref="Z10:AB10"/>
    <mergeCell ref="Z11:AB11"/>
    <mergeCell ref="Z12:AB12"/>
    <mergeCell ref="B27:AM27"/>
    <mergeCell ref="B28:E28"/>
    <mergeCell ref="F28:M28"/>
    <mergeCell ref="N28:P28"/>
    <mergeCell ref="R28:V28"/>
    <mergeCell ref="W28:Y28"/>
    <mergeCell ref="AB28:AE28"/>
    <mergeCell ref="AG28:AM28"/>
    <mergeCell ref="B81:P81"/>
    <mergeCell ref="AG6:AJ6"/>
    <mergeCell ref="AG7:AI7"/>
    <mergeCell ref="AG8:AI8"/>
    <mergeCell ref="AG9:AI9"/>
    <mergeCell ref="AG10:AI10"/>
    <mergeCell ref="AG11:AI11"/>
    <mergeCell ref="AL6:AO6"/>
    <mergeCell ref="AL7:AN7"/>
    <mergeCell ref="AL8:AN8"/>
    <mergeCell ref="AL9:AN9"/>
    <mergeCell ref="AL10:AN10"/>
    <mergeCell ref="AL11:AN11"/>
    <mergeCell ref="AL12:AN12"/>
    <mergeCell ref="AL13:AN13"/>
    <mergeCell ref="AL14:AN14"/>
    <mergeCell ref="AL15:AN15"/>
    <mergeCell ref="AG12:AJ12"/>
    <mergeCell ref="AG13:AI13"/>
    <mergeCell ref="AG14:AI14"/>
    <mergeCell ref="AG15:AI15"/>
  </mergeCells>
  <pageMargins left="0.5" right="0.5" top="0.75" bottom="0.75" header="0.3" footer="0.3"/>
  <drawing r:id="rId1"/>
</worksheet>
</file>

<file path=xl/worksheets/sheet3.xml><?xml version="1.0" encoding="utf-8"?>
<worksheet xmlns="http://schemas.openxmlformats.org/spreadsheetml/2006/main" xmlns:r="http://schemas.openxmlformats.org/officeDocument/2006/relationships">
  <sheetData>
    <row r="1">
      <c r="A1" t="inlineStr">
        <is>
          <t>Clase</t>
        </is>
      </c>
      <c r="B1" t="inlineStr">
        <is>
          <t>Cartera sugerida</t>
        </is>
      </c>
      <c r="C1" t="inlineStr">
        <is>
          <t>Cartera de equilibrio</t>
        </is>
      </c>
      <c r="E1" t="inlineStr">
        <is>
          <t>Volatilidad</t>
        </is>
      </c>
      <c r="F1" t="inlineStr">
        <is>
          <t>Rendimiento</t>
        </is>
      </c>
      <c r="H1" t="inlineStr">
        <is>
          <t>Cartera</t>
        </is>
      </c>
      <c r="I1" t="inlineStr">
        <is>
          <t>Volatilidad</t>
        </is>
      </c>
      <c r="J1" t="inlineStr">
        <is>
          <t>Rendimiento</t>
        </is>
      </c>
      <c r="L1" t="inlineStr">
        <is>
          <t>Corte conservador–moderado conservador</t>
        </is>
      </c>
      <c r="N1" t="inlineStr">
        <is>
          <t>Corte moderado conservador–moderado</t>
        </is>
      </c>
      <c r="P1" t="inlineStr">
        <is>
          <t>Corte moderado–moderado agresivo</t>
        </is>
      </c>
      <c r="R1" t="inlineStr">
        <is>
          <t>Corte moderado agresivo–agresivo</t>
        </is>
      </c>
      <c r="U1" t="inlineStr">
        <is>
          <t>Componente</t>
        </is>
      </c>
      <c r="V1" t="inlineStr">
        <is>
          <t>Cliente</t>
        </is>
      </c>
      <c r="W1" t="inlineStr">
        <is>
          <t>Capacidad financiera</t>
        </is>
      </c>
    </row>
    <row r="2">
      <c r="A2" t="inlineStr">
        <is>
          <t>Renta variable</t>
        </is>
      </c>
      <c r="B2" s="4">
        <v>0.35</v>
      </c>
      <c r="C2" s="4">
        <v>0.9</v>
      </c>
      <c r="E2" s="4">
        <v>0.05824</v>
      </c>
      <c r="F2" s="4">
        <v>0.05001</v>
      </c>
      <c r="H2" t="inlineStr">
        <is>
          <t>Conservador</t>
        </is>
      </c>
      <c r="I2" s="4">
        <v>0.05824</v>
      </c>
      <c r="J2" s="4">
        <v>0.05001</v>
      </c>
      <c r="L2" s="8">
        <v>0</v>
      </c>
      <c r="M2" s="8">
        <v>3.75</v>
      </c>
      <c r="N2" s="8">
        <v>0</v>
      </c>
      <c r="O2" s="8">
        <v>7.5</v>
      </c>
      <c r="P2" s="8">
        <v>10</v>
      </c>
      <c r="Q2" s="8">
        <v>2.5</v>
      </c>
      <c r="R2" s="8">
        <v>10</v>
      </c>
      <c r="S2" s="8">
        <v>6.25</v>
      </c>
      <c r="U2" t="inlineStr">
        <is>
          <t>Perfil de riesgo (3,9)</t>
        </is>
      </c>
      <c r="V2" s="8">
        <v>3.9</v>
      </c>
      <c r="W2" s="8">
        <v>3.6</v>
      </c>
    </row>
    <row r="3">
      <c r="A3" t="inlineStr">
        <is>
          <t>Renta fija</t>
        </is>
      </c>
      <c r="B3" s="4">
        <v>0.475</v>
      </c>
      <c r="C3" s="4">
        <v>0.05</v>
      </c>
      <c r="E3" s="4">
        <v>0.058667</v>
      </c>
      <c r="F3" s="4">
        <v>0.050224</v>
      </c>
      <c r="H3" t="inlineStr">
        <is>
          <t>Moderado conservador</t>
        </is>
      </c>
      <c r="I3" s="4">
        <v>0.078985</v>
      </c>
      <c r="J3" s="4">
        <v>0.0585725</v>
      </c>
      <c r="L3" s="8">
        <v>4.2857</v>
      </c>
      <c r="M3" s="8">
        <v>0</v>
      </c>
      <c r="N3" s="8">
        <v>8.5714</v>
      </c>
      <c r="O3" s="8">
        <v>0</v>
      </c>
      <c r="P3" s="8">
        <v>1.4286</v>
      </c>
      <c r="Q3" s="8">
        <v>10</v>
      </c>
      <c r="R3" s="8">
        <v>5.7143</v>
      </c>
      <c r="S3" s="8">
        <v>10</v>
      </c>
      <c r="U3" t="inlineStr">
        <is>
          <t>Ingresos totales (5,0)</t>
        </is>
      </c>
      <c r="V3" s="8">
        <v>5</v>
      </c>
      <c r="W3" s="8">
        <v>3.6</v>
      </c>
    </row>
    <row r="4">
      <c r="A4" t="inlineStr">
        <is>
          <t>Efectivo</t>
        </is>
      </c>
      <c r="B4" s="4">
        <v>0.175</v>
      </c>
      <c r="C4" s="4">
        <v>0.05</v>
      </c>
      <c r="E4" s="4">
        <v>0.0591</v>
      </c>
      <c r="F4" s="4">
        <v>0.050438</v>
      </c>
      <c r="H4" t="inlineStr">
        <is>
          <t>Moderado</t>
        </is>
      </c>
      <c r="I4" s="4">
        <v>0.104067</v>
      </c>
      <c r="J4" s="4">
        <v>0.067135</v>
      </c>
      <c r="U4" t="inlineStr">
        <is>
          <t>Gastos totales (3,3)</t>
        </is>
      </c>
      <c r="V4" s="8">
        <v>3.3</v>
      </c>
      <c r="W4" s="8">
        <v>3.6</v>
      </c>
    </row>
    <row r="5">
      <c r="E5" s="4">
        <v>0.059539</v>
      </c>
      <c r="F5" s="4">
        <v>0.050652</v>
      </c>
      <c r="H5" t="inlineStr">
        <is>
          <t>Moderado agresivo</t>
        </is>
      </c>
      <c r="I5" s="4">
        <v>0.137651</v>
      </c>
      <c r="J5" s="4">
        <v>0.072835</v>
      </c>
      <c r="U5" t="inlineStr">
        <is>
          <t>Inversiones (6,7)</t>
        </is>
      </c>
      <c r="V5" s="8">
        <v>6.7</v>
      </c>
      <c r="W5" s="8">
        <v>3.6</v>
      </c>
    </row>
    <row r="6">
      <c r="A6" t="inlineStr">
        <is>
          <t>Perfil de riesgo</t>
        </is>
      </c>
      <c r="B6" t="inlineStr">
        <is>
          <t>Tolerancia</t>
        </is>
      </c>
      <c r="C6" t="inlineStr">
        <is>
          <t>Apetito</t>
        </is>
      </c>
      <c r="E6" s="4">
        <v>0.059984</v>
      </c>
      <c r="F6" s="4">
        <v>0.050866</v>
      </c>
      <c r="H6" t="inlineStr">
        <is>
          <t>Agresivo</t>
        </is>
      </c>
      <c r="I6" s="4">
        <v>0.174735</v>
      </c>
      <c r="J6" s="4">
        <v>0.07853500000000001</v>
      </c>
      <c r="U6" t="inlineStr">
        <is>
          <t>Desinversiones (6,7)</t>
        </is>
      </c>
      <c r="V6" s="8">
        <v>6.7</v>
      </c>
      <c r="W6" s="8">
        <v>3.6</v>
      </c>
    </row>
    <row r="7">
      <c r="A7" t="inlineStr">
        <is>
          <t>Cliente de ejemplo · Moderado conservador</t>
        </is>
      </c>
      <c r="B7" s="8">
        <v>3.09</v>
      </c>
      <c r="C7" s="8">
        <v>4.69</v>
      </c>
      <c r="E7" s="4">
        <v>0.060435</v>
      </c>
      <c r="F7" s="4">
        <v>0.05108</v>
      </c>
      <c r="H7" t="inlineStr">
        <is>
          <t>Cartera sugerida</t>
        </is>
      </c>
      <c r="I7" s="4">
        <v>0.078985</v>
      </c>
      <c r="J7" s="4">
        <v>0.0585725</v>
      </c>
      <c r="U7" t="inlineStr">
        <is>
          <t>Tamaño del portafolio (0,0)</t>
        </is>
      </c>
      <c r="V7" s="8">
        <v>0</v>
      </c>
      <c r="W7" s="8">
        <v>3.6</v>
      </c>
    </row>
    <row r="8">
      <c r="E8" s="4">
        <v>0.060891</v>
      </c>
      <c r="F8" s="4">
        <v>0.051294</v>
      </c>
      <c r="H8" t="inlineStr">
        <is>
          <t>Cartera de equilibrio (máximo disponible)</t>
        </is>
      </c>
      <c r="I8" s="4">
        <v>0.174735</v>
      </c>
      <c r="J8" s="4">
        <v>0.078535</v>
      </c>
      <c r="U8" t="inlineStr">
        <is>
          <t>Horizonte (0,0)</t>
        </is>
      </c>
      <c r="V8" s="8">
        <v>0</v>
      </c>
      <c r="W8" s="8">
        <v>3.6</v>
      </c>
    </row>
    <row r="9">
      <c r="A9" t="inlineStr">
        <is>
          <t>Conservador</t>
        </is>
      </c>
      <c r="B9">
        <v>1</v>
      </c>
      <c r="C9">
        <v>1</v>
      </c>
      <c r="E9" s="4">
        <v>0.061353</v>
      </c>
      <c r="F9" s="4">
        <v>0.051508</v>
      </c>
      <c r="H9" t="inlineStr">
        <is>
          <t>Rendimiento de equilibrio</t>
        </is>
      </c>
      <c r="I9" s="4">
        <v>0</v>
      </c>
      <c r="J9" s="4">
        <v>0.079181</v>
      </c>
    </row>
    <row r="10">
      <c r="A10" t="inlineStr">
        <is>
          <t>Moderado conservador</t>
        </is>
      </c>
      <c r="B10">
        <v>3</v>
      </c>
      <c r="C10">
        <v>3</v>
      </c>
      <c r="E10" s="4">
        <v>0.06182</v>
      </c>
      <c r="F10" s="4">
        <v>0.051722</v>
      </c>
      <c r="I10" s="4">
        <v>0.2</v>
      </c>
      <c r="J10" s="4">
        <v>0.079181</v>
      </c>
    </row>
    <row r="11">
      <c r="A11" t="inlineStr">
        <is>
          <t>Moderado</t>
        </is>
      </c>
      <c r="B11">
        <v>5</v>
      </c>
      <c r="C11">
        <v>5</v>
      </c>
      <c r="E11" s="4">
        <v>0.062292</v>
      </c>
      <c r="F11" s="4">
        <v>0.051937</v>
      </c>
    </row>
    <row r="12">
      <c r="A12" t="inlineStr">
        <is>
          <t>Moderado agresivo</t>
        </is>
      </c>
      <c r="B12">
        <v>7</v>
      </c>
      <c r="C12">
        <v>7</v>
      </c>
      <c r="E12" s="4">
        <v>0.06277</v>
      </c>
      <c r="F12" s="4">
        <v>0.052151</v>
      </c>
    </row>
    <row r="13">
      <c r="A13" t="inlineStr">
        <is>
          <t>Agresivo</t>
        </is>
      </c>
      <c r="B13">
        <v>9</v>
      </c>
      <c r="C13">
        <v>9</v>
      </c>
      <c r="E13" s="4">
        <v>0.063252</v>
      </c>
      <c r="F13" s="4">
        <v>0.052365</v>
      </c>
    </row>
    <row r="14">
      <c r="E14" s="4">
        <v>0.06374</v>
      </c>
      <c r="F14" s="4">
        <v>0.052579</v>
      </c>
    </row>
    <row r="15">
      <c r="E15" s="4">
        <v>0.064232</v>
      </c>
      <c r="F15" s="4">
        <v>0.052793</v>
      </c>
    </row>
    <row r="16">
      <c r="E16" s="4">
        <v>0.064729</v>
      </c>
      <c r="F16" s="4">
        <v>0.053007</v>
      </c>
    </row>
    <row r="17">
      <c r="E17" s="4">
        <v>0.06523</v>
      </c>
      <c r="F17" s="4">
        <v>0.053221</v>
      </c>
    </row>
    <row r="18">
      <c r="E18" s="4">
        <v>0.065736</v>
      </c>
      <c r="F18" s="4">
        <v>0.053435</v>
      </c>
    </row>
    <row r="19">
      <c r="E19" s="4">
        <v>0.066247</v>
      </c>
      <c r="F19" s="4">
        <v>0.053649</v>
      </c>
    </row>
    <row r="20">
      <c r="E20" s="4">
        <v>0.066761</v>
      </c>
      <c r="F20" s="4">
        <v>0.053863</v>
      </c>
    </row>
    <row r="21">
      <c r="E21" s="4">
        <v>0.06728</v>
      </c>
      <c r="F21" s="4">
        <v>0.054077</v>
      </c>
    </row>
    <row r="22">
      <c r="E22" s="4">
        <v>0.067803</v>
      </c>
      <c r="F22" s="4">
        <v>0.054291</v>
      </c>
    </row>
    <row r="23">
      <c r="E23" s="4">
        <v>0.06833</v>
      </c>
      <c r="F23" s="4">
        <v>0.054505</v>
      </c>
    </row>
    <row r="24">
      <c r="E24" s="4">
        <v>0.06886</v>
      </c>
      <c r="F24" s="4">
        <v>0.054719</v>
      </c>
    </row>
    <row r="25">
      <c r="E25" s="4">
        <v>0.069395</v>
      </c>
      <c r="F25" s="4">
        <v>0.054933</v>
      </c>
    </row>
    <row r="26">
      <c r="E26" s="4">
        <v>0.069933</v>
      </c>
      <c r="F26" s="4">
        <v>0.055148</v>
      </c>
    </row>
    <row r="27">
      <c r="E27" s="4">
        <v>0.070475</v>
      </c>
      <c r="F27" s="4">
        <v>0.055362</v>
      </c>
    </row>
    <row r="28">
      <c r="E28" s="4">
        <v>0.07102</v>
      </c>
      <c r="F28" s="4">
        <v>0.055576</v>
      </c>
    </row>
    <row r="29">
      <c r="E29" s="4">
        <v>0.071569</v>
      </c>
      <c r="F29" s="4">
        <v>0.05579</v>
      </c>
    </row>
    <row r="30">
      <c r="E30" s="4">
        <v>0.072121</v>
      </c>
      <c r="F30" s="4">
        <v>0.056004</v>
      </c>
    </row>
    <row r="31">
      <c r="E31" s="4">
        <v>0.072676</v>
      </c>
      <c r="F31" s="4">
        <v>0.056218</v>
      </c>
    </row>
    <row r="32">
      <c r="E32" s="4">
        <v>0.073235</v>
      </c>
      <c r="F32" s="4">
        <v>0.056432</v>
      </c>
    </row>
    <row r="33">
      <c r="E33" s="4">
        <v>0.073797</v>
      </c>
      <c r="F33" s="4">
        <v>0.056646</v>
      </c>
    </row>
    <row r="34">
      <c r="E34" s="4">
        <v>0.074362</v>
      </c>
      <c r="F34" s="4">
        <v>0.05686</v>
      </c>
    </row>
    <row r="35">
      <c r="E35" s="4">
        <v>0.07493</v>
      </c>
      <c r="F35" s="4">
        <v>0.057074</v>
      </c>
    </row>
    <row r="36">
      <c r="E36" s="4">
        <v>0.075501</v>
      </c>
      <c r="F36" s="4">
        <v>0.057288</v>
      </c>
    </row>
    <row r="37">
      <c r="E37" s="4">
        <v>0.076075</v>
      </c>
      <c r="F37" s="4">
        <v>0.057502</v>
      </c>
    </row>
    <row r="38">
      <c r="E38" s="4">
        <v>0.076651</v>
      </c>
      <c r="F38" s="4">
        <v>0.057716</v>
      </c>
    </row>
    <row r="39">
      <c r="E39" s="4">
        <v>0.077231</v>
      </c>
      <c r="F39" s="4">
        <v>0.05793</v>
      </c>
    </row>
    <row r="40">
      <c r="E40" s="4">
        <v>0.077813</v>
      </c>
      <c r="F40" s="4">
        <v>0.058144</v>
      </c>
    </row>
    <row r="41">
      <c r="E41" s="4">
        <v>0.078398</v>
      </c>
      <c r="F41" s="4">
        <v>0.058358</v>
      </c>
    </row>
    <row r="42">
      <c r="E42" s="4">
        <v>0.078985</v>
      </c>
      <c r="F42" s="4">
        <v>0.058572</v>
      </c>
    </row>
    <row r="43">
      <c r="E43" s="4">
        <v>0.079575</v>
      </c>
      <c r="F43" s="4">
        <v>0.058787</v>
      </c>
    </row>
    <row r="44">
      <c r="E44" s="4">
        <v>0.080167</v>
      </c>
      <c r="F44" s="4">
        <v>0.059001</v>
      </c>
    </row>
    <row r="45">
      <c r="E45" s="4">
        <v>0.080762</v>
      </c>
      <c r="F45" s="4">
        <v>0.059215</v>
      </c>
    </row>
    <row r="46">
      <c r="E46" s="4">
        <v>0.081359</v>
      </c>
      <c r="F46" s="4">
        <v>0.059429</v>
      </c>
    </row>
    <row r="47">
      <c r="E47" s="4">
        <v>0.081958</v>
      </c>
      <c r="F47" s="4">
        <v>0.059643</v>
      </c>
    </row>
    <row r="48">
      <c r="E48" s="4">
        <v>0.08256</v>
      </c>
      <c r="F48" s="4">
        <v>0.059857</v>
      </c>
    </row>
    <row r="49">
      <c r="E49" s="4">
        <v>0.083163</v>
      </c>
      <c r="F49" s="4">
        <v>0.060071</v>
      </c>
    </row>
    <row r="50">
      <c r="E50" s="4">
        <v>0.083769</v>
      </c>
      <c r="F50" s="4">
        <v>0.060285</v>
      </c>
    </row>
    <row r="51">
      <c r="E51" s="4">
        <v>0.084377</v>
      </c>
      <c r="F51" s="4">
        <v>0.060499</v>
      </c>
    </row>
    <row r="52">
      <c r="E52" s="4">
        <v>0.084987</v>
      </c>
      <c r="F52" s="4">
        <v>0.060713</v>
      </c>
    </row>
    <row r="53">
      <c r="E53" s="4">
        <v>0.0856</v>
      </c>
      <c r="F53" s="4">
        <v>0.060927</v>
      </c>
    </row>
    <row r="54">
      <c r="E54" s="4">
        <v>0.086214</v>
      </c>
      <c r="F54" s="4">
        <v>0.061141</v>
      </c>
    </row>
    <row r="55">
      <c r="E55" s="4">
        <v>0.08683</v>
      </c>
      <c r="F55" s="4">
        <v>0.061355</v>
      </c>
    </row>
    <row r="56">
      <c r="E56" s="4">
        <v>0.087448</v>
      </c>
      <c r="F56" s="4">
        <v>0.061569</v>
      </c>
    </row>
    <row r="57">
      <c r="E57" s="4">
        <v>0.088068</v>
      </c>
      <c r="F57" s="4">
        <v>0.061783</v>
      </c>
    </row>
    <row r="58">
      <c r="E58" s="4">
        <v>0.088689</v>
      </c>
      <c r="F58" s="4">
        <v>0.061997</v>
      </c>
    </row>
    <row r="59">
      <c r="E59" s="4">
        <v>0.089313</v>
      </c>
      <c r="F59" s="4">
        <v>0.062212</v>
      </c>
    </row>
    <row r="60">
      <c r="E60" s="4">
        <v>0.089938</v>
      </c>
      <c r="F60" s="4">
        <v>0.062426</v>
      </c>
    </row>
    <row r="61">
      <c r="E61" s="4">
        <v>0.090564</v>
      </c>
      <c r="F61" s="4">
        <v>0.06264</v>
      </c>
    </row>
    <row r="62">
      <c r="E62" s="4">
        <v>0.091193</v>
      </c>
      <c r="F62" s="4">
        <v>0.062854</v>
      </c>
    </row>
    <row r="63">
      <c r="E63" s="4">
        <v>0.091823</v>
      </c>
      <c r="F63" s="4">
        <v>0.063068</v>
      </c>
    </row>
    <row r="64">
      <c r="E64" s="4">
        <v>0.092455</v>
      </c>
      <c r="F64" s="4">
        <v>0.063282</v>
      </c>
    </row>
    <row r="65">
      <c r="E65" s="4">
        <v>0.093088</v>
      </c>
      <c r="F65" s="4">
        <v>0.063496</v>
      </c>
    </row>
    <row r="66">
      <c r="E66" s="4">
        <v>0.093723</v>
      </c>
      <c r="F66" s="4">
        <v>0.06371</v>
      </c>
    </row>
    <row r="67">
      <c r="E67" s="4">
        <v>0.094359</v>
      </c>
      <c r="F67" s="4">
        <v>0.063924</v>
      </c>
    </row>
    <row r="68">
      <c r="E68" s="4">
        <v>0.094997</v>
      </c>
      <c r="F68" s="4">
        <v>0.064138</v>
      </c>
    </row>
    <row r="69">
      <c r="E69" s="4">
        <v>0.095636</v>
      </c>
      <c r="F69" s="4">
        <v>0.064352</v>
      </c>
    </row>
    <row r="70">
      <c r="E70" s="4">
        <v>0.096277</v>
      </c>
      <c r="F70" s="4">
        <v>0.064566</v>
      </c>
    </row>
    <row r="71">
      <c r="E71" s="4">
        <v>0.096919</v>
      </c>
      <c r="F71" s="4">
        <v>0.06478</v>
      </c>
    </row>
    <row r="72">
      <c r="E72" s="4">
        <v>0.097563</v>
      </c>
      <c r="F72" s="4">
        <v>0.064994</v>
      </c>
    </row>
    <row r="73">
      <c r="E73" s="4">
        <v>0.098207</v>
      </c>
      <c r="F73" s="4">
        <v>0.065208</v>
      </c>
    </row>
    <row r="74">
      <c r="E74" s="4">
        <v>0.098854</v>
      </c>
      <c r="F74" s="4">
        <v>0.065422</v>
      </c>
    </row>
    <row r="75">
      <c r="E75" s="4">
        <v>0.099501</v>
      </c>
      <c r="F75" s="4">
        <v>0.065637</v>
      </c>
    </row>
    <row r="76">
      <c r="E76" s="4">
        <v>0.10015</v>
      </c>
      <c r="F76" s="4">
        <v>0.065851</v>
      </c>
    </row>
    <row r="77">
      <c r="E77" s="4">
        <v>0.100799</v>
      </c>
      <c r="F77" s="4">
        <v>0.066065</v>
      </c>
    </row>
    <row r="78">
      <c r="E78" s="4">
        <v>0.101451</v>
      </c>
      <c r="F78" s="4">
        <v>0.066279</v>
      </c>
    </row>
    <row r="79">
      <c r="E79" s="4">
        <v>0.102103</v>
      </c>
      <c r="F79" s="4">
        <v>0.066493</v>
      </c>
    </row>
    <row r="80">
      <c r="E80" s="4">
        <v>0.102756</v>
      </c>
      <c r="F80" s="4">
        <v>0.066707</v>
      </c>
    </row>
    <row r="81">
      <c r="E81" s="4">
        <v>0.103411</v>
      </c>
      <c r="F81" s="4">
        <v>0.066921</v>
      </c>
    </row>
    <row r="82">
      <c r="E82" s="4">
        <v>0.104067</v>
      </c>
      <c r="F82" s="4">
        <v>0.067135</v>
      </c>
    </row>
    <row r="83">
      <c r="E83" s="4">
        <v>0.104836</v>
      </c>
      <c r="F83" s="4">
        <v>0.067278</v>
      </c>
    </row>
    <row r="84">
      <c r="E84" s="4">
        <v>0.10561</v>
      </c>
      <c r="F84" s="4">
        <v>0.06742</v>
      </c>
    </row>
    <row r="85">
      <c r="E85" s="4">
        <v>0.106388</v>
      </c>
      <c r="F85" s="4">
        <v>0.067562</v>
      </c>
    </row>
    <row r="86">
      <c r="E86" s="4">
        <v>0.107171</v>
      </c>
      <c r="F86" s="4">
        <v>0.067705</v>
      </c>
    </row>
    <row r="87">
      <c r="E87" s="4">
        <v>0.107958</v>
      </c>
      <c r="F87" s="4">
        <v>0.067848</v>
      </c>
    </row>
    <row r="88">
      <c r="E88" s="4">
        <v>0.10875</v>
      </c>
      <c r="F88" s="4">
        <v>0.06799</v>
      </c>
    </row>
    <row r="89">
      <c r="E89" s="4">
        <v>0.109546</v>
      </c>
      <c r="F89" s="4">
        <v>0.068132</v>
      </c>
    </row>
    <row r="90">
      <c r="E90" s="4">
        <v>0.110345</v>
      </c>
      <c r="F90" s="4">
        <v>0.068275</v>
      </c>
    </row>
    <row r="91">
      <c r="E91" s="4">
        <v>0.111149</v>
      </c>
      <c r="F91" s="4">
        <v>0.068418</v>
      </c>
    </row>
    <row r="92">
      <c r="E92" s="4">
        <v>0.111957</v>
      </c>
      <c r="F92" s="4">
        <v>0.06856</v>
      </c>
    </row>
    <row r="93">
      <c r="E93" s="4">
        <v>0.112768</v>
      </c>
      <c r="F93" s="4">
        <v>0.068702</v>
      </c>
    </row>
    <row r="94">
      <c r="E94" s="4">
        <v>0.113584</v>
      </c>
      <c r="F94" s="4">
        <v>0.068845</v>
      </c>
    </row>
    <row r="95">
      <c r="E95" s="4">
        <v>0.114403</v>
      </c>
      <c r="F95" s="4">
        <v>0.068987</v>
      </c>
    </row>
    <row r="96">
      <c r="E96" s="4">
        <v>0.115225</v>
      </c>
      <c r="F96" s="4">
        <v>0.06913</v>
      </c>
    </row>
    <row r="97">
      <c r="E97" s="4">
        <v>0.116051</v>
      </c>
      <c r="F97" s="4">
        <v>0.069273</v>
      </c>
    </row>
    <row r="98">
      <c r="E98" s="4">
        <v>0.11688</v>
      </c>
      <c r="F98" s="4">
        <v>0.069415</v>
      </c>
    </row>
    <row r="99">
      <c r="E99" s="4">
        <v>0.117713</v>
      </c>
      <c r="F99" s="4">
        <v>0.069557</v>
      </c>
    </row>
    <row r="100">
      <c r="E100" s="4">
        <v>0.118549</v>
      </c>
      <c r="F100" s="4">
        <v>0.0697</v>
      </c>
    </row>
    <row r="101">
      <c r="E101" s="4">
        <v>0.119389</v>
      </c>
      <c r="F101" s="4">
        <v>0.069843</v>
      </c>
    </row>
    <row r="102">
      <c r="E102" s="4">
        <v>0.120231</v>
      </c>
      <c r="F102" s="4">
        <v>0.069985</v>
      </c>
    </row>
    <row r="103">
      <c r="E103" s="4">
        <v>0.121077</v>
      </c>
      <c r="F103" s="4">
        <v>0.070127</v>
      </c>
    </row>
    <row r="104">
      <c r="E104" s="4">
        <v>0.121925</v>
      </c>
      <c r="F104" s="4">
        <v>0.07027</v>
      </c>
    </row>
    <row r="105">
      <c r="E105" s="4">
        <v>0.122777</v>
      </c>
      <c r="F105" s="4">
        <v>0.070413</v>
      </c>
    </row>
    <row r="106">
      <c r="E106" s="4">
        <v>0.123631</v>
      </c>
      <c r="F106" s="4">
        <v>0.070555</v>
      </c>
    </row>
    <row r="107">
      <c r="E107" s="4">
        <v>0.124488</v>
      </c>
      <c r="F107" s="4">
        <v>0.070697</v>
      </c>
    </row>
    <row r="108">
      <c r="E108" s="4">
        <v>0.125348</v>
      </c>
      <c r="F108" s="4">
        <v>0.07084</v>
      </c>
    </row>
    <row r="109">
      <c r="E109" s="4">
        <v>0.126211</v>
      </c>
      <c r="F109" s="4">
        <v>0.070983</v>
      </c>
    </row>
    <row r="110">
      <c r="E110" s="4">
        <v>0.127077</v>
      </c>
      <c r="F110" s="4">
        <v>0.071125</v>
      </c>
    </row>
    <row r="111">
      <c r="E111" s="4">
        <v>0.127945</v>
      </c>
      <c r="F111" s="4">
        <v>0.071267</v>
      </c>
    </row>
    <row r="112">
      <c r="E112" s="4">
        <v>0.128815</v>
      </c>
      <c r="F112" s="4">
        <v>0.07141</v>
      </c>
    </row>
    <row r="113">
      <c r="E113" s="4">
        <v>0.129688</v>
      </c>
      <c r="F113" s="4">
        <v>0.071552</v>
      </c>
    </row>
    <row r="114">
      <c r="E114" s="4">
        <v>0.130564</v>
      </c>
      <c r="F114" s="4">
        <v>0.071695</v>
      </c>
    </row>
    <row r="115">
      <c r="E115" s="4">
        <v>0.131442</v>
      </c>
      <c r="F115" s="4">
        <v>0.071837</v>
      </c>
    </row>
    <row r="116">
      <c r="E116" s="4">
        <v>0.132322</v>
      </c>
      <c r="F116" s="4">
        <v>0.07198</v>
      </c>
    </row>
    <row r="117">
      <c r="E117" s="4">
        <v>0.133205</v>
      </c>
      <c r="F117" s="4">
        <v>0.072122</v>
      </c>
    </row>
    <row r="118">
      <c r="E118" s="4">
        <v>0.13409</v>
      </c>
      <c r="F118" s="4">
        <v>0.072265</v>
      </c>
    </row>
    <row r="119">
      <c r="E119" s="4">
        <v>0.134977</v>
      </c>
      <c r="F119" s="4">
        <v>0.072407</v>
      </c>
    </row>
    <row r="120">
      <c r="E120" s="4">
        <v>0.135866</v>
      </c>
      <c r="F120" s="4">
        <v>0.07255</v>
      </c>
    </row>
    <row r="121">
      <c r="E121" s="4">
        <v>0.136758</v>
      </c>
      <c r="F121" s="4">
        <v>0.072692</v>
      </c>
    </row>
    <row r="122">
      <c r="E122" s="4">
        <v>0.137651</v>
      </c>
      <c r="F122" s="4">
        <v>0.072835</v>
      </c>
    </row>
    <row r="123">
      <c r="E123" s="4">
        <v>0.138547</v>
      </c>
      <c r="F123" s="4">
        <v>0.072978</v>
      </c>
    </row>
    <row r="124">
      <c r="E124" s="4">
        <v>0.139444</v>
      </c>
      <c r="F124" s="4">
        <v>0.07312</v>
      </c>
    </row>
    <row r="125">
      <c r="E125" s="4">
        <v>0.140344</v>
      </c>
      <c r="F125" s="4">
        <v>0.073262</v>
      </c>
    </row>
    <row r="126">
      <c r="E126" s="4">
        <v>0.141246</v>
      </c>
      <c r="F126" s="4">
        <v>0.073405</v>
      </c>
    </row>
    <row r="127">
      <c r="E127" s="4">
        <v>0.142149</v>
      </c>
      <c r="F127" s="4">
        <v>0.073548</v>
      </c>
    </row>
    <row r="128">
      <c r="E128" s="4">
        <v>0.143054</v>
      </c>
      <c r="F128" s="4">
        <v>0.07369</v>
      </c>
    </row>
    <row r="129">
      <c r="E129" s="4">
        <v>0.143961</v>
      </c>
      <c r="F129" s="4">
        <v>0.073832</v>
      </c>
    </row>
    <row r="130">
      <c r="E130" s="4">
        <v>0.14487</v>
      </c>
      <c r="F130" s="4">
        <v>0.073975</v>
      </c>
    </row>
    <row r="131">
      <c r="E131" s="4">
        <v>0.145781</v>
      </c>
      <c r="F131" s="4">
        <v>0.074118</v>
      </c>
    </row>
    <row r="132">
      <c r="E132" s="4">
        <v>0.146694</v>
      </c>
      <c r="F132" s="4">
        <v>0.07426</v>
      </c>
    </row>
    <row r="133">
      <c r="E133" s="4">
        <v>0.147608</v>
      </c>
      <c r="F133" s="4">
        <v>0.074402</v>
      </c>
    </row>
    <row r="134">
      <c r="E134" s="4">
        <v>0.148524</v>
      </c>
      <c r="F134" s="4">
        <v>0.074545</v>
      </c>
    </row>
    <row r="135">
      <c r="E135" s="4">
        <v>0.149441</v>
      </c>
      <c r="F135" s="4">
        <v>0.074688</v>
      </c>
    </row>
    <row r="136">
      <c r="E136" s="4">
        <v>0.15036</v>
      </c>
      <c r="F136" s="4">
        <v>0.07483</v>
      </c>
    </row>
    <row r="137">
      <c r="E137" s="4">
        <v>0.151281</v>
      </c>
      <c r="F137" s="4">
        <v>0.074972</v>
      </c>
    </row>
    <row r="138">
      <c r="E138" s="4">
        <v>0.152203</v>
      </c>
      <c r="F138" s="4">
        <v>0.075115</v>
      </c>
    </row>
    <row r="139">
      <c r="E139" s="4">
        <v>0.153127</v>
      </c>
      <c r="F139" s="4">
        <v>0.075258</v>
      </c>
    </row>
    <row r="140">
      <c r="E140" s="4">
        <v>0.154052</v>
      </c>
      <c r="F140" s="4">
        <v>0.0754</v>
      </c>
    </row>
    <row r="141">
      <c r="E141" s="4">
        <v>0.154978</v>
      </c>
      <c r="F141" s="4">
        <v>0.075542</v>
      </c>
    </row>
    <row r="142">
      <c r="E142" s="4">
        <v>0.155906</v>
      </c>
      <c r="F142" s="4">
        <v>0.075685</v>
      </c>
    </row>
    <row r="143">
      <c r="E143" s="4">
        <v>0.156836</v>
      </c>
      <c r="F143" s="4">
        <v>0.075828</v>
      </c>
    </row>
    <row r="144">
      <c r="E144" s="4">
        <v>0.157767</v>
      </c>
      <c r="F144" s="4">
        <v>0.07597</v>
      </c>
    </row>
    <row r="145">
      <c r="E145" s="4">
        <v>0.158699</v>
      </c>
      <c r="F145" s="4">
        <v>0.076112</v>
      </c>
    </row>
    <row r="146">
      <c r="E146" s="4">
        <v>0.159633</v>
      </c>
      <c r="F146" s="4">
        <v>0.076255</v>
      </c>
    </row>
    <row r="147">
      <c r="E147" s="4">
        <v>0.160568</v>
      </c>
      <c r="F147" s="4">
        <v>0.076398</v>
      </c>
    </row>
    <row r="148">
      <c r="E148" s="4">
        <v>0.161504</v>
      </c>
      <c r="F148" s="4">
        <v>0.07654</v>
      </c>
    </row>
    <row r="149">
      <c r="E149" s="4">
        <v>0.162441</v>
      </c>
      <c r="F149" s="4">
        <v>0.076683</v>
      </c>
    </row>
    <row r="150">
      <c r="E150" s="4">
        <v>0.16338</v>
      </c>
      <c r="F150" s="4">
        <v>0.076825</v>
      </c>
    </row>
    <row r="151">
      <c r="E151" s="4">
        <v>0.16432</v>
      </c>
      <c r="F151" s="4">
        <v>0.076968</v>
      </c>
    </row>
    <row r="152">
      <c r="E152" s="4">
        <v>0.165261</v>
      </c>
      <c r="F152" s="4">
        <v>0.07711</v>
      </c>
    </row>
    <row r="153">
      <c r="E153" s="4">
        <v>0.166204</v>
      </c>
      <c r="F153" s="4">
        <v>0.077253</v>
      </c>
    </row>
    <row r="154">
      <c r="E154" s="4">
        <v>0.167147</v>
      </c>
      <c r="F154" s="4">
        <v>0.077395</v>
      </c>
    </row>
    <row r="155">
      <c r="E155" s="4">
        <v>0.168092</v>
      </c>
      <c r="F155" s="4">
        <v>0.077538</v>
      </c>
    </row>
    <row r="156">
      <c r="E156" s="4">
        <v>0.169038</v>
      </c>
      <c r="F156" s="4">
        <v>0.07768</v>
      </c>
    </row>
    <row r="157">
      <c r="E157" s="4">
        <v>0.169985</v>
      </c>
      <c r="F157" s="4">
        <v>0.077823</v>
      </c>
    </row>
    <row r="158">
      <c r="E158" s="4">
        <v>0.170933</v>
      </c>
      <c r="F158" s="4">
        <v>0.077965</v>
      </c>
    </row>
    <row r="159">
      <c r="E159" s="4">
        <v>0.171882</v>
      </c>
      <c r="F159" s="4">
        <v>0.078108</v>
      </c>
    </row>
    <row r="160">
      <c r="E160" s="4">
        <v>0.172832</v>
      </c>
      <c r="F160" s="4">
        <v>0.07825</v>
      </c>
    </row>
    <row r="161">
      <c r="E161" s="4">
        <v>0.173783</v>
      </c>
      <c r="F161" s="4">
        <v>0.078393</v>
      </c>
    </row>
    <row r="162">
      <c r="E162" s="4">
        <v>0.174735</v>
      </c>
      <c r="F162" s="4">
        <v>0.078535</v>
      </c>
    </row>
  </sheetData>
  <pageMargins left="0.5" right="0.5" top="0.75" bottom="0.75" header="0.3" footer="0.3"/>
</worksheet>
</file>

<file path=xl/worksheets/sheet4.xml><?xml version="1.0" encoding="utf-8"?>
<worksheet xmlns="http://schemas.openxmlformats.org/spreadsheetml/2006/main" xmlns:r="http://schemas.openxmlformats.org/officeDocument/2006/relationships">
  <sheetViews>
    <sheetView workbookViewId="0" showGridLines="0">
      <pane xSplit="3" topLeftCell="D1" activePane="topRight" state="frozen"/>
    </sheetView>
  </sheetViews>
  <cols>
    <col width="2" customWidth="1" min="1" max="1"/>
    <col width="20" customWidth="1" min="2" max="2"/>
    <col width="15" customWidth="1" min="3" max="3"/>
    <col width="15" customWidth="1" min="4" max="4"/>
    <col width="20" customWidth="1" min="5" max="5"/>
    <col width="15" customWidth="1" min="6" max="6"/>
    <col width="15" customWidth="1" min="7" max="7"/>
    <col width="24" customWidth="1" min="8" max="8"/>
    <col width="15" customWidth="1" min="9" max="9"/>
    <col width="15" customWidth="1" min="10" max="10"/>
    <col width="15" customWidth="1" min="11" max="11"/>
    <col width="15" customWidth="1" min="12" max="12"/>
    <col width="15" customWidth="1" min="13" max="13"/>
    <col width="15" customWidth="1" min="14" max="14"/>
    <col width="12" customWidth="1" min="15" max="15"/>
    <col width="15" customWidth="1" min="16" max="16"/>
    <col width="12" customWidth="1" min="17" max="17"/>
    <col width="16" customWidth="1" min="18" max="18"/>
    <col width="16" customWidth="1" min="19" max="19"/>
    <col width="16" customWidth="1" min="20" max="20"/>
    <col width="16" customWidth="1" min="21" max="21"/>
  </cols>
  <sheetData>
    <row r="1" ht="24" customHeight="1">
      <c r="B1" s="11" t="inlineStr">
        <is>
          <t>Pensiones</t>
        </is>
      </c>
    </row>
    <row r="2" ht="42" customHeight="1">
      <c r="B2" s="29" t="inlineStr">
        <is>
          <t>Todas las pensiones del cliente. Arriba a la derecha, la pensión del régimen básico (IVM u otro). Abajo, ROP, FCL y pensión voluntaria, en dólares, con las reglas de la Ley de Protección al Trabajador (n.º 7983). El ROP se recibe como pensión mensual desde el año en que el cliente cumple la edad de pensión (Proyección F20), según su modalidad, o en un solo pago a los 65 años si no hay pensión de un régimen básico. La pensión voluntaria es un ingreso ordinario desde la misma edad, con la modalidad del ROP. El primer año se pagan solo los meses después del cumpleaños (mes de nacimiento en Proyección F21). Los aportes terminan al empezar la pensión del fondo o en la independencia. El FCL se traslada completo en cada quinquenio o al terminar la relación laboral. Las celdas de insumos pueden modificarse.</t>
        </is>
      </c>
    </row>
    <row r="4" ht="20" customHeight="1">
      <c r="B4" s="13" t="inlineStr">
        <is>
          <t>Supuestos</t>
        </is>
      </c>
      <c r="C4" s="13"/>
      <c r="D4" s="13"/>
      <c r="E4" s="13"/>
      <c r="G4" s="13" t="inlineStr">
        <is>
          <t>Pensión del régimen básico · mensual, en valor de hoy</t>
        </is>
      </c>
      <c r="H4" s="13"/>
      <c r="I4" s="13"/>
      <c r="J4" s="13"/>
      <c r="K4" s="13"/>
      <c r="L4" s="13"/>
      <c r="M4" s="13"/>
    </row>
    <row r="5">
      <c r="B5" s="16" t="inlineStr">
        <is>
          <t>Rendimiento anual de los fondos (Proyección F14)</t>
        </is>
      </c>
      <c r="C5" s="16"/>
      <c r="D5" s="16"/>
      <c r="E5" s="24">
        <f>N('Proyección'!$F$14)</f>
        <v>0.06</v>
      </c>
      <c r="G5" s="21" t="inlineStr">
        <is>
          <t>Concepto</t>
        </is>
      </c>
      <c r="H5" s="21" t="inlineStr">
        <is>
          <t>Monto mensual declarado</t>
        </is>
      </c>
      <c r="I5" s="21" t="inlineStr">
        <is>
          <t>Moneda</t>
        </is>
      </c>
      <c r="J5" s="21" t="inlineStr">
        <is>
          <t>Tipo de cambio aplicado</t>
        </is>
      </c>
      <c r="K5" s="21" t="inlineStr">
        <is>
          <t>Monto en US$</t>
        </is>
      </c>
      <c r="L5" s="21" t="inlineStr">
        <is>
          <t>Desde el período</t>
        </is>
      </c>
      <c r="M5" s="21" t="inlineStr">
        <is>
          <t>Nota</t>
        </is>
      </c>
    </row>
    <row r="6" ht="30" customHeight="1">
      <c r="B6" s="16" t="inlineStr">
        <is>
          <t>Crecimiento de los aportes al ROP y al FCL (Proyección F11)</t>
        </is>
      </c>
      <c r="C6" s="16"/>
      <c r="D6" s="16"/>
      <c r="E6" s="24">
        <f>N('Proyección'!$F$11)</f>
        <v>0.039</v>
      </c>
      <c r="G6" s="30" t="inlineStr">
        <is>
          <t>Pensión del Magisterio (mensual)</t>
        </is>
      </c>
      <c r="H6" s="17">
        <v>800000</v>
      </c>
      <c r="I6" s="33" t="inlineStr">
        <is>
          <t>CRC</t>
        </is>
      </c>
      <c r="J6" s="35">
        <f>IF(I6="CRC",'Proyección'!$F$7,1)</f>
        <v>450</v>
      </c>
      <c r="K6" s="22">
        <f>H6/J6</f>
        <v>1777.78</v>
      </c>
      <c r="L6" s="25">
        <f>MAX(1,N('Proyección'!$F$20)-'Proyección'!$C$30+1)</f>
        <v>20</v>
      </c>
      <c r="M6" s="30" t="str">
        <f>IF(AND(ISNUMBER('Proyección'!$F$21),N('Proyección'!$F$20)&gt;='Proyección'!$C$30),"Desde el año en que cumple "&amp;'Proyección'!$F$20&amp;" años; ese año, "&amp;(12-'Proyección'!$F$21)&amp;" meses","Desde el año en que cumple "&amp;'Proyección'!$F$20&amp;" años")</f>
        <v>Desde el año en que cumple 65 años; ese año, 7 meses</v>
      </c>
    </row>
    <row r="7" ht="30" customHeight="1">
      <c r="B7" s="16" t="inlineStr">
        <is>
          <t>Años de aportes, hasta la independencia (Proyección F19)</t>
        </is>
      </c>
      <c r="C7" s="16"/>
      <c r="D7" s="16"/>
      <c r="E7" s="25">
        <f>'Proyección'!$F$19</f>
        <v>14</v>
      </c>
      <c r="G7" s="29" t="inlineStr">
        <is>
          <t>La proyección la toma de aquí (columna de la pensión en la hoja Proyección), con la inflación de la pensión (Proyección F10). La del ROP y la voluntaria están en la evolución anual de abajo.</t>
        </is>
      </c>
      <c r="H7" s="29"/>
      <c r="I7" s="29"/>
      <c r="J7" s="29"/>
      <c r="K7" s="29"/>
      <c r="L7" s="29"/>
      <c r="M7" s="29"/>
    </row>
    <row r="8">
      <c r="B8" s="16" t="inlineStr">
        <is>
          <t>Período de la independencia financiera</t>
        </is>
      </c>
      <c r="C8" s="16"/>
      <c r="D8" s="16"/>
      <c r="E8" s="25">
        <f>E7+1</f>
        <v>15</v>
      </c>
    </row>
    <row r="9">
      <c r="B9" s="16" t="inlineStr">
        <is>
          <t>Edad actual del cliente</t>
        </is>
      </c>
      <c r="C9" s="16"/>
      <c r="D9" s="16"/>
      <c r="E9" s="25">
        <f>'Proyección'!$C$30</f>
        <v>46</v>
      </c>
    </row>
    <row r="10">
      <c r="B10" s="16" t="inlineStr">
        <is>
          <t>Crecimiento de los aportes a la pensión voluntaria (Proyección F12)</t>
        </is>
      </c>
      <c r="C10" s="16"/>
      <c r="D10" s="16"/>
      <c r="E10" s="24">
        <f>N('Proyección'!$F$12)</f>
        <v>0.039</v>
      </c>
    </row>
    <row r="11" ht="44" customHeight="1">
      <c r="B11" s="21" t="inlineStr">
        <is>
          <t>Fondo</t>
        </is>
      </c>
      <c r="C11" s="21" t="inlineStr">
        <is>
          <t>Saldo actual (US$)</t>
        </is>
      </c>
      <c r="D11" s="21" t="inlineStr">
        <is>
          <t>Aporte mensual (US$)</t>
        </is>
      </c>
      <c r="E11" s="21" t="inlineStr">
        <is>
          <t>Origen del aporte</t>
        </is>
      </c>
      <c r="F11" s="21" t="inlineStr">
        <is>
          <t>Período de traslado o de inicio de la pensión</t>
        </is>
      </c>
      <c r="G11" s="21" t="inlineStr">
        <is>
          <t>Año</t>
        </is>
      </c>
      <c r="H11" s="21" t="inlineStr">
        <is>
          <t>Regla de la ley</t>
        </is>
      </c>
      <c r="I11" s="21" t="inlineStr">
        <is>
          <t>Edad final de la renta</t>
        </is>
      </c>
      <c r="J11" s="21" t="inlineStr">
        <is>
          <t>Aportes acumulados</t>
        </is>
      </c>
      <c r="K11" s="21" t="inlineStr">
        <is>
          <t>Rendimientos acumulados</t>
        </is>
      </c>
      <c r="L11" s="21" t="inlineStr">
        <is>
          <t>Trasladado al portafolio</t>
        </is>
      </c>
      <c r="M11" s="21" t="inlineStr">
        <is>
          <t>Pensión pagada</t>
        </is>
      </c>
      <c r="N11" s="21" t="inlineStr">
        <is>
          <t>Saldo declarado</t>
        </is>
      </c>
      <c r="O11" s="21" t="inlineStr">
        <is>
          <t>Moneda del saldo</t>
        </is>
      </c>
      <c r="P11" s="21" t="inlineStr">
        <is>
          <t>Aporte declarado</t>
        </is>
      </c>
      <c r="Q11" s="21" t="inlineStr">
        <is>
          <t>Moneda del aporte</t>
        </is>
      </c>
    </row>
    <row r="12" ht="32" customHeight="1">
      <c r="B12" s="16" t="inlineStr">
        <is>
          <t>ROP</t>
        </is>
      </c>
      <c r="C12" s="22">
        <f>IF(O12="CRC",N12/'Proyección'!$F$7,N12)</f>
        <v>26666.666666666668</v>
      </c>
      <c r="D12" s="22">
        <f>'Proyección'!$N$7*N('Proyección'!$F$15)</f>
        <v>255.00000000000003</v>
      </c>
      <c r="E12" s="30" t="inlineStr">
        <is>
          <t>Estimado: 4.25% del salario (Proyección F15)</t>
        </is>
      </c>
      <c r="F12" s="25">
        <f>MAX(1,N('Proyección'!$F$20)-$E$9+1)</f>
        <v>20</v>
      </c>
      <c r="G12" s="25">
        <f>'Proyección'!$B$30+F12-1</f>
        <v>2045</v>
      </c>
      <c r="H12" s="30" t="inlineStr">
        <is>
          <t>Pensión mensual: retiro programado</t>
        </is>
      </c>
      <c r="I12" s="19">
        <v>100</v>
      </c>
      <c r="J12" s="22">
        <f>SUM(E19:E68)</f>
        <v>53296</v>
      </c>
      <c r="K12" s="22">
        <f>SUM(F19:F68)</f>
        <v>356655</v>
      </c>
      <c r="L12" s="22">
        <v>0</v>
      </c>
      <c r="M12" s="22">
        <f>SUM(G19:G68)</f>
        <v>383735</v>
      </c>
      <c r="N12" s="17">
        <v>12000000</v>
      </c>
      <c r="O12" s="20" t="inlineStr">
        <is>
          <t>CRC</t>
        </is>
      </c>
      <c r="P12" s="16"/>
      <c r="Q12" s="16"/>
    </row>
    <row r="13" ht="32" customHeight="1">
      <c r="B13" s="16" t="inlineStr">
        <is>
          <t>FCL</t>
        </is>
      </c>
      <c r="C13" s="22">
        <f>IF(O13="CRC",N13/'Proyección'!$F$7,N13)</f>
        <v>26666.666666666668</v>
      </c>
      <c r="D13" s="22">
        <f>'Proyección'!$N$7*N('Proyección'!$F$16)</f>
        <v>90</v>
      </c>
      <c r="E13" s="30" t="inlineStr">
        <is>
          <t>Estimado: 1.5% del salario (Proyección F16)</t>
        </is>
      </c>
      <c r="F13" s="25">
        <f>$E$8</f>
        <v>15</v>
      </c>
      <c r="G13" s="25">
        <f>'Proyección'!$B$30+F13-1</f>
        <v>2040</v>
      </c>
      <c r="H13" s="30" t="inlineStr">
        <is>
          <t>Al terminar la relación laboral</t>
        </is>
      </c>
      <c r="J13" s="22">
        <f>SUM(J19:J68)</f>
        <v>18810</v>
      </c>
      <c r="K13" s="22">
        <f>SUM(K19:K68)</f>
        <v>44000</v>
      </c>
      <c r="L13" s="22">
        <f>SUM(L19:L68)</f>
        <v>89477</v>
      </c>
      <c r="M13" s="22">
        <v>0</v>
      </c>
      <c r="N13" s="17">
        <v>12000000</v>
      </c>
      <c r="O13" s="20" t="inlineStr">
        <is>
          <t>CRC</t>
        </is>
      </c>
      <c r="P13" s="16"/>
      <c r="Q13" s="16"/>
    </row>
    <row r="14" ht="32" customHeight="1">
      <c r="B14" s="16" t="inlineStr">
        <is>
          <t>Pensión voluntaria</t>
        </is>
      </c>
      <c r="C14" s="22">
        <f>IF(O14="CRC",N14/'Proyección'!$F$7,N14)</f>
        <v>26666.666666666668</v>
      </c>
      <c r="D14" s="22">
        <f>IF(Q14="CRC",P14/'Proyección'!$F$7,P14)</f>
        <v>333.3333333333333</v>
      </c>
      <c r="E14" s="30" t="inlineStr">
        <is>
          <t>Declarado por el cliente</t>
        </is>
      </c>
      <c r="F14" s="25">
        <f>MAX(1,N('Proyección'!$F$20)-$E$9+1)</f>
        <v>20</v>
      </c>
      <c r="G14" s="25">
        <f>'Proyección'!$B$30+F14-1</f>
        <v>2045</v>
      </c>
      <c r="H14" s="30" t="inlineStr">
        <is>
          <t>Pensión mensual: retiro programado (la que eligió para el ROP)</t>
        </is>
      </c>
      <c r="I14" s="19">
        <v>100</v>
      </c>
      <c r="J14" s="22">
        <f>SUM(O19:O68)</f>
        <v>69668</v>
      </c>
      <c r="K14" s="22">
        <f>SUM(P19:P68)</f>
        <v>416331</v>
      </c>
      <c r="L14" s="22">
        <v>0</v>
      </c>
      <c r="M14" s="22">
        <f>SUM(Q19:Q68)</f>
        <v>450573</v>
      </c>
      <c r="N14" s="17">
        <v>12000000</v>
      </c>
      <c r="O14" s="20" t="inlineStr">
        <is>
          <t>CRC</t>
        </is>
      </c>
      <c r="P14" s="17">
        <v>150000</v>
      </c>
      <c r="Q14" s="20" t="inlineStr">
        <is>
          <t>CRC</t>
        </is>
      </c>
    </row>
    <row r="17" ht="20" customHeight="1">
      <c r="B17" s="14" t="inlineStr">
        <is>
          <t>Evolución anual</t>
        </is>
      </c>
      <c r="C17" s="14"/>
      <c r="D17" s="14" t="inlineStr">
        <is>
          <t>ROP</t>
        </is>
      </c>
      <c r="E17" s="14"/>
      <c r="F17" s="14"/>
      <c r="G17" s="14"/>
      <c r="H17" s="14"/>
      <c r="I17" s="14" t="inlineStr">
        <is>
          <t>FCL</t>
        </is>
      </c>
      <c r="J17" s="14"/>
      <c r="K17" s="14"/>
      <c r="L17" s="14"/>
      <c r="M17" s="14"/>
      <c r="N17" s="14" t="inlineStr">
        <is>
          <t>Pensión voluntaria</t>
        </is>
      </c>
      <c r="O17" s="14"/>
      <c r="P17" s="14"/>
      <c r="Q17" s="14"/>
      <c r="R17" s="14"/>
      <c r="S17" s="14" t="inlineStr">
        <is>
          <t>Total</t>
        </is>
      </c>
      <c r="T17" s="14"/>
      <c r="U17" s="14"/>
    </row>
    <row r="18" ht="44" customHeight="1">
      <c r="B18" s="21" t="inlineStr">
        <is>
          <t>Período</t>
        </is>
      </c>
      <c r="C18" s="21" t="inlineStr">
        <is>
          <t>Año</t>
        </is>
      </c>
      <c r="D18" s="21" t="inlineStr">
        <is>
          <t>Saldo inicial</t>
        </is>
      </c>
      <c r="E18" s="21" t="inlineStr">
        <is>
          <t>Aportes</t>
        </is>
      </c>
      <c r="F18" s="21" t="inlineStr">
        <is>
          <t>Rendimiento</t>
        </is>
      </c>
      <c r="G18" s="21" t="inlineStr">
        <is>
          <t>Pensión pagada</t>
        </is>
      </c>
      <c r="H18" s="21" t="inlineStr">
        <is>
          <t>Saldo final</t>
        </is>
      </c>
      <c r="I18" s="21" t="inlineStr">
        <is>
          <t>Saldo inicial</t>
        </is>
      </c>
      <c r="J18" s="21" t="inlineStr">
        <is>
          <t>Aportes</t>
        </is>
      </c>
      <c r="K18" s="21" t="inlineStr">
        <is>
          <t>Rendimiento</t>
        </is>
      </c>
      <c r="L18" s="21" t="inlineStr">
        <is>
          <t>Traslado al portafolio</t>
        </is>
      </c>
      <c r="M18" s="21" t="inlineStr">
        <is>
          <t>Saldo final</t>
        </is>
      </c>
      <c r="N18" s="21" t="inlineStr">
        <is>
          <t>Saldo inicial</t>
        </is>
      </c>
      <c r="O18" s="21" t="inlineStr">
        <is>
          <t>Aportes</t>
        </is>
      </c>
      <c r="P18" s="21" t="inlineStr">
        <is>
          <t>Rendimiento</t>
        </is>
      </c>
      <c r="Q18" s="21" t="inlineStr">
        <is>
          <t>Pensión pagada</t>
        </is>
      </c>
      <c r="R18" s="21" t="inlineStr">
        <is>
          <t>Saldo final</t>
        </is>
      </c>
      <c r="S18" s="21" t="inlineStr">
        <is>
          <t>Traslado total al portafolio</t>
        </is>
      </c>
      <c r="T18" s="21" t="inlineStr">
        <is>
          <t>Pensión del ROP</t>
        </is>
      </c>
      <c r="U18" s="21" t="inlineStr">
        <is>
          <t>Pensión voluntaria</t>
        </is>
      </c>
    </row>
    <row r="19">
      <c r="B19" s="25">
        <v>1</v>
      </c>
      <c r="C19" s="25">
        <f>'Proyección'!B30</f>
        <v>2026</v>
      </c>
      <c r="D19" s="22">
        <f>C12</f>
        <v>26667</v>
      </c>
      <c r="E19" s="22">
        <f>IF(AND(B19&lt;=$E$7,B19&lt;$F$12),$D$12*12*(1+$E$6)^(B19-1),0)*'Proyección'!$F$24/12</f>
        <v>765</v>
      </c>
      <c r="F19" s="22">
        <f>D19*$E$5*'Proyección'!$F$24/12</f>
        <v>400</v>
      </c>
      <c r="G19" s="22">
        <f>IF(B19&gt;=$F$12,IF(($I$12-$E$9-B19+2)&lt;=1,D19+F19,IF($E$5=0,D19/($I$12-$E$9-B19+2),D19*$E$5/(1-(1+$E$5)^(-($I$12-$E$9-B19+2))))*MIN(IF(AND(B19=$F$12,ISNUMBER('Proyección'!$F$21),N('Proyección'!$F$20)&gt;=$E$9),(12-'Proyección'!$F$21)/12,1),'Proyección'!$F$24/12)),0)</f>
        <v>0</v>
      </c>
      <c r="H19" s="22">
        <f>D19+E19+F19-G19</f>
        <v>27832</v>
      </c>
      <c r="I19" s="22">
        <f>C13</f>
        <v>26667</v>
      </c>
      <c r="J19" s="22">
        <f>IF(AND(B19&lt;=$E$7),$D$13*12*(1+$E$6)^(B19-1),0)*'Proyección'!$F$24/12</f>
        <v>270</v>
      </c>
      <c r="K19" s="22">
        <f>I19*$E$5*'Proyección'!$F$24/12</f>
        <v>400</v>
      </c>
      <c r="L19" s="22">
        <f>IF(OR(B19=$F$13,B19=$E$8,B19=50),I19+J19+K19,0)</f>
        <v>0</v>
      </c>
      <c r="M19" s="22">
        <f>I19+J19+K19-L19</f>
        <v>27337</v>
      </c>
      <c r="N19" s="22">
        <f>C14</f>
        <v>26667</v>
      </c>
      <c r="O19" s="22">
        <f>IF(AND(B19&lt;=$E$7,B19&lt;$F$14),$D$14*12*(1+$E$10)^(B19-1),0)*'Proyección'!$F$24/12</f>
        <v>1000</v>
      </c>
      <c r="P19" s="22">
        <f>N19*$E$5*'Proyección'!$F$24/12</f>
        <v>400</v>
      </c>
      <c r="Q19" s="22">
        <f>IF(B19&gt;=$F$14,IF(($I$14-$E$9-B19+2)&lt;=1,N19+P19,IF($E$5=0,N19/($I$14-$E$9-B19+2),N19*$E$5/(1-(1+$E$5)^(-($I$14-$E$9-B19+2))))*MIN(IF(AND(B19=$F$14,ISNUMBER('Proyección'!$F$21),N('Proyección'!$F$20)&gt;=$E$9),(12-'Proyección'!$F$21)/12,1),'Proyección'!$F$24/12)),0)</f>
        <v>0</v>
      </c>
      <c r="R19" s="22">
        <f>N19+O19+P19-Q19</f>
        <v>28067</v>
      </c>
      <c r="S19" s="23">
        <f>L19</f>
        <v>0</v>
      </c>
      <c r="T19" s="22">
        <f>G19</f>
        <v>0</v>
      </c>
      <c r="U19" s="22">
        <f>Q19</f>
        <v>0</v>
      </c>
    </row>
    <row r="20">
      <c r="B20" s="25">
        <v>2</v>
      </c>
      <c r="C20" s="25">
        <f>'Proyección'!B31</f>
        <v>2027</v>
      </c>
      <c r="D20" s="22">
        <f>H19</f>
        <v>27832</v>
      </c>
      <c r="E20" s="22">
        <f>IF(AND(B20&lt;=$E$7,B20&lt;$F$12),$D$12*12*(1+$E$6)^(B20-1),0)</f>
        <v>3179</v>
      </c>
      <c r="F20" s="22">
        <f>D20*$E$5</f>
        <v>1670</v>
      </c>
      <c r="G20" s="22">
        <f>IF(B20&gt;=$F$12,IF(($I$12-$E$9-B20+2)&lt;=1,D20+F20,IF($E$5=0,D20/($I$12-$E$9-B20+2),D20*$E$5/(1-(1+$E$5)^(-($I$12-$E$9-B20+2))))*IF(AND(B20=$F$12,ISNUMBER('Proyección'!$F$21),N('Proyección'!$F$20)&gt;=$E$9),(12-'Proyección'!$F$21)/12,1)),0)</f>
        <v>0</v>
      </c>
      <c r="H20" s="22">
        <f>D20+E20+F20-G20</f>
        <v>32681</v>
      </c>
      <c r="I20" s="22">
        <f>M19</f>
        <v>27337</v>
      </c>
      <c r="J20" s="22">
        <f>IF(AND(B20&lt;=$E$7),$D$13*12*(1+$E$6)^(B20-1),0)</f>
        <v>1122</v>
      </c>
      <c r="K20" s="22">
        <f>I20*$E$5</f>
        <v>1640</v>
      </c>
      <c r="L20" s="22">
        <f>IF(OR(B20=$F$13,B20=$E$8,B20=50),I20+J20+K20,0)</f>
        <v>0</v>
      </c>
      <c r="M20" s="22">
        <f>I20+J20+K20-L20</f>
        <v>30099</v>
      </c>
      <c r="N20" s="22">
        <f>R19</f>
        <v>28067</v>
      </c>
      <c r="O20" s="22">
        <f>IF(AND(B20&lt;=$E$7,B20&lt;$F$14),$D$14*12*(1+$E$10)^(B20-1),0)</f>
        <v>4156</v>
      </c>
      <c r="P20" s="22">
        <f>N20*$E$5</f>
        <v>1684</v>
      </c>
      <c r="Q20" s="22">
        <f>IF(B20&gt;=$F$14,IF(($I$14-$E$9-B20+2)&lt;=1,N20+P20,IF($E$5=0,N20/($I$14-$E$9-B20+2),N20*$E$5/(1-(1+$E$5)^(-($I$14-$E$9-B20+2))))*IF(AND(B20=$F$14,ISNUMBER('Proyección'!$F$21),N('Proyección'!$F$20)&gt;=$E$9),(12-'Proyección'!$F$21)/12,1)),0)</f>
        <v>0</v>
      </c>
      <c r="R20" s="22">
        <f>N20+O20+P20-Q20</f>
        <v>33907</v>
      </c>
      <c r="S20" s="23">
        <f>L20</f>
        <v>0</v>
      </c>
      <c r="T20" s="22">
        <f>G20</f>
        <v>0</v>
      </c>
      <c r="U20" s="22">
        <f>Q20</f>
        <v>0</v>
      </c>
    </row>
    <row r="21">
      <c r="B21" s="25">
        <v>3</v>
      </c>
      <c r="C21" s="25">
        <f>'Proyección'!B32</f>
        <v>2028</v>
      </c>
      <c r="D21" s="22">
        <f>H20</f>
        <v>32681</v>
      </c>
      <c r="E21" s="22">
        <f>IF(AND(B21&lt;=$E$7,B21&lt;$F$12),$D$12*12*(1+$E$6)^(B21-1),0)</f>
        <v>3303</v>
      </c>
      <c r="F21" s="22">
        <f>D21*$E$5</f>
        <v>1961</v>
      </c>
      <c r="G21" s="22">
        <f>IF(B21&gt;=$F$12,IF(($I$12-$E$9-B21+2)&lt;=1,D21+F21,IF($E$5=0,D21/($I$12-$E$9-B21+2),D21*$E$5/(1-(1+$E$5)^(-($I$12-$E$9-B21+2))))*IF(AND(B21=$F$12,ISNUMBER('Proyección'!$F$21),N('Proyección'!$F$20)&gt;=$E$9),(12-'Proyección'!$F$21)/12,1)),0)</f>
        <v>0</v>
      </c>
      <c r="H21" s="22">
        <f>D21+E21+F21-G21</f>
        <v>37945</v>
      </c>
      <c r="I21" s="22">
        <f>M20</f>
        <v>30099</v>
      </c>
      <c r="J21" s="22">
        <f>IF(AND(B21&lt;=$E$7),$D$13*12*(1+$E$6)^(B21-1),0)</f>
        <v>1166</v>
      </c>
      <c r="K21" s="22">
        <f>I21*$E$5</f>
        <v>1806</v>
      </c>
      <c r="L21" s="22">
        <f>IF(OR(B21=$F$13,B21=$E$8,B21=50),I21+J21+K21,0)</f>
        <v>0</v>
      </c>
      <c r="M21" s="22">
        <f>I21+J21+K21-L21</f>
        <v>33071</v>
      </c>
      <c r="N21" s="22">
        <f>R20</f>
        <v>33907</v>
      </c>
      <c r="O21" s="22">
        <f>IF(AND(B21&lt;=$E$7,B21&lt;$F$14),$D$14*12*(1+$E$10)^(B21-1),0)</f>
        <v>4318</v>
      </c>
      <c r="P21" s="22">
        <f>N21*$E$5</f>
        <v>2034</v>
      </c>
      <c r="Q21" s="22">
        <f>IF(B21&gt;=$F$14,IF(($I$14-$E$9-B21+2)&lt;=1,N21+P21,IF($E$5=0,N21/($I$14-$E$9-B21+2),N21*$E$5/(1-(1+$E$5)^(-($I$14-$E$9-B21+2))))*IF(AND(B21=$F$14,ISNUMBER('Proyección'!$F$21),N('Proyección'!$F$20)&gt;=$E$9),(12-'Proyección'!$F$21)/12,1)),0)</f>
        <v>0</v>
      </c>
      <c r="R21" s="22">
        <f>N21+O21+P21-Q21</f>
        <v>40259</v>
      </c>
      <c r="S21" s="23">
        <f>L21</f>
        <v>0</v>
      </c>
      <c r="T21" s="22">
        <f>G21</f>
        <v>0</v>
      </c>
      <c r="U21" s="22">
        <f>Q21</f>
        <v>0</v>
      </c>
    </row>
    <row r="22">
      <c r="B22" s="25">
        <v>4</v>
      </c>
      <c r="C22" s="25">
        <f>'Proyección'!B33</f>
        <v>2029</v>
      </c>
      <c r="D22" s="22">
        <f>H21</f>
        <v>37945</v>
      </c>
      <c r="E22" s="22">
        <f>IF(AND(B22&lt;=$E$7,B22&lt;$F$12),$D$12*12*(1+$E$6)^(B22-1),0)</f>
        <v>3432</v>
      </c>
      <c r="F22" s="22">
        <f>D22*$E$5</f>
        <v>2277</v>
      </c>
      <c r="G22" s="22">
        <f>IF(B22&gt;=$F$12,IF(($I$12-$E$9-B22+2)&lt;=1,D22+F22,IF($E$5=0,D22/($I$12-$E$9-B22+2),D22*$E$5/(1-(1+$E$5)^(-($I$12-$E$9-B22+2))))*IF(AND(B22=$F$12,ISNUMBER('Proyección'!$F$21),N('Proyección'!$F$20)&gt;=$E$9),(12-'Proyección'!$F$21)/12,1)),0)</f>
        <v>0</v>
      </c>
      <c r="H22" s="22">
        <f>D22+E22+F22-G22</f>
        <v>43654</v>
      </c>
      <c r="I22" s="22">
        <f>M21</f>
        <v>33071</v>
      </c>
      <c r="J22" s="22">
        <f>IF(AND(B22&lt;=$E$7),$D$13*12*(1+$E$6)^(B22-1),0)</f>
        <v>1211</v>
      </c>
      <c r="K22" s="22">
        <f>I22*$E$5</f>
        <v>1984</v>
      </c>
      <c r="L22" s="22">
        <f>IF(OR(B22=$F$13,B22=$E$8,B22=50),I22+J22+K22,0)</f>
        <v>0</v>
      </c>
      <c r="M22" s="22">
        <f>I22+J22+K22-L22</f>
        <v>36266</v>
      </c>
      <c r="N22" s="22">
        <f>R21</f>
        <v>40259</v>
      </c>
      <c r="O22" s="22">
        <f>IF(AND(B22&lt;=$E$7,B22&lt;$F$14),$D$14*12*(1+$E$10)^(B22-1),0)</f>
        <v>4486</v>
      </c>
      <c r="P22" s="22">
        <f>N22*$E$5</f>
        <v>2416</v>
      </c>
      <c r="Q22" s="22">
        <f>IF(B22&gt;=$F$14,IF(($I$14-$E$9-B22+2)&lt;=1,N22+P22,IF($E$5=0,N22/($I$14-$E$9-B22+2),N22*$E$5/(1-(1+$E$5)^(-($I$14-$E$9-B22+2))))*IF(AND(B22=$F$14,ISNUMBER('Proyección'!$F$21),N('Proyección'!$F$20)&gt;=$E$9),(12-'Proyección'!$F$21)/12,1)),0)</f>
        <v>0</v>
      </c>
      <c r="R22" s="22">
        <f>N22+O22+P22-Q22</f>
        <v>47161</v>
      </c>
      <c r="S22" s="23">
        <f>L22</f>
        <v>0</v>
      </c>
      <c r="T22" s="22">
        <f>G22</f>
        <v>0</v>
      </c>
      <c r="U22" s="22">
        <f>Q22</f>
        <v>0</v>
      </c>
    </row>
    <row r="23">
      <c r="B23" s="25">
        <v>5</v>
      </c>
      <c r="C23" s="25">
        <f>'Proyección'!B34</f>
        <v>2030</v>
      </c>
      <c r="D23" s="22">
        <f>H22</f>
        <v>43654</v>
      </c>
      <c r="E23" s="22">
        <f>IF(AND(B23&lt;=$E$7,B23&lt;$F$12),$D$12*12*(1+$E$6)^(B23-1),0)</f>
        <v>3566</v>
      </c>
      <c r="F23" s="22">
        <f>D23*$E$5</f>
        <v>2619</v>
      </c>
      <c r="G23" s="22">
        <f>IF(B23&gt;=$F$12,IF(($I$12-$E$9-B23+2)&lt;=1,D23+F23,IF($E$5=0,D23/($I$12-$E$9-B23+2),D23*$E$5/(1-(1+$E$5)^(-($I$12-$E$9-B23+2))))*IF(AND(B23=$F$12,ISNUMBER('Proyección'!$F$21),N('Proyección'!$F$20)&gt;=$E$9),(12-'Proyección'!$F$21)/12,1)),0)</f>
        <v>0</v>
      </c>
      <c r="H23" s="22">
        <f>D23+E23+F23-G23</f>
        <v>49839</v>
      </c>
      <c r="I23" s="22">
        <f>M22</f>
        <v>36266</v>
      </c>
      <c r="J23" s="22">
        <f>IF(AND(B23&lt;=$E$7),$D$13*12*(1+$E$6)^(B23-1),0)</f>
        <v>1259</v>
      </c>
      <c r="K23" s="22">
        <f>I23*$E$5</f>
        <v>2176</v>
      </c>
      <c r="L23" s="22">
        <f>IF(OR(B23=$F$13,B23=$E$8,B23=50),I23+J23+K23,0)</f>
        <v>0</v>
      </c>
      <c r="M23" s="22">
        <f>I23+J23+K23-L23</f>
        <v>39701</v>
      </c>
      <c r="N23" s="22">
        <f>R22</f>
        <v>47161</v>
      </c>
      <c r="O23" s="22">
        <f>IF(AND(B23&lt;=$E$7,B23&lt;$F$14),$D$14*12*(1+$E$10)^(B23-1),0)</f>
        <v>4661</v>
      </c>
      <c r="P23" s="22">
        <f>N23*$E$5</f>
        <v>2830</v>
      </c>
      <c r="Q23" s="22">
        <f>IF(B23&gt;=$F$14,IF(($I$14-$E$9-B23+2)&lt;=1,N23+P23,IF($E$5=0,N23/($I$14-$E$9-B23+2),N23*$E$5/(1-(1+$E$5)^(-($I$14-$E$9-B23+2))))*IF(AND(B23=$F$14,ISNUMBER('Proyección'!$F$21),N('Proyección'!$F$20)&gt;=$E$9),(12-'Proyección'!$F$21)/12,1)),0)</f>
        <v>0</v>
      </c>
      <c r="R23" s="22">
        <f>N23+O23+P23-Q23</f>
        <v>54652</v>
      </c>
      <c r="S23" s="23">
        <f>L23</f>
        <v>0</v>
      </c>
      <c r="T23" s="22">
        <f>G23</f>
        <v>0</v>
      </c>
      <c r="U23" s="22">
        <f>Q23</f>
        <v>0</v>
      </c>
    </row>
    <row r="24">
      <c r="B24" s="25">
        <v>6</v>
      </c>
      <c r="C24" s="25">
        <f>'Proyección'!B35</f>
        <v>2031</v>
      </c>
      <c r="D24" s="22">
        <f>H23</f>
        <v>49839</v>
      </c>
      <c r="E24" s="22">
        <f>IF(AND(B24&lt;=$E$7,B24&lt;$F$12),$D$12*12*(1+$E$6)^(B24-1),0)</f>
        <v>3705</v>
      </c>
      <c r="F24" s="22">
        <f>D24*$E$5</f>
        <v>2990</v>
      </c>
      <c r="G24" s="22">
        <f>IF(B24&gt;=$F$12,IF(($I$12-$E$9-B24+2)&lt;=1,D24+F24,IF($E$5=0,D24/($I$12-$E$9-B24+2),D24*$E$5/(1-(1+$E$5)^(-($I$12-$E$9-B24+2))))*IF(AND(B24=$F$12,ISNUMBER('Proyección'!$F$21),N('Proyección'!$F$20)&gt;=$E$9),(12-'Proyección'!$F$21)/12,1)),0)</f>
        <v>0</v>
      </c>
      <c r="H24" s="22">
        <f>D24+E24+F24-G24</f>
        <v>56535</v>
      </c>
      <c r="I24" s="22">
        <f>M23</f>
        <v>39701</v>
      </c>
      <c r="J24" s="22">
        <f>IF(AND(B24&lt;=$E$7),$D$13*12*(1+$E$6)^(B24-1),0)</f>
        <v>1308</v>
      </c>
      <c r="K24" s="22">
        <f>I24*$E$5</f>
        <v>2382</v>
      </c>
      <c r="L24" s="22">
        <f>IF(OR(B24=$F$13,B24=$E$8,B24=50),I24+J24+K24,0)</f>
        <v>0</v>
      </c>
      <c r="M24" s="22">
        <f>I24+J24+K24-L24</f>
        <v>43391</v>
      </c>
      <c r="N24" s="22">
        <f>R23</f>
        <v>54652</v>
      </c>
      <c r="O24" s="22">
        <f>IF(AND(B24&lt;=$E$7,B24&lt;$F$14),$D$14*12*(1+$E$10)^(B24-1),0)</f>
        <v>4843</v>
      </c>
      <c r="P24" s="22">
        <f>N24*$E$5</f>
        <v>3279</v>
      </c>
      <c r="Q24" s="22">
        <f>IF(B24&gt;=$F$14,IF(($I$14-$E$9-B24+2)&lt;=1,N24+P24,IF($E$5=0,N24/($I$14-$E$9-B24+2),N24*$E$5/(1-(1+$E$5)^(-($I$14-$E$9-B24+2))))*IF(AND(B24=$F$14,ISNUMBER('Proyección'!$F$21),N('Proyección'!$F$20)&gt;=$E$9),(12-'Proyección'!$F$21)/12,1)),0)</f>
        <v>0</v>
      </c>
      <c r="R24" s="22">
        <f>N24+O24+P24-Q24</f>
        <v>62775</v>
      </c>
      <c r="S24" s="23">
        <f>L24</f>
        <v>0</v>
      </c>
      <c r="T24" s="22">
        <f>G24</f>
        <v>0</v>
      </c>
      <c r="U24" s="22">
        <f>Q24</f>
        <v>0</v>
      </c>
    </row>
    <row r="25">
      <c r="B25" s="25">
        <v>7</v>
      </c>
      <c r="C25" s="25">
        <f>'Proyección'!B36</f>
        <v>2032</v>
      </c>
      <c r="D25" s="22">
        <f>H24</f>
        <v>56535</v>
      </c>
      <c r="E25" s="22">
        <f>IF(AND(B25&lt;=$E$7,B25&lt;$F$12),$D$12*12*(1+$E$6)^(B25-1),0)</f>
        <v>3850</v>
      </c>
      <c r="F25" s="22">
        <f>D25*$E$5</f>
        <v>3392</v>
      </c>
      <c r="G25" s="22">
        <f>IF(B25&gt;=$F$12,IF(($I$12-$E$9-B25+2)&lt;=1,D25+F25,IF($E$5=0,D25/($I$12-$E$9-B25+2),D25*$E$5/(1-(1+$E$5)^(-($I$12-$E$9-B25+2))))*IF(AND(B25=$F$12,ISNUMBER('Proyección'!$F$21),N('Proyección'!$F$20)&gt;=$E$9),(12-'Proyección'!$F$21)/12,1)),0)</f>
        <v>0</v>
      </c>
      <c r="H25" s="22">
        <f>D25+E25+F25-G25</f>
        <v>63776</v>
      </c>
      <c r="I25" s="22">
        <f>M24</f>
        <v>43391</v>
      </c>
      <c r="J25" s="22">
        <f>IF(AND(B25&lt;=$E$7),$D$13*12*(1+$E$6)^(B25-1),0)</f>
        <v>1359</v>
      </c>
      <c r="K25" s="22">
        <f>I25*$E$5</f>
        <v>2603</v>
      </c>
      <c r="L25" s="22">
        <f>IF(OR(B25=$F$13,B25=$E$8,B25=50),I25+J25+K25,0)</f>
        <v>0</v>
      </c>
      <c r="M25" s="22">
        <f>I25+J25+K25-L25</f>
        <v>47353</v>
      </c>
      <c r="N25" s="22">
        <f>R24</f>
        <v>62775</v>
      </c>
      <c r="O25" s="22">
        <f>IF(AND(B25&lt;=$E$7,B25&lt;$F$14),$D$14*12*(1+$E$10)^(B25-1),0)</f>
        <v>5032</v>
      </c>
      <c r="P25" s="22">
        <f>N25*$E$5</f>
        <v>3766</v>
      </c>
      <c r="Q25" s="22">
        <f>IF(B25&gt;=$F$14,IF(($I$14-$E$9-B25+2)&lt;=1,N25+P25,IF($E$5=0,N25/($I$14-$E$9-B25+2),N25*$E$5/(1-(1+$E$5)^(-($I$14-$E$9-B25+2))))*IF(AND(B25=$F$14,ISNUMBER('Proyección'!$F$21),N('Proyección'!$F$20)&gt;=$E$9),(12-'Proyección'!$F$21)/12,1)),0)</f>
        <v>0</v>
      </c>
      <c r="R25" s="22">
        <f>N25+O25+P25-Q25</f>
        <v>71573</v>
      </c>
      <c r="S25" s="23">
        <f>L25</f>
        <v>0</v>
      </c>
      <c r="T25" s="22">
        <f>G25</f>
        <v>0</v>
      </c>
      <c r="U25" s="22">
        <f>Q25</f>
        <v>0</v>
      </c>
    </row>
    <row r="26">
      <c r="B26" s="25">
        <v>8</v>
      </c>
      <c r="C26" s="25">
        <f>'Proyección'!B37</f>
        <v>2033</v>
      </c>
      <c r="D26" s="22">
        <f>H25</f>
        <v>63776</v>
      </c>
      <c r="E26" s="22">
        <f>IF(AND(B26&lt;=$E$7,B26&lt;$F$12),$D$12*12*(1+$E$6)^(B26-1),0)</f>
        <v>4000</v>
      </c>
      <c r="F26" s="22">
        <f>D26*$E$5</f>
        <v>3827</v>
      </c>
      <c r="G26" s="22">
        <f>IF(B26&gt;=$F$12,IF(($I$12-$E$9-B26+2)&lt;=1,D26+F26,IF($E$5=0,D26/($I$12-$E$9-B26+2),D26*$E$5/(1-(1+$E$5)^(-($I$12-$E$9-B26+2))))*IF(AND(B26=$F$12,ISNUMBER('Proyección'!$F$21),N('Proyección'!$F$20)&gt;=$E$9),(12-'Proyección'!$F$21)/12,1)),0)</f>
        <v>0</v>
      </c>
      <c r="H26" s="22">
        <f>D26+E26+F26-G26</f>
        <v>71603</v>
      </c>
      <c r="I26" s="22">
        <f>M25</f>
        <v>47353</v>
      </c>
      <c r="J26" s="22">
        <f>IF(AND(B26&lt;=$E$7),$D$13*12*(1+$E$6)^(B26-1),0)</f>
        <v>1412</v>
      </c>
      <c r="K26" s="22">
        <f>I26*$E$5</f>
        <v>2841</v>
      </c>
      <c r="L26" s="22">
        <f>IF(OR(B26=$F$13,B26=$E$8,B26=50),I26+J26+K26,0)</f>
        <v>0</v>
      </c>
      <c r="M26" s="22">
        <f>I26+J26+K26-L26</f>
        <v>51606</v>
      </c>
      <c r="N26" s="22">
        <f>R25</f>
        <v>71573</v>
      </c>
      <c r="O26" s="22">
        <f>IF(AND(B26&lt;=$E$7,B26&lt;$F$14),$D$14*12*(1+$E$10)^(B26-1),0)</f>
        <v>5228</v>
      </c>
      <c r="P26" s="22">
        <f>N26*$E$5</f>
        <v>4294</v>
      </c>
      <c r="Q26" s="22">
        <f>IF(B26&gt;=$F$14,IF(($I$14-$E$9-B26+2)&lt;=1,N26+P26,IF($E$5=0,N26/($I$14-$E$9-B26+2),N26*$E$5/(1-(1+$E$5)^(-($I$14-$E$9-B26+2))))*IF(AND(B26=$F$14,ISNUMBER('Proyección'!$F$21),N('Proyección'!$F$20)&gt;=$E$9),(12-'Proyección'!$F$21)/12,1)),0)</f>
        <v>0</v>
      </c>
      <c r="R26" s="22">
        <f>N26+O26+P26-Q26</f>
        <v>81096</v>
      </c>
      <c r="S26" s="23">
        <f>L26</f>
        <v>0</v>
      </c>
      <c r="T26" s="22">
        <f>G26</f>
        <v>0</v>
      </c>
      <c r="U26" s="22">
        <f>Q26</f>
        <v>0</v>
      </c>
    </row>
    <row r="27">
      <c r="B27" s="25">
        <v>9</v>
      </c>
      <c r="C27" s="25">
        <f>'Proyección'!B38</f>
        <v>2034</v>
      </c>
      <c r="D27" s="22">
        <f>H26</f>
        <v>71603</v>
      </c>
      <c r="E27" s="22">
        <f>IF(AND(B27&lt;=$E$7,B27&lt;$F$12),$D$12*12*(1+$E$6)^(B27-1),0)</f>
        <v>4156</v>
      </c>
      <c r="F27" s="22">
        <f>D27*$E$5</f>
        <v>4296</v>
      </c>
      <c r="G27" s="22">
        <f>IF(B27&gt;=$F$12,IF(($I$12-$E$9-B27+2)&lt;=1,D27+F27,IF($E$5=0,D27/($I$12-$E$9-B27+2),D27*$E$5/(1-(1+$E$5)^(-($I$12-$E$9-B27+2))))*IF(AND(B27=$F$12,ISNUMBER('Proyección'!$F$21),N('Proyección'!$F$20)&gt;=$E$9),(12-'Proyección'!$F$21)/12,1)),0)</f>
        <v>0</v>
      </c>
      <c r="H27" s="22">
        <f>D27+E27+F27-G27</f>
        <v>80055</v>
      </c>
      <c r="I27" s="22">
        <f>M26</f>
        <v>51606</v>
      </c>
      <c r="J27" s="22">
        <f>IF(AND(B27&lt;=$E$7),$D$13*12*(1+$E$6)^(B27-1),0)</f>
        <v>1467</v>
      </c>
      <c r="K27" s="22">
        <f>I27*$E$5</f>
        <v>3096</v>
      </c>
      <c r="L27" s="22">
        <f>IF(OR(B27=$F$13,B27=$E$8,B27=50),I27+J27+K27,0)</f>
        <v>0</v>
      </c>
      <c r="M27" s="22">
        <f>I27+J27+K27-L27</f>
        <v>56169</v>
      </c>
      <c r="N27" s="22">
        <f>R26</f>
        <v>81096</v>
      </c>
      <c r="O27" s="22">
        <f>IF(AND(B27&lt;=$E$7,B27&lt;$F$14),$D$14*12*(1+$E$10)^(B27-1),0)</f>
        <v>5432</v>
      </c>
      <c r="P27" s="22">
        <f>N27*$E$5</f>
        <v>4866</v>
      </c>
      <c r="Q27" s="22">
        <f>IF(B27&gt;=$F$14,IF(($I$14-$E$9-B27+2)&lt;=1,N27+P27,IF($E$5=0,N27/($I$14-$E$9-B27+2),N27*$E$5/(1-(1+$E$5)^(-($I$14-$E$9-B27+2))))*IF(AND(B27=$F$14,ISNUMBER('Proyección'!$F$21),N('Proyección'!$F$20)&gt;=$E$9),(12-'Proyección'!$F$21)/12,1)),0)</f>
        <v>0</v>
      </c>
      <c r="R27" s="22">
        <f>N27+O27+P27-Q27</f>
        <v>91394</v>
      </c>
      <c r="S27" s="23">
        <f>L27</f>
        <v>0</v>
      </c>
      <c r="T27" s="22">
        <f>G27</f>
        <v>0</v>
      </c>
      <c r="U27" s="22">
        <f>Q27</f>
        <v>0</v>
      </c>
    </row>
    <row r="28">
      <c r="B28" s="25">
        <v>10</v>
      </c>
      <c r="C28" s="25">
        <f>'Proyección'!B39</f>
        <v>2035</v>
      </c>
      <c r="D28" s="22">
        <f>H27</f>
        <v>80055</v>
      </c>
      <c r="E28" s="22">
        <f>IF(AND(B28&lt;=$E$7,B28&lt;$F$12),$D$12*12*(1+$E$6)^(B28-1),0)</f>
        <v>4318</v>
      </c>
      <c r="F28" s="22">
        <f>D28*$E$5</f>
        <v>4803</v>
      </c>
      <c r="G28" s="22">
        <f>IF(B28&gt;=$F$12,IF(($I$12-$E$9-B28+2)&lt;=1,D28+F28,IF($E$5=0,D28/($I$12-$E$9-B28+2),D28*$E$5/(1-(1+$E$5)^(-($I$12-$E$9-B28+2))))*IF(AND(B28=$F$12,ISNUMBER('Proyección'!$F$21),N('Proyección'!$F$20)&gt;=$E$9),(12-'Proyección'!$F$21)/12,1)),0)</f>
        <v>0</v>
      </c>
      <c r="H28" s="22">
        <f>D28+E28+F28-G28</f>
        <v>89176</v>
      </c>
      <c r="I28" s="22">
        <f>M27</f>
        <v>56169</v>
      </c>
      <c r="J28" s="22">
        <f>IF(AND(B28&lt;=$E$7),$D$13*12*(1+$E$6)^(B28-1),0)</f>
        <v>1524</v>
      </c>
      <c r="K28" s="22">
        <f>I28*$E$5</f>
        <v>3370</v>
      </c>
      <c r="L28" s="22">
        <f>IF(OR(B28=$F$13,B28=$E$8,B28=50),I28+J28+K28,0)</f>
        <v>0</v>
      </c>
      <c r="M28" s="22">
        <f>I28+J28+K28-L28</f>
        <v>61063</v>
      </c>
      <c r="N28" s="22">
        <f>R27</f>
        <v>91394</v>
      </c>
      <c r="O28" s="22">
        <f>IF(AND(B28&lt;=$E$7,B28&lt;$F$14),$D$14*12*(1+$E$10)^(B28-1),0)</f>
        <v>5644</v>
      </c>
      <c r="P28" s="22">
        <f>N28*$E$5</f>
        <v>5484</v>
      </c>
      <c r="Q28" s="22">
        <f>IF(B28&gt;=$F$14,IF(($I$14-$E$9-B28+2)&lt;=1,N28+P28,IF($E$5=0,N28/($I$14-$E$9-B28+2),N28*$E$5/(1-(1+$E$5)^(-($I$14-$E$9-B28+2))))*IF(AND(B28=$F$14,ISNUMBER('Proyección'!$F$21),N('Proyección'!$F$20)&gt;=$E$9),(12-'Proyección'!$F$21)/12,1)),0)</f>
        <v>0</v>
      </c>
      <c r="R28" s="22">
        <f>N28+O28+P28-Q28</f>
        <v>102522</v>
      </c>
      <c r="S28" s="23">
        <f>L28</f>
        <v>0</v>
      </c>
      <c r="T28" s="22">
        <f>G28</f>
        <v>0</v>
      </c>
      <c r="U28" s="22">
        <f>Q28</f>
        <v>0</v>
      </c>
    </row>
    <row r="29">
      <c r="B29" s="25">
        <v>11</v>
      </c>
      <c r="C29" s="25">
        <f>'Proyección'!B40</f>
        <v>2036</v>
      </c>
      <c r="D29" s="22">
        <f>H28</f>
        <v>89176</v>
      </c>
      <c r="E29" s="22">
        <f>IF(AND(B29&lt;=$E$7,B29&lt;$F$12),$D$12*12*(1+$E$6)^(B29-1),0)</f>
        <v>4486</v>
      </c>
      <c r="F29" s="22">
        <f>D29*$E$5</f>
        <v>5351</v>
      </c>
      <c r="G29" s="22">
        <f>IF(B29&gt;=$F$12,IF(($I$12-$E$9-B29+2)&lt;=1,D29+F29,IF($E$5=0,D29/($I$12-$E$9-B29+2),D29*$E$5/(1-(1+$E$5)^(-($I$12-$E$9-B29+2))))*IF(AND(B29=$F$12,ISNUMBER('Proyección'!$F$21),N('Proyección'!$F$20)&gt;=$E$9),(12-'Proyección'!$F$21)/12,1)),0)</f>
        <v>0</v>
      </c>
      <c r="H29" s="22">
        <f>D29+E29+F29-G29</f>
        <v>99012</v>
      </c>
      <c r="I29" s="22">
        <f>M28</f>
        <v>61063</v>
      </c>
      <c r="J29" s="22">
        <f>IF(AND(B29&lt;=$E$7),$D$13*12*(1+$E$6)^(B29-1),0)</f>
        <v>1583</v>
      </c>
      <c r="K29" s="22">
        <f>I29*$E$5</f>
        <v>3664</v>
      </c>
      <c r="L29" s="22">
        <f>IF(OR(B29=$F$13,B29=$E$8,B29=50),I29+J29+K29,0)</f>
        <v>0</v>
      </c>
      <c r="M29" s="22">
        <f>I29+J29+K29-L29</f>
        <v>66310</v>
      </c>
      <c r="N29" s="22">
        <f>R28</f>
        <v>102522</v>
      </c>
      <c r="O29" s="22">
        <f>IF(AND(B29&lt;=$E$7,B29&lt;$F$14),$D$14*12*(1+$E$10)^(B29-1),0)</f>
        <v>5864</v>
      </c>
      <c r="P29" s="22">
        <f>N29*$E$5</f>
        <v>6151</v>
      </c>
      <c r="Q29" s="22">
        <f>IF(B29&gt;=$F$14,IF(($I$14-$E$9-B29+2)&lt;=1,N29+P29,IF($E$5=0,N29/($I$14-$E$9-B29+2),N29*$E$5/(1-(1+$E$5)^(-($I$14-$E$9-B29+2))))*IF(AND(B29=$F$14,ISNUMBER('Proyección'!$F$21),N('Proyección'!$F$20)&gt;=$E$9),(12-'Proyección'!$F$21)/12,1)),0)</f>
        <v>0</v>
      </c>
      <c r="R29" s="22">
        <f>N29+O29+P29-Q29</f>
        <v>114538</v>
      </c>
      <c r="S29" s="23">
        <f>L29</f>
        <v>0</v>
      </c>
      <c r="T29" s="22">
        <f>G29</f>
        <v>0</v>
      </c>
      <c r="U29" s="22">
        <f>Q29</f>
        <v>0</v>
      </c>
    </row>
    <row r="30">
      <c r="B30" s="25">
        <v>12</v>
      </c>
      <c r="C30" s="25">
        <f>'Proyección'!B41</f>
        <v>2037</v>
      </c>
      <c r="D30" s="22">
        <f>H29</f>
        <v>99012</v>
      </c>
      <c r="E30" s="22">
        <f>IF(AND(B30&lt;=$E$7,B30&lt;$F$12),$D$12*12*(1+$E$6)^(B30-1),0)</f>
        <v>4661</v>
      </c>
      <c r="F30" s="22">
        <f>D30*$E$5</f>
        <v>5941</v>
      </c>
      <c r="G30" s="22">
        <f>IF(B30&gt;=$F$12,IF(($I$12-$E$9-B30+2)&lt;=1,D30+F30,IF($E$5=0,D30/($I$12-$E$9-B30+2),D30*$E$5/(1-(1+$E$5)^(-($I$12-$E$9-B30+2))))*IF(AND(B30=$F$12,ISNUMBER('Proyección'!$F$21),N('Proyección'!$F$20)&gt;=$E$9),(12-'Proyección'!$F$21)/12,1)),0)</f>
        <v>0</v>
      </c>
      <c r="H30" s="22">
        <f>D30+E30+F30-G30</f>
        <v>109614</v>
      </c>
      <c r="I30" s="22">
        <f>M29</f>
        <v>66310</v>
      </c>
      <c r="J30" s="22">
        <f>IF(AND(B30&lt;=$E$7),$D$13*12*(1+$E$6)^(B30-1),0)</f>
        <v>1645</v>
      </c>
      <c r="K30" s="22">
        <f>I30*$E$5</f>
        <v>3979</v>
      </c>
      <c r="L30" s="22">
        <f>IF(OR(B30=$F$13,B30=$E$8,B30=50),I30+J30+K30,0)</f>
        <v>0</v>
      </c>
      <c r="M30" s="22">
        <f>I30+J30+K30-L30</f>
        <v>71934</v>
      </c>
      <c r="N30" s="22">
        <f>R29</f>
        <v>114538</v>
      </c>
      <c r="O30" s="22">
        <f>IF(AND(B30&lt;=$E$7,B30&lt;$F$14),$D$14*12*(1+$E$10)^(B30-1),0)</f>
        <v>6093</v>
      </c>
      <c r="P30" s="22">
        <f>N30*$E$5</f>
        <v>6872</v>
      </c>
      <c r="Q30" s="22">
        <f>IF(B30&gt;=$F$14,IF(($I$14-$E$9-B30+2)&lt;=1,N30+P30,IF($E$5=0,N30/($I$14-$E$9-B30+2),N30*$E$5/(1-(1+$E$5)^(-($I$14-$E$9-B30+2))))*IF(AND(B30=$F$14,ISNUMBER('Proyección'!$F$21),N('Proyección'!$F$20)&gt;=$E$9),(12-'Proyección'!$F$21)/12,1)),0)</f>
        <v>0</v>
      </c>
      <c r="R30" s="22">
        <f>N30+O30+P30-Q30</f>
        <v>127503</v>
      </c>
      <c r="S30" s="23">
        <f>L30</f>
        <v>0</v>
      </c>
      <c r="T30" s="22">
        <f>G30</f>
        <v>0</v>
      </c>
      <c r="U30" s="22">
        <f>Q30</f>
        <v>0</v>
      </c>
    </row>
    <row r="31">
      <c r="B31" s="25">
        <v>13</v>
      </c>
      <c r="C31" s="25">
        <f>'Proyección'!B42</f>
        <v>2038</v>
      </c>
      <c r="D31" s="22">
        <f>H30</f>
        <v>109614</v>
      </c>
      <c r="E31" s="22">
        <f>IF(AND(B31&lt;=$E$7,B31&lt;$F$12),$D$12*12*(1+$E$6)^(B31-1),0)</f>
        <v>4843</v>
      </c>
      <c r="F31" s="22">
        <f>D31*$E$5</f>
        <v>6577</v>
      </c>
      <c r="G31" s="22">
        <f>IF(B31&gt;=$F$12,IF(($I$12-$E$9-B31+2)&lt;=1,D31+F31,IF($E$5=0,D31/($I$12-$E$9-B31+2),D31*$E$5/(1-(1+$E$5)^(-($I$12-$E$9-B31+2))))*IF(AND(B31=$F$12,ISNUMBER('Proyección'!$F$21),N('Proyección'!$F$20)&gt;=$E$9),(12-'Proyección'!$F$21)/12,1)),0)</f>
        <v>0</v>
      </c>
      <c r="H31" s="22">
        <f>D31+E31+F31-G31</f>
        <v>121034</v>
      </c>
      <c r="I31" s="22">
        <f>M30</f>
        <v>71934</v>
      </c>
      <c r="J31" s="22">
        <f>IF(AND(B31&lt;=$E$7),$D$13*12*(1+$E$6)^(B31-1),0)</f>
        <v>1709</v>
      </c>
      <c r="K31" s="22">
        <f>I31*$E$5</f>
        <v>4316</v>
      </c>
      <c r="L31" s="22">
        <f>IF(OR(B31=$F$13,B31=$E$8,B31=50),I31+J31+K31,0)</f>
        <v>0</v>
      </c>
      <c r="M31" s="22">
        <f>I31+J31+K31-L31</f>
        <v>77959</v>
      </c>
      <c r="N31" s="22">
        <f>R30</f>
        <v>127503</v>
      </c>
      <c r="O31" s="22">
        <f>IF(AND(B31&lt;=$E$7,B31&lt;$F$14),$D$14*12*(1+$E$10)^(B31-1),0)</f>
        <v>6331</v>
      </c>
      <c r="P31" s="22">
        <f>N31*$E$5</f>
        <v>7650</v>
      </c>
      <c r="Q31" s="22">
        <f>IF(B31&gt;=$F$14,IF(($I$14-$E$9-B31+2)&lt;=1,N31+P31,IF($E$5=0,N31/($I$14-$E$9-B31+2),N31*$E$5/(1-(1+$E$5)^(-($I$14-$E$9-B31+2))))*IF(AND(B31=$F$14,ISNUMBER('Proyección'!$F$21),N('Proyección'!$F$20)&gt;=$E$9),(12-'Proyección'!$F$21)/12,1)),0)</f>
        <v>0</v>
      </c>
      <c r="R31" s="22">
        <f>N31+O31+P31-Q31</f>
        <v>141484</v>
      </c>
      <c r="S31" s="23">
        <f>L31</f>
        <v>0</v>
      </c>
      <c r="T31" s="22">
        <f>G31</f>
        <v>0</v>
      </c>
      <c r="U31" s="22">
        <f>Q31</f>
        <v>0</v>
      </c>
    </row>
    <row r="32">
      <c r="B32" s="25">
        <v>14</v>
      </c>
      <c r="C32" s="25">
        <f>'Proyección'!B43</f>
        <v>2039</v>
      </c>
      <c r="D32" s="22">
        <f>H31</f>
        <v>121034</v>
      </c>
      <c r="E32" s="22">
        <f>IF(AND(B32&lt;=$E$7,B32&lt;$F$12),$D$12*12*(1+$E$6)^(B32-1),0)</f>
        <v>5032</v>
      </c>
      <c r="F32" s="22">
        <f>D32*$E$5</f>
        <v>7262</v>
      </c>
      <c r="G32" s="22">
        <f>IF(B32&gt;=$F$12,IF(($I$12-$E$9-B32+2)&lt;=1,D32+F32,IF($E$5=0,D32/($I$12-$E$9-B32+2),D32*$E$5/(1-(1+$E$5)^(-($I$12-$E$9-B32+2))))*IF(AND(B32=$F$12,ISNUMBER('Proyección'!$F$21),N('Proyección'!$F$20)&gt;=$E$9),(12-'Proyección'!$F$21)/12,1)),0)</f>
        <v>0</v>
      </c>
      <c r="H32" s="22">
        <f>D32+E32+F32-G32</f>
        <v>133328</v>
      </c>
      <c r="I32" s="22">
        <f>M31</f>
        <v>77959</v>
      </c>
      <c r="J32" s="22">
        <f>IF(AND(B32&lt;=$E$7),$D$13*12*(1+$E$6)^(B32-1),0)</f>
        <v>1776</v>
      </c>
      <c r="K32" s="22">
        <f>I32*$E$5</f>
        <v>4678</v>
      </c>
      <c r="L32" s="22">
        <f>IF(OR(B32=$F$13,B32=$E$8,B32=50),I32+J32+K32,0)</f>
        <v>0</v>
      </c>
      <c r="M32" s="22">
        <f>I32+J32+K32-L32</f>
        <v>84412</v>
      </c>
      <c r="N32" s="22">
        <f>R31</f>
        <v>141484</v>
      </c>
      <c r="O32" s="22">
        <f>IF(AND(B32&lt;=$E$7,B32&lt;$F$14),$D$14*12*(1+$E$10)^(B32-1),0)</f>
        <v>6578</v>
      </c>
      <c r="P32" s="22">
        <f>N32*$E$5</f>
        <v>8489</v>
      </c>
      <c r="Q32" s="22">
        <f>IF(B32&gt;=$F$14,IF(($I$14-$E$9-B32+2)&lt;=1,N32+P32,IF($E$5=0,N32/($I$14-$E$9-B32+2),N32*$E$5/(1-(1+$E$5)^(-($I$14-$E$9-B32+2))))*IF(AND(B32=$F$14,ISNUMBER('Proyección'!$F$21),N('Proyección'!$F$20)&gt;=$E$9),(12-'Proyección'!$F$21)/12,1)),0)</f>
        <v>0</v>
      </c>
      <c r="R32" s="22">
        <f>N32+O32+P32-Q32</f>
        <v>156550</v>
      </c>
      <c r="S32" s="23">
        <f>L32</f>
        <v>0</v>
      </c>
      <c r="T32" s="22">
        <f>G32</f>
        <v>0</v>
      </c>
      <c r="U32" s="22">
        <f>Q32</f>
        <v>0</v>
      </c>
    </row>
    <row r="33">
      <c r="B33" s="25">
        <v>15</v>
      </c>
      <c r="C33" s="25">
        <f>'Proyección'!B44</f>
        <v>2040</v>
      </c>
      <c r="D33" s="22">
        <f>H32</f>
        <v>133328</v>
      </c>
      <c r="E33" s="22">
        <f>IF(AND(B33&lt;=$E$7,B33&lt;$F$12),$D$12*12*(1+$E$6)^(B33-1),0)</f>
        <v>0</v>
      </c>
      <c r="F33" s="22">
        <f>D33*$E$5</f>
        <v>8000</v>
      </c>
      <c r="G33" s="22">
        <f>IF(B33&gt;=$F$12,IF(($I$12-$E$9-B33+2)&lt;=1,D33+F33,IF($E$5=0,D33/($I$12-$E$9-B33+2),D33*$E$5/(1-(1+$E$5)^(-($I$12-$E$9-B33+2))))*IF(AND(B33=$F$12,ISNUMBER('Proyección'!$F$21),N('Proyección'!$F$20)&gt;=$E$9),(12-'Proyección'!$F$21)/12,1)),0)</f>
        <v>0</v>
      </c>
      <c r="H33" s="22">
        <f>D33+E33+F33-G33</f>
        <v>141327</v>
      </c>
      <c r="I33" s="22">
        <f>M32</f>
        <v>84412</v>
      </c>
      <c r="J33" s="22">
        <f>IF(AND(B33&lt;=$E$7),$D$13*12*(1+$E$6)^(B33-1),0)</f>
        <v>0</v>
      </c>
      <c r="K33" s="22">
        <f>I33*$E$5</f>
        <v>5065</v>
      </c>
      <c r="L33" s="22">
        <f>IF(OR(B33=$F$13,B33=$E$8,B33=50),I33+J33+K33,0)</f>
        <v>89477</v>
      </c>
      <c r="M33" s="22">
        <f>I33+J33+K33-L33</f>
        <v>0</v>
      </c>
      <c r="N33" s="22">
        <f>R32</f>
        <v>156550</v>
      </c>
      <c r="O33" s="22">
        <f>IF(AND(B33&lt;=$E$7,B33&lt;$F$14),$D$14*12*(1+$E$10)^(B33-1),0)</f>
        <v>0</v>
      </c>
      <c r="P33" s="22">
        <f>N33*$E$5</f>
        <v>9393</v>
      </c>
      <c r="Q33" s="22">
        <f>IF(B33&gt;=$F$14,IF(($I$14-$E$9-B33+2)&lt;=1,N33+P33,IF($E$5=0,N33/($I$14-$E$9-B33+2),N33*$E$5/(1-(1+$E$5)^(-($I$14-$E$9-B33+2))))*IF(AND(B33=$F$14,ISNUMBER('Proyección'!$F$21),N('Proyección'!$F$20)&gt;=$E$9),(12-'Proyección'!$F$21)/12,1)),0)</f>
        <v>0</v>
      </c>
      <c r="R33" s="22">
        <f>N33+O33+P33-Q33</f>
        <v>165943</v>
      </c>
      <c r="S33" s="23">
        <f>L33</f>
        <v>89477</v>
      </c>
      <c r="T33" s="22">
        <f>G33</f>
        <v>0</v>
      </c>
      <c r="U33" s="22">
        <f>Q33</f>
        <v>0</v>
      </c>
    </row>
    <row r="34">
      <c r="B34" s="25">
        <v>16</v>
      </c>
      <c r="C34" s="25">
        <f>'Proyección'!B45</f>
        <v>2041</v>
      </c>
      <c r="D34" s="22">
        <f>H33</f>
        <v>141327</v>
      </c>
      <c r="E34" s="22">
        <f>IF(AND(B34&lt;=$E$7,B34&lt;$F$12),$D$12*12*(1+$E$6)^(B34-1),0)</f>
        <v>0</v>
      </c>
      <c r="F34" s="22">
        <f>D34*$E$5</f>
        <v>8480</v>
      </c>
      <c r="G34" s="22">
        <f>IF(B34&gt;=$F$12,IF(($I$12-$E$9-B34+2)&lt;=1,D34+F34,IF($E$5=0,D34/($I$12-$E$9-B34+2),D34*$E$5/(1-(1+$E$5)^(-($I$12-$E$9-B34+2))))*IF(AND(B34=$F$12,ISNUMBER('Proyección'!$F$21),N('Proyección'!$F$20)&gt;=$E$9),(12-'Proyección'!$F$21)/12,1)),0)</f>
        <v>0</v>
      </c>
      <c r="H34" s="22">
        <f>D34+E34+F34-G34</f>
        <v>149807</v>
      </c>
      <c r="I34" s="22">
        <f>M33</f>
        <v>0</v>
      </c>
      <c r="J34" s="22">
        <f>IF(AND(B34&lt;=$E$7),$D$13*12*(1+$E$6)^(B34-1),0)</f>
        <v>0</v>
      </c>
      <c r="K34" s="22">
        <f>I34*$E$5</f>
        <v>0</v>
      </c>
      <c r="L34" s="22">
        <f>IF(OR(B34=$F$13,B34=$E$8,B34=50),I34+J34+K34,0)</f>
        <v>0</v>
      </c>
      <c r="M34" s="22">
        <f>I34+J34+K34-L34</f>
        <v>0</v>
      </c>
      <c r="N34" s="22">
        <f>R33</f>
        <v>165943</v>
      </c>
      <c r="O34" s="22">
        <f>IF(AND(B34&lt;=$E$7,B34&lt;$F$14),$D$14*12*(1+$E$10)^(B34-1),0)</f>
        <v>0</v>
      </c>
      <c r="P34" s="22">
        <f>N34*$E$5</f>
        <v>9957</v>
      </c>
      <c r="Q34" s="22">
        <f>IF(B34&gt;=$F$14,IF(($I$14-$E$9-B34+2)&lt;=1,N34+P34,IF($E$5=0,N34/($I$14-$E$9-B34+2),N34*$E$5/(1-(1+$E$5)^(-($I$14-$E$9-B34+2))))*IF(AND(B34=$F$14,ISNUMBER('Proyección'!$F$21),N('Proyección'!$F$20)&gt;=$E$9),(12-'Proyección'!$F$21)/12,1)),0)</f>
        <v>0</v>
      </c>
      <c r="R34" s="22">
        <f>N34+O34+P34-Q34</f>
        <v>175900</v>
      </c>
      <c r="S34" s="23">
        <f>L34</f>
        <v>0</v>
      </c>
      <c r="T34" s="22">
        <f>G34</f>
        <v>0</v>
      </c>
      <c r="U34" s="22">
        <f>Q34</f>
        <v>0</v>
      </c>
    </row>
    <row r="35">
      <c r="B35" s="25">
        <v>17</v>
      </c>
      <c r="C35" s="25">
        <f>'Proyección'!B46</f>
        <v>2042</v>
      </c>
      <c r="D35" s="22">
        <f>H34</f>
        <v>149807</v>
      </c>
      <c r="E35" s="22">
        <f>IF(AND(B35&lt;=$E$7,B35&lt;$F$12),$D$12*12*(1+$E$6)^(B35-1),0)</f>
        <v>0</v>
      </c>
      <c r="F35" s="22">
        <f>D35*$E$5</f>
        <v>8988</v>
      </c>
      <c r="G35" s="22">
        <f>IF(B35&gt;=$F$12,IF(($I$12-$E$9-B35+2)&lt;=1,D35+F35,IF($E$5=0,D35/($I$12-$E$9-B35+2),D35*$E$5/(1-(1+$E$5)^(-($I$12-$E$9-B35+2))))*IF(AND(B35=$F$12,ISNUMBER('Proyección'!$F$21),N('Proyección'!$F$20)&gt;=$E$9),(12-'Proyección'!$F$21)/12,1)),0)</f>
        <v>0</v>
      </c>
      <c r="H35" s="22">
        <f>D35+E35+F35-G35</f>
        <v>158796</v>
      </c>
      <c r="I35" s="22">
        <f>M34</f>
        <v>0</v>
      </c>
      <c r="J35" s="22">
        <f>IF(AND(B35&lt;=$E$7),$D$13*12*(1+$E$6)^(B35-1),0)</f>
        <v>0</v>
      </c>
      <c r="K35" s="22">
        <f>I35*$E$5</f>
        <v>0</v>
      </c>
      <c r="L35" s="22">
        <f>IF(OR(B35=$F$13,B35=$E$8,B35=50),I35+J35+K35,0)</f>
        <v>0</v>
      </c>
      <c r="M35" s="22">
        <f>I35+J35+K35-L35</f>
        <v>0</v>
      </c>
      <c r="N35" s="22">
        <f>R34</f>
        <v>175900</v>
      </c>
      <c r="O35" s="22">
        <f>IF(AND(B35&lt;=$E$7,B35&lt;$F$14),$D$14*12*(1+$E$10)^(B35-1),0)</f>
        <v>0</v>
      </c>
      <c r="P35" s="22">
        <f>N35*$E$5</f>
        <v>10554</v>
      </c>
      <c r="Q35" s="22">
        <f>IF(B35&gt;=$F$14,IF(($I$14-$E$9-B35+2)&lt;=1,N35+P35,IF($E$5=0,N35/($I$14-$E$9-B35+2),N35*$E$5/(1-(1+$E$5)^(-($I$14-$E$9-B35+2))))*IF(AND(B35=$F$14,ISNUMBER('Proyección'!$F$21),N('Proyección'!$F$20)&gt;=$E$9),(12-'Proyección'!$F$21)/12,1)),0)</f>
        <v>0</v>
      </c>
      <c r="R35" s="22">
        <f>N35+O35+P35-Q35</f>
        <v>186454</v>
      </c>
      <c r="S35" s="23">
        <f>L35</f>
        <v>0</v>
      </c>
      <c r="T35" s="22">
        <f>G35</f>
        <v>0</v>
      </c>
      <c r="U35" s="22">
        <f>Q35</f>
        <v>0</v>
      </c>
    </row>
    <row r="36">
      <c r="B36" s="25">
        <v>18</v>
      </c>
      <c r="C36" s="25">
        <f>'Proyección'!B47</f>
        <v>2043</v>
      </c>
      <c r="D36" s="22">
        <f>H35</f>
        <v>158796</v>
      </c>
      <c r="E36" s="22">
        <f>IF(AND(B36&lt;=$E$7,B36&lt;$F$12),$D$12*12*(1+$E$6)^(B36-1),0)</f>
        <v>0</v>
      </c>
      <c r="F36" s="22">
        <f>D36*$E$5</f>
        <v>9528</v>
      </c>
      <c r="G36" s="22">
        <f>IF(B36&gt;=$F$12,IF(($I$12-$E$9-B36+2)&lt;=1,D36+F36,IF($E$5=0,D36/($I$12-$E$9-B36+2),D36*$E$5/(1-(1+$E$5)^(-($I$12-$E$9-B36+2))))*IF(AND(B36=$F$12,ISNUMBER('Proyección'!$F$21),N('Proyección'!$F$20)&gt;=$E$9),(12-'Proyección'!$F$21)/12,1)),0)</f>
        <v>0</v>
      </c>
      <c r="H36" s="22">
        <f>D36+E36+F36-G36</f>
        <v>168323</v>
      </c>
      <c r="I36" s="22">
        <f>M35</f>
        <v>0</v>
      </c>
      <c r="J36" s="22">
        <f>IF(AND(B36&lt;=$E$7),$D$13*12*(1+$E$6)^(B36-1),0)</f>
        <v>0</v>
      </c>
      <c r="K36" s="22">
        <f>I36*$E$5</f>
        <v>0</v>
      </c>
      <c r="L36" s="22">
        <f>IF(OR(B36=$F$13,B36=$E$8,B36=50),I36+J36+K36,0)</f>
        <v>0</v>
      </c>
      <c r="M36" s="22">
        <f>I36+J36+K36-L36</f>
        <v>0</v>
      </c>
      <c r="N36" s="22">
        <f>R35</f>
        <v>186454</v>
      </c>
      <c r="O36" s="22">
        <f>IF(AND(B36&lt;=$E$7,B36&lt;$F$14),$D$14*12*(1+$E$10)^(B36-1),0)</f>
        <v>0</v>
      </c>
      <c r="P36" s="22">
        <f>N36*$E$5</f>
        <v>11187</v>
      </c>
      <c r="Q36" s="22">
        <f>IF(B36&gt;=$F$14,IF(($I$14-$E$9-B36+2)&lt;=1,N36+P36,IF($E$5=0,N36/($I$14-$E$9-B36+2),N36*$E$5/(1-(1+$E$5)^(-($I$14-$E$9-B36+2))))*IF(AND(B36=$F$14,ISNUMBER('Proyección'!$F$21),N('Proyección'!$F$20)&gt;=$E$9),(12-'Proyección'!$F$21)/12,1)),0)</f>
        <v>0</v>
      </c>
      <c r="R36" s="22">
        <f>N36+O36+P36-Q36</f>
        <v>197641</v>
      </c>
      <c r="S36" s="23">
        <f>L36</f>
        <v>0</v>
      </c>
      <c r="T36" s="22">
        <f>G36</f>
        <v>0</v>
      </c>
      <c r="U36" s="22">
        <f>Q36</f>
        <v>0</v>
      </c>
    </row>
    <row r="37">
      <c r="B37" s="25">
        <v>19</v>
      </c>
      <c r="C37" s="25">
        <f>'Proyección'!B48</f>
        <v>2044</v>
      </c>
      <c r="D37" s="22">
        <f>H36</f>
        <v>168323</v>
      </c>
      <c r="E37" s="22">
        <f>IF(AND(B37&lt;=$E$7,B37&lt;$F$12),$D$12*12*(1+$E$6)^(B37-1),0)</f>
        <v>0</v>
      </c>
      <c r="F37" s="22">
        <f>D37*$E$5</f>
        <v>10099</v>
      </c>
      <c r="G37" s="22">
        <f>IF(B37&gt;=$F$12,IF(($I$12-$E$9-B37+2)&lt;=1,D37+F37,IF($E$5=0,D37/($I$12-$E$9-B37+2),D37*$E$5/(1-(1+$E$5)^(-($I$12-$E$9-B37+2))))*IF(AND(B37=$F$12,ISNUMBER('Proyección'!$F$21),N('Proyección'!$F$20)&gt;=$E$9),(12-'Proyección'!$F$21)/12,1)),0)</f>
        <v>0</v>
      </c>
      <c r="H37" s="22">
        <f>D37+E37+F37-G37</f>
        <v>178423</v>
      </c>
      <c r="I37" s="22">
        <f>M36</f>
        <v>0</v>
      </c>
      <c r="J37" s="22">
        <f>IF(AND(B37&lt;=$E$7),$D$13*12*(1+$E$6)^(B37-1),0)</f>
        <v>0</v>
      </c>
      <c r="K37" s="22">
        <f>I37*$E$5</f>
        <v>0</v>
      </c>
      <c r="L37" s="22">
        <f>IF(OR(B37=$F$13,B37=$E$8,B37=50),I37+J37+K37,0)</f>
        <v>0</v>
      </c>
      <c r="M37" s="22">
        <f>I37+J37+K37-L37</f>
        <v>0</v>
      </c>
      <c r="N37" s="22">
        <f>R36</f>
        <v>197641</v>
      </c>
      <c r="O37" s="22">
        <f>IF(AND(B37&lt;=$E$7,B37&lt;$F$14),$D$14*12*(1+$E$10)^(B37-1),0)</f>
        <v>0</v>
      </c>
      <c r="P37" s="22">
        <f>N37*$E$5</f>
        <v>11858</v>
      </c>
      <c r="Q37" s="22">
        <f>IF(B37&gt;=$F$14,IF(($I$14-$E$9-B37+2)&lt;=1,N37+P37,IF($E$5=0,N37/($I$14-$E$9-B37+2),N37*$E$5/(1-(1+$E$5)^(-($I$14-$E$9-B37+2))))*IF(AND(B37=$F$14,ISNUMBER('Proyección'!$F$21),N('Proyección'!$F$20)&gt;=$E$9),(12-'Proyección'!$F$21)/12,1)),0)</f>
        <v>0</v>
      </c>
      <c r="R37" s="22">
        <f>N37+O37+P37-Q37</f>
        <v>209500</v>
      </c>
      <c r="S37" s="23">
        <f>L37</f>
        <v>0</v>
      </c>
      <c r="T37" s="22">
        <f>G37</f>
        <v>0</v>
      </c>
      <c r="U37" s="22">
        <f>Q37</f>
        <v>0</v>
      </c>
    </row>
    <row r="38">
      <c r="B38" s="25">
        <v>20</v>
      </c>
      <c r="C38" s="25">
        <f>'Proyección'!B49</f>
        <v>2045</v>
      </c>
      <c r="D38" s="22">
        <f>H37</f>
        <v>178423</v>
      </c>
      <c r="E38" s="22">
        <f>IF(AND(B38&lt;=$E$7,B38&lt;$F$12),$D$12*12*(1+$E$6)^(B38-1),0)</f>
        <v>0</v>
      </c>
      <c r="F38" s="22">
        <f>D38*$E$5</f>
        <v>10705</v>
      </c>
      <c r="G38" s="22">
        <f>IF(B38&gt;=$F$12,IF(($I$12-$E$9-B38+2)&lt;=1,D38+F38,IF($E$5=0,D38/($I$12-$E$9-B38+2),D38*$E$5/(1-(1+$E$5)^(-($I$12-$E$9-B38+2))))*IF(AND(B38=$F$12,ISNUMBER('Proyección'!$F$21),N('Proyección'!$F$20)&gt;=$E$9),(12-'Proyección'!$F$21)/12,1)),0)</f>
        <v>7119</v>
      </c>
      <c r="H38" s="22">
        <f>D38+E38+F38-G38</f>
        <v>182010</v>
      </c>
      <c r="I38" s="22">
        <f>M37</f>
        <v>0</v>
      </c>
      <c r="J38" s="22">
        <f>IF(AND(B38&lt;=$E$7),$D$13*12*(1+$E$6)^(B38-1),0)</f>
        <v>0</v>
      </c>
      <c r="K38" s="22">
        <f>I38*$E$5</f>
        <v>0</v>
      </c>
      <c r="L38" s="22">
        <f>IF(OR(B38=$F$13,B38=$E$8,B38=50),I38+J38+K38,0)</f>
        <v>0</v>
      </c>
      <c r="M38" s="22">
        <f>I38+J38+K38-L38</f>
        <v>0</v>
      </c>
      <c r="N38" s="22">
        <f>R37</f>
        <v>209500</v>
      </c>
      <c r="O38" s="22">
        <f>IF(AND(B38&lt;=$E$7,B38&lt;$F$14),$D$14*12*(1+$E$10)^(B38-1),0)</f>
        <v>0</v>
      </c>
      <c r="P38" s="22">
        <f>N38*$E$5</f>
        <v>12570</v>
      </c>
      <c r="Q38" s="22">
        <f>IF(B38&gt;=$F$14,IF(($I$14-$E$9-B38+2)&lt;=1,N38+P38,IF($E$5=0,N38/($I$14-$E$9-B38+2),N38*$E$5/(1-(1+$E$5)^(-($I$14-$E$9-B38+2))))*IF(AND(B38=$F$14,ISNUMBER('Proyección'!$F$21),N('Proyección'!$F$20)&gt;=$E$9),(12-'Proyección'!$F$21)/12,1)),0)</f>
        <v>8358</v>
      </c>
      <c r="R38" s="22">
        <f>N38+O38+P38-Q38</f>
        <v>213711</v>
      </c>
      <c r="S38" s="23">
        <f>L38</f>
        <v>0</v>
      </c>
      <c r="T38" s="22">
        <f>G38</f>
        <v>7119</v>
      </c>
      <c r="U38" s="22">
        <f>Q38</f>
        <v>8358</v>
      </c>
    </row>
    <row r="39">
      <c r="B39" s="25">
        <v>21</v>
      </c>
      <c r="C39" s="25">
        <f>'Proyección'!B50</f>
        <v>2046</v>
      </c>
      <c r="D39" s="22">
        <f>H38</f>
        <v>182010</v>
      </c>
      <c r="E39" s="22">
        <f>IF(AND(B39&lt;=$E$7,B39&lt;$F$12),$D$12*12*(1+$E$6)^(B39-1),0)</f>
        <v>0</v>
      </c>
      <c r="F39" s="22">
        <f>D39*$E$5</f>
        <v>10921</v>
      </c>
      <c r="G39" s="22">
        <f>IF(B39&gt;=$F$12,IF(($I$12-$E$9-B39+2)&lt;=1,D39+F39,IF($E$5=0,D39/($I$12-$E$9-B39+2),D39*$E$5/(1-(1+$E$5)^(-($I$12-$E$9-B39+2))))*IF(AND(B39=$F$12,ISNUMBER('Proyección'!$F$21),N('Proyección'!$F$20)&gt;=$E$9),(12-'Proyección'!$F$21)/12,1)),0)</f>
        <v>12554</v>
      </c>
      <c r="H39" s="22">
        <f>D39+E39+F39-G39</f>
        <v>180376</v>
      </c>
      <c r="I39" s="22">
        <f>M38</f>
        <v>0</v>
      </c>
      <c r="J39" s="22">
        <f>IF(AND(B39&lt;=$E$7),$D$13*12*(1+$E$6)^(B39-1),0)</f>
        <v>0</v>
      </c>
      <c r="K39" s="22">
        <f>I39*$E$5</f>
        <v>0</v>
      </c>
      <c r="L39" s="22">
        <f>IF(OR(B39=$F$13,B39=$E$8,B39=50),I39+J39+K39,0)</f>
        <v>0</v>
      </c>
      <c r="M39" s="22">
        <f>I39+J39+K39-L39</f>
        <v>0</v>
      </c>
      <c r="N39" s="22">
        <f>R38</f>
        <v>213711</v>
      </c>
      <c r="O39" s="22">
        <f>IF(AND(B39&lt;=$E$7,B39&lt;$F$14),$D$14*12*(1+$E$10)^(B39-1),0)</f>
        <v>0</v>
      </c>
      <c r="P39" s="22">
        <f>N39*$E$5</f>
        <v>12823</v>
      </c>
      <c r="Q39" s="22">
        <f>IF(B39&gt;=$F$14,IF(($I$14-$E$9-B39+2)&lt;=1,N39+P39,IF($E$5=0,N39/($I$14-$E$9-B39+2),N39*$E$5/(1-(1+$E$5)^(-($I$14-$E$9-B39+2))))*IF(AND(B39=$F$14,ISNUMBER('Proyección'!$F$21),N('Proyección'!$F$20)&gt;=$E$9),(12-'Proyección'!$F$21)/12,1)),0)</f>
        <v>14740</v>
      </c>
      <c r="R39" s="22">
        <f>N39+O39+P39-Q39</f>
        <v>211793</v>
      </c>
      <c r="S39" s="23">
        <f>L39</f>
        <v>0</v>
      </c>
      <c r="T39" s="22">
        <f>G39</f>
        <v>12554</v>
      </c>
      <c r="U39" s="22">
        <f>Q39</f>
        <v>14740</v>
      </c>
    </row>
    <row r="40">
      <c r="B40" s="25">
        <v>22</v>
      </c>
      <c r="C40" s="25">
        <f>'Proyección'!B51</f>
        <v>2047</v>
      </c>
      <c r="D40" s="22">
        <f>H39</f>
        <v>180376</v>
      </c>
      <c r="E40" s="22">
        <f>IF(AND(B40&lt;=$E$7,B40&lt;$F$12),$D$12*12*(1+$E$6)^(B40-1),0)</f>
        <v>0</v>
      </c>
      <c r="F40" s="22">
        <f>D40*$E$5</f>
        <v>10823</v>
      </c>
      <c r="G40" s="22">
        <f>IF(B40&gt;=$F$12,IF(($I$12-$E$9-B40+2)&lt;=1,D40+F40,IF($E$5=0,D40/($I$12-$E$9-B40+2),D40*$E$5/(1-(1+$E$5)^(-($I$12-$E$9-B40+2))))*IF(AND(B40=$F$12,ISNUMBER('Proyección'!$F$21),N('Proyección'!$F$20)&gt;=$E$9),(12-'Proyección'!$F$21)/12,1)),0)</f>
        <v>12554</v>
      </c>
      <c r="H40" s="22">
        <f>D40+E40+F40-G40</f>
        <v>178645</v>
      </c>
      <c r="I40" s="22">
        <f>M39</f>
        <v>0</v>
      </c>
      <c r="J40" s="22">
        <f>IF(AND(B40&lt;=$E$7),$D$13*12*(1+$E$6)^(B40-1),0)</f>
        <v>0</v>
      </c>
      <c r="K40" s="22">
        <f>I40*$E$5</f>
        <v>0</v>
      </c>
      <c r="L40" s="22">
        <f>IF(OR(B40=$F$13,B40=$E$8,B40=50),I40+J40+K40,0)</f>
        <v>0</v>
      </c>
      <c r="M40" s="22">
        <f>I40+J40+K40-L40</f>
        <v>0</v>
      </c>
      <c r="N40" s="22">
        <f>R39</f>
        <v>211793</v>
      </c>
      <c r="O40" s="22">
        <f>IF(AND(B40&lt;=$E$7,B40&lt;$F$14),$D$14*12*(1+$E$10)^(B40-1),0)</f>
        <v>0</v>
      </c>
      <c r="P40" s="22">
        <f>N40*$E$5</f>
        <v>12708</v>
      </c>
      <c r="Q40" s="22">
        <f>IF(B40&gt;=$F$14,IF(($I$14-$E$9-B40+2)&lt;=1,N40+P40,IF($E$5=0,N40/($I$14-$E$9-B40+2),N40*$E$5/(1-(1+$E$5)^(-($I$14-$E$9-B40+2))))*IF(AND(B40=$F$14,ISNUMBER('Proyección'!$F$21),N('Proyección'!$F$20)&gt;=$E$9),(12-'Proyección'!$F$21)/12,1)),0)</f>
        <v>14740</v>
      </c>
      <c r="R40" s="22">
        <f>N40+O40+P40-Q40</f>
        <v>209760</v>
      </c>
      <c r="S40" s="23">
        <f>L40</f>
        <v>0</v>
      </c>
      <c r="T40" s="22">
        <f>G40</f>
        <v>12554</v>
      </c>
      <c r="U40" s="22">
        <f>Q40</f>
        <v>14740</v>
      </c>
    </row>
    <row r="41">
      <c r="B41" s="25">
        <v>23</v>
      </c>
      <c r="C41" s="25">
        <f>'Proyección'!B52</f>
        <v>2048</v>
      </c>
      <c r="D41" s="22">
        <f>H40</f>
        <v>178645</v>
      </c>
      <c r="E41" s="22">
        <f>IF(AND(B41&lt;=$E$7,B41&lt;$F$12),$D$12*12*(1+$E$6)^(B41-1),0)</f>
        <v>0</v>
      </c>
      <c r="F41" s="22">
        <f>D41*$E$5</f>
        <v>10719</v>
      </c>
      <c r="G41" s="22">
        <f>IF(B41&gt;=$F$12,IF(($I$12-$E$9-B41+2)&lt;=1,D41+F41,IF($E$5=0,D41/($I$12-$E$9-B41+2),D41*$E$5/(1-(1+$E$5)^(-($I$12-$E$9-B41+2))))*IF(AND(B41=$F$12,ISNUMBER('Proyección'!$F$21),N('Proyección'!$F$20)&gt;=$E$9),(12-'Proyección'!$F$21)/12,1)),0)</f>
        <v>12554</v>
      </c>
      <c r="H41" s="22">
        <f>D41+E41+F41-G41</f>
        <v>176810</v>
      </c>
      <c r="I41" s="22">
        <f>M40</f>
        <v>0</v>
      </c>
      <c r="J41" s="22">
        <f>IF(AND(B41&lt;=$E$7),$D$13*12*(1+$E$6)^(B41-1),0)</f>
        <v>0</v>
      </c>
      <c r="K41" s="22">
        <f>I41*$E$5</f>
        <v>0</v>
      </c>
      <c r="L41" s="22">
        <f>IF(OR(B41=$F$13,B41=$E$8,B41=50),I41+J41+K41,0)</f>
        <v>0</v>
      </c>
      <c r="M41" s="22">
        <f>I41+J41+K41-L41</f>
        <v>0</v>
      </c>
      <c r="N41" s="22">
        <f>R40</f>
        <v>209760</v>
      </c>
      <c r="O41" s="22">
        <f>IF(AND(B41&lt;=$E$7,B41&lt;$F$14),$D$14*12*(1+$E$10)^(B41-1),0)</f>
        <v>0</v>
      </c>
      <c r="P41" s="22">
        <f>N41*$E$5</f>
        <v>12586</v>
      </c>
      <c r="Q41" s="22">
        <f>IF(B41&gt;=$F$14,IF(($I$14-$E$9-B41+2)&lt;=1,N41+P41,IF($E$5=0,N41/($I$14-$E$9-B41+2),N41*$E$5/(1-(1+$E$5)^(-($I$14-$E$9-B41+2))))*IF(AND(B41=$F$14,ISNUMBER('Proyección'!$F$21),N('Proyección'!$F$20)&gt;=$E$9),(12-'Proyección'!$F$21)/12,1)),0)</f>
        <v>14740</v>
      </c>
      <c r="R41" s="22">
        <f>N41+O41+P41-Q41</f>
        <v>207606</v>
      </c>
      <c r="S41" s="23">
        <f>L41</f>
        <v>0</v>
      </c>
      <c r="T41" s="22">
        <f>G41</f>
        <v>12554</v>
      </c>
      <c r="U41" s="22">
        <f>Q41</f>
        <v>14740</v>
      </c>
    </row>
    <row r="42">
      <c r="B42" s="25">
        <v>24</v>
      </c>
      <c r="C42" s="25">
        <f>'Proyección'!B53</f>
        <v>2049</v>
      </c>
      <c r="D42" s="22">
        <f>H41</f>
        <v>176810</v>
      </c>
      <c r="E42" s="22">
        <f>IF(AND(B42&lt;=$E$7,B42&lt;$F$12),$D$12*12*(1+$E$6)^(B42-1),0)</f>
        <v>0</v>
      </c>
      <c r="F42" s="22">
        <f>D42*$E$5</f>
        <v>10609</v>
      </c>
      <c r="G42" s="22">
        <f>IF(B42&gt;=$F$12,IF(($I$12-$E$9-B42+2)&lt;=1,D42+F42,IF($E$5=0,D42/($I$12-$E$9-B42+2),D42*$E$5/(1-(1+$E$5)^(-($I$12-$E$9-B42+2))))*IF(AND(B42=$F$12,ISNUMBER('Proyección'!$F$21),N('Proyección'!$F$20)&gt;=$E$9),(12-'Proyección'!$F$21)/12,1)),0)</f>
        <v>12554</v>
      </c>
      <c r="H42" s="22">
        <f>D42+E42+F42-G42</f>
        <v>174864</v>
      </c>
      <c r="I42" s="22">
        <f>M41</f>
        <v>0</v>
      </c>
      <c r="J42" s="22">
        <f>IF(AND(B42&lt;=$E$7),$D$13*12*(1+$E$6)^(B42-1),0)</f>
        <v>0</v>
      </c>
      <c r="K42" s="22">
        <f>I42*$E$5</f>
        <v>0</v>
      </c>
      <c r="L42" s="22">
        <f>IF(OR(B42=$F$13,B42=$E$8,B42=50),I42+J42+K42,0)</f>
        <v>0</v>
      </c>
      <c r="M42" s="22">
        <f>I42+J42+K42-L42</f>
        <v>0</v>
      </c>
      <c r="N42" s="22">
        <f>R41</f>
        <v>207606</v>
      </c>
      <c r="O42" s="22">
        <f>IF(AND(B42&lt;=$E$7,B42&lt;$F$14),$D$14*12*(1+$E$10)^(B42-1),0)</f>
        <v>0</v>
      </c>
      <c r="P42" s="22">
        <f>N42*$E$5</f>
        <v>12456</v>
      </c>
      <c r="Q42" s="22">
        <f>IF(B42&gt;=$F$14,IF(($I$14-$E$9-B42+2)&lt;=1,N42+P42,IF($E$5=0,N42/($I$14-$E$9-B42+2),N42*$E$5/(1-(1+$E$5)^(-($I$14-$E$9-B42+2))))*IF(AND(B42=$F$14,ISNUMBER('Proyección'!$F$21),N('Proyección'!$F$20)&gt;=$E$9),(12-'Proyección'!$F$21)/12,1)),0)</f>
        <v>14740</v>
      </c>
      <c r="R42" s="22">
        <f>N42+O42+P42-Q42</f>
        <v>205321</v>
      </c>
      <c r="S42" s="23">
        <f>L42</f>
        <v>0</v>
      </c>
      <c r="T42" s="22">
        <f>G42</f>
        <v>12554</v>
      </c>
      <c r="U42" s="22">
        <f>Q42</f>
        <v>14740</v>
      </c>
    </row>
    <row r="43">
      <c r="B43" s="25">
        <v>25</v>
      </c>
      <c r="C43" s="25">
        <f>'Proyección'!B54</f>
        <v>2050</v>
      </c>
      <c r="D43" s="22">
        <f>H42</f>
        <v>174864</v>
      </c>
      <c r="E43" s="22">
        <f>IF(AND(B43&lt;=$E$7,B43&lt;$F$12),$D$12*12*(1+$E$6)^(B43-1),0)</f>
        <v>0</v>
      </c>
      <c r="F43" s="22">
        <f>D43*$E$5</f>
        <v>10492</v>
      </c>
      <c r="G43" s="22">
        <f>IF(B43&gt;=$F$12,IF(($I$12-$E$9-B43+2)&lt;=1,D43+F43,IF($E$5=0,D43/($I$12-$E$9-B43+2),D43*$E$5/(1-(1+$E$5)^(-($I$12-$E$9-B43+2))))*IF(AND(B43=$F$12,ISNUMBER('Proyección'!$F$21),N('Proyección'!$F$20)&gt;=$E$9),(12-'Proyección'!$F$21)/12,1)),0)</f>
        <v>12554</v>
      </c>
      <c r="H43" s="22">
        <f>D43+E43+F43-G43</f>
        <v>172802</v>
      </c>
      <c r="I43" s="22">
        <f>M42</f>
        <v>0</v>
      </c>
      <c r="J43" s="22">
        <f>IF(AND(B43&lt;=$E$7),$D$13*12*(1+$E$6)^(B43-1),0)</f>
        <v>0</v>
      </c>
      <c r="K43" s="22">
        <f>I43*$E$5</f>
        <v>0</v>
      </c>
      <c r="L43" s="22">
        <f>IF(OR(B43=$F$13,B43=$E$8,B43=50),I43+J43+K43,0)</f>
        <v>0</v>
      </c>
      <c r="M43" s="22">
        <f>I43+J43+K43-L43</f>
        <v>0</v>
      </c>
      <c r="N43" s="22">
        <f>R42</f>
        <v>205321</v>
      </c>
      <c r="O43" s="22">
        <f>IF(AND(B43&lt;=$E$7,B43&lt;$F$14),$D$14*12*(1+$E$10)^(B43-1),0)</f>
        <v>0</v>
      </c>
      <c r="P43" s="22">
        <f>N43*$E$5</f>
        <v>12319</v>
      </c>
      <c r="Q43" s="22">
        <f>IF(B43&gt;=$F$14,IF(($I$14-$E$9-B43+2)&lt;=1,N43+P43,IF($E$5=0,N43/($I$14-$E$9-B43+2),N43*$E$5/(1-(1+$E$5)^(-($I$14-$E$9-B43+2))))*IF(AND(B43=$F$14,ISNUMBER('Proyección'!$F$21),N('Proyección'!$F$20)&gt;=$E$9),(12-'Proyección'!$F$21)/12,1)),0)</f>
        <v>14740</v>
      </c>
      <c r="R43" s="22">
        <f>N43+O43+P43-Q43</f>
        <v>202900</v>
      </c>
      <c r="S43" s="23">
        <f>L43</f>
        <v>0</v>
      </c>
      <c r="T43" s="22">
        <f>G43</f>
        <v>12554</v>
      </c>
      <c r="U43" s="22">
        <f>Q43</f>
        <v>14740</v>
      </c>
    </row>
    <row r="44">
      <c r="B44" s="25">
        <v>26</v>
      </c>
      <c r="C44" s="25">
        <f>'Proyección'!B55</f>
        <v>2051</v>
      </c>
      <c r="D44" s="22">
        <f>H43</f>
        <v>172802</v>
      </c>
      <c r="E44" s="22">
        <f>IF(AND(B44&lt;=$E$7,B44&lt;$F$12),$D$12*12*(1+$E$6)^(B44-1),0)</f>
        <v>0</v>
      </c>
      <c r="F44" s="22">
        <f>D44*$E$5</f>
        <v>10368</v>
      </c>
      <c r="G44" s="22">
        <f>IF(B44&gt;=$F$12,IF(($I$12-$E$9-B44+2)&lt;=1,D44+F44,IF($E$5=0,D44/($I$12-$E$9-B44+2),D44*$E$5/(1-(1+$E$5)^(-($I$12-$E$9-B44+2))))*IF(AND(B44=$F$12,ISNUMBER('Proyección'!$F$21),N('Proyección'!$F$20)&gt;=$E$9),(12-'Proyección'!$F$21)/12,1)),0)</f>
        <v>12554</v>
      </c>
      <c r="H44" s="22">
        <f>D44+E44+F44-G44</f>
        <v>170617</v>
      </c>
      <c r="I44" s="22">
        <f>M43</f>
        <v>0</v>
      </c>
      <c r="J44" s="22">
        <f>IF(AND(B44&lt;=$E$7),$D$13*12*(1+$E$6)^(B44-1),0)</f>
        <v>0</v>
      </c>
      <c r="K44" s="22">
        <f>I44*$E$5</f>
        <v>0</v>
      </c>
      <c r="L44" s="22">
        <f>IF(OR(B44=$F$13,B44=$E$8,B44=50),I44+J44+K44,0)</f>
        <v>0</v>
      </c>
      <c r="M44" s="22">
        <f>I44+J44+K44-L44</f>
        <v>0</v>
      </c>
      <c r="N44" s="22">
        <f>R43</f>
        <v>202900</v>
      </c>
      <c r="O44" s="22">
        <f>IF(AND(B44&lt;=$E$7,B44&lt;$F$14),$D$14*12*(1+$E$10)^(B44-1),0)</f>
        <v>0</v>
      </c>
      <c r="P44" s="22">
        <f>N44*$E$5</f>
        <v>12174</v>
      </c>
      <c r="Q44" s="22">
        <f>IF(B44&gt;=$F$14,IF(($I$14-$E$9-B44+2)&lt;=1,N44+P44,IF($E$5=0,N44/($I$14-$E$9-B44+2),N44*$E$5/(1-(1+$E$5)^(-($I$14-$E$9-B44+2))))*IF(AND(B44=$F$14,ISNUMBER('Proyección'!$F$21),N('Proyección'!$F$20)&gt;=$E$9),(12-'Proyección'!$F$21)/12,1)),0)</f>
        <v>14740</v>
      </c>
      <c r="R44" s="22">
        <f>N44+O44+P44-Q44</f>
        <v>200334</v>
      </c>
      <c r="S44" s="23">
        <f>L44</f>
        <v>0</v>
      </c>
      <c r="T44" s="22">
        <f>G44</f>
        <v>12554</v>
      </c>
      <c r="U44" s="22">
        <f>Q44</f>
        <v>14740</v>
      </c>
    </row>
    <row r="45">
      <c r="B45" s="25">
        <v>27</v>
      </c>
      <c r="C45" s="25">
        <f>'Proyección'!B56</f>
        <v>2052</v>
      </c>
      <c r="D45" s="22">
        <f>H44</f>
        <v>170617</v>
      </c>
      <c r="E45" s="22">
        <f>IF(AND(B45&lt;=$E$7,B45&lt;$F$12),$D$12*12*(1+$E$6)^(B45-1),0)</f>
        <v>0</v>
      </c>
      <c r="F45" s="22">
        <f>D45*$E$5</f>
        <v>10237</v>
      </c>
      <c r="G45" s="22">
        <f>IF(B45&gt;=$F$12,IF(($I$12-$E$9-B45+2)&lt;=1,D45+F45,IF($E$5=0,D45/($I$12-$E$9-B45+2),D45*$E$5/(1-(1+$E$5)^(-($I$12-$E$9-B45+2))))*IF(AND(B45=$F$12,ISNUMBER('Proyección'!$F$21),N('Proyección'!$F$20)&gt;=$E$9),(12-'Proyección'!$F$21)/12,1)),0)</f>
        <v>12554</v>
      </c>
      <c r="H45" s="22">
        <f>D45+E45+F45-G45</f>
        <v>168300</v>
      </c>
      <c r="I45" s="22">
        <f>M44</f>
        <v>0</v>
      </c>
      <c r="J45" s="22">
        <f>IF(AND(B45&lt;=$E$7),$D$13*12*(1+$E$6)^(B45-1),0)</f>
        <v>0</v>
      </c>
      <c r="K45" s="22">
        <f>I45*$E$5</f>
        <v>0</v>
      </c>
      <c r="L45" s="22">
        <f>IF(OR(B45=$F$13,B45=$E$8,B45=50),I45+J45+K45,0)</f>
        <v>0</v>
      </c>
      <c r="M45" s="22">
        <f>I45+J45+K45-L45</f>
        <v>0</v>
      </c>
      <c r="N45" s="22">
        <f>R44</f>
        <v>200334</v>
      </c>
      <c r="O45" s="22">
        <f>IF(AND(B45&lt;=$E$7,B45&lt;$F$14),$D$14*12*(1+$E$10)^(B45-1),0)</f>
        <v>0</v>
      </c>
      <c r="P45" s="22">
        <f>N45*$E$5</f>
        <v>12020</v>
      </c>
      <c r="Q45" s="22">
        <f>IF(B45&gt;=$F$14,IF(($I$14-$E$9-B45+2)&lt;=1,N45+P45,IF($E$5=0,N45/($I$14-$E$9-B45+2),N45*$E$5/(1-(1+$E$5)^(-($I$14-$E$9-B45+2))))*IF(AND(B45=$F$14,ISNUMBER('Proyección'!$F$21),N('Proyección'!$F$20)&gt;=$E$9),(12-'Proyección'!$F$21)/12,1)),0)</f>
        <v>14740</v>
      </c>
      <c r="R45" s="22">
        <f>N45+O45+P45-Q45</f>
        <v>197613</v>
      </c>
      <c r="S45" s="23">
        <f>L45</f>
        <v>0</v>
      </c>
      <c r="T45" s="22">
        <f>G45</f>
        <v>12554</v>
      </c>
      <c r="U45" s="22">
        <f>Q45</f>
        <v>14740</v>
      </c>
    </row>
    <row r="46">
      <c r="B46" s="25">
        <v>28</v>
      </c>
      <c r="C46" s="25">
        <f>'Proyección'!B57</f>
        <v>2053</v>
      </c>
      <c r="D46" s="22">
        <f>H45</f>
        <v>168300</v>
      </c>
      <c r="E46" s="22">
        <f>IF(AND(B46&lt;=$E$7,B46&lt;$F$12),$D$12*12*(1+$E$6)^(B46-1),0)</f>
        <v>0</v>
      </c>
      <c r="F46" s="22">
        <f>D46*$E$5</f>
        <v>10098</v>
      </c>
      <c r="G46" s="22">
        <f>IF(B46&gt;=$F$12,IF(($I$12-$E$9-B46+2)&lt;=1,D46+F46,IF($E$5=0,D46/($I$12-$E$9-B46+2),D46*$E$5/(1-(1+$E$5)^(-($I$12-$E$9-B46+2))))*IF(AND(B46=$F$12,ISNUMBER('Proyección'!$F$21),N('Proyección'!$F$20)&gt;=$E$9),(12-'Proyección'!$F$21)/12,1)),0)</f>
        <v>12554</v>
      </c>
      <c r="H46" s="22">
        <f>D46+E46+F46-G46</f>
        <v>165844</v>
      </c>
      <c r="I46" s="22">
        <f>M45</f>
        <v>0</v>
      </c>
      <c r="J46" s="22">
        <f>IF(AND(B46&lt;=$E$7),$D$13*12*(1+$E$6)^(B46-1),0)</f>
        <v>0</v>
      </c>
      <c r="K46" s="22">
        <f>I46*$E$5</f>
        <v>0</v>
      </c>
      <c r="L46" s="22">
        <f>IF(OR(B46=$F$13,B46=$E$8,B46=50),I46+J46+K46,0)</f>
        <v>0</v>
      </c>
      <c r="M46" s="22">
        <f>I46+J46+K46-L46</f>
        <v>0</v>
      </c>
      <c r="N46" s="22">
        <f>R45</f>
        <v>197613</v>
      </c>
      <c r="O46" s="22">
        <f>IF(AND(B46&lt;=$E$7,B46&lt;$F$14),$D$14*12*(1+$E$10)^(B46-1),0)</f>
        <v>0</v>
      </c>
      <c r="P46" s="22">
        <f>N46*$E$5</f>
        <v>11857</v>
      </c>
      <c r="Q46" s="22">
        <f>IF(B46&gt;=$F$14,IF(($I$14-$E$9-B46+2)&lt;=1,N46+P46,IF($E$5=0,N46/($I$14-$E$9-B46+2),N46*$E$5/(1-(1+$E$5)^(-($I$14-$E$9-B46+2))))*IF(AND(B46=$F$14,ISNUMBER('Proyección'!$F$21),N('Proyección'!$F$20)&gt;=$E$9),(12-'Proyección'!$F$21)/12,1)),0)</f>
        <v>14740</v>
      </c>
      <c r="R46" s="22">
        <f>N46+O46+P46-Q46</f>
        <v>194730</v>
      </c>
      <c r="S46" s="23">
        <f>L46</f>
        <v>0</v>
      </c>
      <c r="T46" s="22">
        <f>G46</f>
        <v>12554</v>
      </c>
      <c r="U46" s="22">
        <f>Q46</f>
        <v>14740</v>
      </c>
    </row>
    <row r="47">
      <c r="B47" s="25">
        <v>29</v>
      </c>
      <c r="C47" s="25">
        <f>'Proyección'!B58</f>
        <v>2054</v>
      </c>
      <c r="D47" s="22">
        <f>H46</f>
        <v>165844</v>
      </c>
      <c r="E47" s="22">
        <f>IF(AND(B47&lt;=$E$7,B47&lt;$F$12),$D$12*12*(1+$E$6)^(B47-1),0)</f>
        <v>0</v>
      </c>
      <c r="F47" s="22">
        <f>D47*$E$5</f>
        <v>9951</v>
      </c>
      <c r="G47" s="22">
        <f>IF(B47&gt;=$F$12,IF(($I$12-$E$9-B47+2)&lt;=1,D47+F47,IF($E$5=0,D47/($I$12-$E$9-B47+2),D47*$E$5/(1-(1+$E$5)^(-($I$12-$E$9-B47+2))))*IF(AND(B47=$F$12,ISNUMBER('Proyección'!$F$21),N('Proyección'!$F$20)&gt;=$E$9),(12-'Proyección'!$F$21)/12,1)),0)</f>
        <v>12554</v>
      </c>
      <c r="H47" s="22">
        <f>D47+E47+F47-G47</f>
        <v>163240</v>
      </c>
      <c r="I47" s="22">
        <f>M46</f>
        <v>0</v>
      </c>
      <c r="J47" s="22">
        <f>IF(AND(B47&lt;=$E$7),$D$13*12*(1+$E$6)^(B47-1),0)</f>
        <v>0</v>
      </c>
      <c r="K47" s="22">
        <f>I47*$E$5</f>
        <v>0</v>
      </c>
      <c r="L47" s="22">
        <f>IF(OR(B47=$F$13,B47=$E$8,B47=50),I47+J47+K47,0)</f>
        <v>0</v>
      </c>
      <c r="M47" s="22">
        <f>I47+J47+K47-L47</f>
        <v>0</v>
      </c>
      <c r="N47" s="22">
        <f>R46</f>
        <v>194730</v>
      </c>
      <c r="O47" s="22">
        <f>IF(AND(B47&lt;=$E$7,B47&lt;$F$14),$D$14*12*(1+$E$10)^(B47-1),0)</f>
        <v>0</v>
      </c>
      <c r="P47" s="22">
        <f>N47*$E$5</f>
        <v>11684</v>
      </c>
      <c r="Q47" s="22">
        <f>IF(B47&gt;=$F$14,IF(($I$14-$E$9-B47+2)&lt;=1,N47+P47,IF($E$5=0,N47/($I$14-$E$9-B47+2),N47*$E$5/(1-(1+$E$5)^(-($I$14-$E$9-B47+2))))*IF(AND(B47=$F$14,ISNUMBER('Proyección'!$F$21),N('Proyección'!$F$20)&gt;=$E$9),(12-'Proyección'!$F$21)/12,1)),0)</f>
        <v>14740</v>
      </c>
      <c r="R47" s="22">
        <f>N47+O47+P47-Q47</f>
        <v>191673</v>
      </c>
      <c r="S47" s="23">
        <f>L47</f>
        <v>0</v>
      </c>
      <c r="T47" s="22">
        <f>G47</f>
        <v>12554</v>
      </c>
      <c r="U47" s="22">
        <f>Q47</f>
        <v>14740</v>
      </c>
    </row>
    <row r="48">
      <c r="B48" s="25">
        <v>30</v>
      </c>
      <c r="C48" s="25">
        <f>'Proyección'!B59</f>
        <v>2055</v>
      </c>
      <c r="D48" s="22">
        <f>H47</f>
        <v>163240</v>
      </c>
      <c r="E48" s="22">
        <f>IF(AND(B48&lt;=$E$7,B48&lt;$F$12),$D$12*12*(1+$E$6)^(B48-1),0)</f>
        <v>0</v>
      </c>
      <c r="F48" s="22">
        <f>D48*$E$5</f>
        <v>9794</v>
      </c>
      <c r="G48" s="22">
        <f>IF(B48&gt;=$F$12,IF(($I$12-$E$9-B48+2)&lt;=1,D48+F48,IF($E$5=0,D48/($I$12-$E$9-B48+2),D48*$E$5/(1-(1+$E$5)^(-($I$12-$E$9-B48+2))))*IF(AND(B48=$F$12,ISNUMBER('Proyección'!$F$21),N('Proyección'!$F$20)&gt;=$E$9),(12-'Proyección'!$F$21)/12,1)),0)</f>
        <v>12554</v>
      </c>
      <c r="H48" s="22">
        <f>D48+E48+F48-G48</f>
        <v>160481</v>
      </c>
      <c r="I48" s="22">
        <f>M47</f>
        <v>0</v>
      </c>
      <c r="J48" s="22">
        <f>IF(AND(B48&lt;=$E$7),$D$13*12*(1+$E$6)^(B48-1),0)</f>
        <v>0</v>
      </c>
      <c r="K48" s="22">
        <f>I48*$E$5</f>
        <v>0</v>
      </c>
      <c r="L48" s="22">
        <f>IF(OR(B48=$F$13,B48=$E$8,B48=50),I48+J48+K48,0)</f>
        <v>0</v>
      </c>
      <c r="M48" s="22">
        <f>I48+J48+K48-L48</f>
        <v>0</v>
      </c>
      <c r="N48" s="22">
        <f>R47</f>
        <v>191673</v>
      </c>
      <c r="O48" s="22">
        <f>IF(AND(B48&lt;=$E$7,B48&lt;$F$14),$D$14*12*(1+$E$10)^(B48-1),0)</f>
        <v>0</v>
      </c>
      <c r="P48" s="22">
        <f>N48*$E$5</f>
        <v>11500</v>
      </c>
      <c r="Q48" s="22">
        <f>IF(B48&gt;=$F$14,IF(($I$14-$E$9-B48+2)&lt;=1,N48+P48,IF($E$5=0,N48/($I$14-$E$9-B48+2),N48*$E$5/(1-(1+$E$5)^(-($I$14-$E$9-B48+2))))*IF(AND(B48=$F$14,ISNUMBER('Proyección'!$F$21),N('Proyección'!$F$20)&gt;=$E$9),(12-'Proyección'!$F$21)/12,1)),0)</f>
        <v>14740</v>
      </c>
      <c r="R48" s="22">
        <f>N48+O48+P48-Q48</f>
        <v>188433</v>
      </c>
      <c r="S48" s="23">
        <f>L48</f>
        <v>0</v>
      </c>
      <c r="T48" s="22">
        <f>G48</f>
        <v>12554</v>
      </c>
      <c r="U48" s="22">
        <f>Q48</f>
        <v>14740</v>
      </c>
    </row>
    <row r="49">
      <c r="B49" s="25">
        <v>31</v>
      </c>
      <c r="C49" s="25">
        <f>'Proyección'!B60</f>
        <v>2056</v>
      </c>
      <c r="D49" s="22">
        <f>H48</f>
        <v>160481</v>
      </c>
      <c r="E49" s="22">
        <f>IF(AND(B49&lt;=$E$7,B49&lt;$F$12),$D$12*12*(1+$E$6)^(B49-1),0)</f>
        <v>0</v>
      </c>
      <c r="F49" s="22">
        <f>D49*$E$5</f>
        <v>9629</v>
      </c>
      <c r="G49" s="22">
        <f>IF(B49&gt;=$F$12,IF(($I$12-$E$9-B49+2)&lt;=1,D49+F49,IF($E$5=0,D49/($I$12-$E$9-B49+2),D49*$E$5/(1-(1+$E$5)^(-($I$12-$E$9-B49+2))))*IF(AND(B49=$F$12,ISNUMBER('Proyección'!$F$21),N('Proyección'!$F$20)&gt;=$E$9),(12-'Proyección'!$F$21)/12,1)),0)</f>
        <v>12554</v>
      </c>
      <c r="H49" s="22">
        <f>D49+E49+F49-G49</f>
        <v>157556</v>
      </c>
      <c r="I49" s="22">
        <f>M48</f>
        <v>0</v>
      </c>
      <c r="J49" s="22">
        <f>IF(AND(B49&lt;=$E$7),$D$13*12*(1+$E$6)^(B49-1),0)</f>
        <v>0</v>
      </c>
      <c r="K49" s="22">
        <f>I49*$E$5</f>
        <v>0</v>
      </c>
      <c r="L49" s="22">
        <f>IF(OR(B49=$F$13,B49=$E$8,B49=50),I49+J49+K49,0)</f>
        <v>0</v>
      </c>
      <c r="M49" s="22">
        <f>I49+J49+K49-L49</f>
        <v>0</v>
      </c>
      <c r="N49" s="22">
        <f>R48</f>
        <v>188433</v>
      </c>
      <c r="O49" s="22">
        <f>IF(AND(B49&lt;=$E$7,B49&lt;$F$14),$D$14*12*(1+$E$10)^(B49-1),0)</f>
        <v>0</v>
      </c>
      <c r="P49" s="22">
        <f>N49*$E$5</f>
        <v>11306</v>
      </c>
      <c r="Q49" s="22">
        <f>IF(B49&gt;=$F$14,IF(($I$14-$E$9-B49+2)&lt;=1,N49+P49,IF($E$5=0,N49/($I$14-$E$9-B49+2),N49*$E$5/(1-(1+$E$5)^(-($I$14-$E$9-B49+2))))*IF(AND(B49=$F$14,ISNUMBER('Proyección'!$F$21),N('Proyección'!$F$20)&gt;=$E$9),(12-'Proyección'!$F$21)/12,1)),0)</f>
        <v>14740</v>
      </c>
      <c r="R49" s="22">
        <f>N49+O49+P49-Q49</f>
        <v>184998</v>
      </c>
      <c r="S49" s="23">
        <f>L49</f>
        <v>0</v>
      </c>
      <c r="T49" s="22">
        <f>G49</f>
        <v>12554</v>
      </c>
      <c r="U49" s="22">
        <f>Q49</f>
        <v>14740</v>
      </c>
    </row>
    <row r="50">
      <c r="B50" s="25">
        <v>32</v>
      </c>
      <c r="C50" s="25">
        <f>'Proyección'!B61</f>
        <v>2057</v>
      </c>
      <c r="D50" s="22">
        <f>H49</f>
        <v>157556</v>
      </c>
      <c r="E50" s="22">
        <f>IF(AND(B50&lt;=$E$7,B50&lt;$F$12),$D$12*12*(1+$E$6)^(B50-1),0)</f>
        <v>0</v>
      </c>
      <c r="F50" s="22">
        <f>D50*$E$5</f>
        <v>9453</v>
      </c>
      <c r="G50" s="22">
        <f>IF(B50&gt;=$F$12,IF(($I$12-$E$9-B50+2)&lt;=1,D50+F50,IF($E$5=0,D50/($I$12-$E$9-B50+2),D50*$E$5/(1-(1+$E$5)^(-($I$12-$E$9-B50+2))))*IF(AND(B50=$F$12,ISNUMBER('Proyección'!$F$21),N('Proyección'!$F$20)&gt;=$E$9),(12-'Proyección'!$F$21)/12,1)),0)</f>
        <v>12554</v>
      </c>
      <c r="H50" s="22">
        <f>D50+E50+F50-G50</f>
        <v>154455</v>
      </c>
      <c r="I50" s="22">
        <f>M49</f>
        <v>0</v>
      </c>
      <c r="J50" s="22">
        <f>IF(AND(B50&lt;=$E$7),$D$13*12*(1+$E$6)^(B50-1),0)</f>
        <v>0</v>
      </c>
      <c r="K50" s="22">
        <f>I50*$E$5</f>
        <v>0</v>
      </c>
      <c r="L50" s="22">
        <f>IF(OR(B50=$F$13,B50=$E$8,B50=50),I50+J50+K50,0)</f>
        <v>0</v>
      </c>
      <c r="M50" s="22">
        <f>I50+J50+K50-L50</f>
        <v>0</v>
      </c>
      <c r="N50" s="22">
        <f>R49</f>
        <v>184998</v>
      </c>
      <c r="O50" s="22">
        <f>IF(AND(B50&lt;=$E$7,B50&lt;$F$14),$D$14*12*(1+$E$10)^(B50-1),0)</f>
        <v>0</v>
      </c>
      <c r="P50" s="22">
        <f>N50*$E$5</f>
        <v>11100</v>
      </c>
      <c r="Q50" s="22">
        <f>IF(B50&gt;=$F$14,IF(($I$14-$E$9-B50+2)&lt;=1,N50+P50,IF($E$5=0,N50/($I$14-$E$9-B50+2),N50*$E$5/(1-(1+$E$5)^(-($I$14-$E$9-B50+2))))*IF(AND(B50=$F$14,ISNUMBER('Proyección'!$F$21),N('Proyección'!$F$20)&gt;=$E$9),(12-'Proyección'!$F$21)/12,1)),0)</f>
        <v>14740</v>
      </c>
      <c r="R50" s="22">
        <f>N50+O50+P50-Q50</f>
        <v>181358</v>
      </c>
      <c r="S50" s="23">
        <f>L50</f>
        <v>0</v>
      </c>
      <c r="T50" s="22">
        <f>G50</f>
        <v>12554</v>
      </c>
      <c r="U50" s="22">
        <f>Q50</f>
        <v>14740</v>
      </c>
    </row>
    <row r="51">
      <c r="B51" s="25">
        <v>33</v>
      </c>
      <c r="C51" s="25">
        <f>'Proyección'!B62</f>
        <v>2058</v>
      </c>
      <c r="D51" s="22">
        <f>H50</f>
        <v>154455</v>
      </c>
      <c r="E51" s="22">
        <f>IF(AND(B51&lt;=$E$7,B51&lt;$F$12),$D$12*12*(1+$E$6)^(B51-1),0)</f>
        <v>0</v>
      </c>
      <c r="F51" s="22">
        <f>D51*$E$5</f>
        <v>9267</v>
      </c>
      <c r="G51" s="22">
        <f>IF(B51&gt;=$F$12,IF(($I$12-$E$9-B51+2)&lt;=1,D51+F51,IF($E$5=0,D51/($I$12-$E$9-B51+2),D51*$E$5/(1-(1+$E$5)^(-($I$12-$E$9-B51+2))))*IF(AND(B51=$F$12,ISNUMBER('Proyección'!$F$21),N('Proyección'!$F$20)&gt;=$E$9),(12-'Proyección'!$F$21)/12,1)),0)</f>
        <v>12554</v>
      </c>
      <c r="H51" s="22">
        <f>D51+E51+F51-G51</f>
        <v>151169</v>
      </c>
      <c r="I51" s="22">
        <f>M50</f>
        <v>0</v>
      </c>
      <c r="J51" s="22">
        <f>IF(AND(B51&lt;=$E$7),$D$13*12*(1+$E$6)^(B51-1),0)</f>
        <v>0</v>
      </c>
      <c r="K51" s="22">
        <f>I51*$E$5</f>
        <v>0</v>
      </c>
      <c r="L51" s="22">
        <f>IF(OR(B51=$F$13,B51=$E$8,B51=50),I51+J51+K51,0)</f>
        <v>0</v>
      </c>
      <c r="M51" s="22">
        <f>I51+J51+K51-L51</f>
        <v>0</v>
      </c>
      <c r="N51" s="22">
        <f>R50</f>
        <v>181358</v>
      </c>
      <c r="O51" s="22">
        <f>IF(AND(B51&lt;=$E$7,B51&lt;$F$14),$D$14*12*(1+$E$10)^(B51-1),0)</f>
        <v>0</v>
      </c>
      <c r="P51" s="22">
        <f>N51*$E$5</f>
        <v>10881</v>
      </c>
      <c r="Q51" s="22">
        <f>IF(B51&gt;=$F$14,IF(($I$14-$E$9-B51+2)&lt;=1,N51+P51,IF($E$5=0,N51/($I$14-$E$9-B51+2),N51*$E$5/(1-(1+$E$5)^(-($I$14-$E$9-B51+2))))*IF(AND(B51=$F$14,ISNUMBER('Proyección'!$F$21),N('Proyección'!$F$20)&gt;=$E$9),(12-'Proyección'!$F$21)/12,1)),0)</f>
        <v>14740</v>
      </c>
      <c r="R51" s="22">
        <f>N51+O51+P51-Q51</f>
        <v>177499</v>
      </c>
      <c r="S51" s="23">
        <f>L51</f>
        <v>0</v>
      </c>
      <c r="T51" s="22">
        <f>G51</f>
        <v>12554</v>
      </c>
      <c r="U51" s="22">
        <f>Q51</f>
        <v>14740</v>
      </c>
    </row>
    <row r="52">
      <c r="B52" s="25">
        <v>34</v>
      </c>
      <c r="C52" s="25">
        <f>'Proyección'!B63</f>
        <v>2059</v>
      </c>
      <c r="D52" s="22">
        <f>H51</f>
        <v>151169</v>
      </c>
      <c r="E52" s="22">
        <f>IF(AND(B52&lt;=$E$7,B52&lt;$F$12),$D$12*12*(1+$E$6)^(B52-1),0)</f>
        <v>0</v>
      </c>
      <c r="F52" s="22">
        <f>D52*$E$5</f>
        <v>9070</v>
      </c>
      <c r="G52" s="22">
        <f>IF(B52&gt;=$F$12,IF(($I$12-$E$9-B52+2)&lt;=1,D52+F52,IF($E$5=0,D52/($I$12-$E$9-B52+2),D52*$E$5/(1-(1+$E$5)^(-($I$12-$E$9-B52+2))))*IF(AND(B52=$F$12,ISNUMBER('Proyección'!$F$21),N('Proyección'!$F$20)&gt;=$E$9),(12-'Proyección'!$F$21)/12,1)),0)</f>
        <v>12554</v>
      </c>
      <c r="H52" s="22">
        <f>D52+E52+F52-G52</f>
        <v>147685</v>
      </c>
      <c r="I52" s="22">
        <f>M51</f>
        <v>0</v>
      </c>
      <c r="J52" s="22">
        <f>IF(AND(B52&lt;=$E$7),$D$13*12*(1+$E$6)^(B52-1),0)</f>
        <v>0</v>
      </c>
      <c r="K52" s="22">
        <f>I52*$E$5</f>
        <v>0</v>
      </c>
      <c r="L52" s="22">
        <f>IF(OR(B52=$F$13,B52=$E$8,B52=50),I52+J52+K52,0)</f>
        <v>0</v>
      </c>
      <c r="M52" s="22">
        <f>I52+J52+K52-L52</f>
        <v>0</v>
      </c>
      <c r="N52" s="22">
        <f>R51</f>
        <v>177499</v>
      </c>
      <c r="O52" s="22">
        <f>IF(AND(B52&lt;=$E$7,B52&lt;$F$14),$D$14*12*(1+$E$10)^(B52-1),0)</f>
        <v>0</v>
      </c>
      <c r="P52" s="22">
        <f>N52*$E$5</f>
        <v>10650</v>
      </c>
      <c r="Q52" s="22">
        <f>IF(B52&gt;=$F$14,IF(($I$14-$E$9-B52+2)&lt;=1,N52+P52,IF($E$5=0,N52/($I$14-$E$9-B52+2),N52*$E$5/(1-(1+$E$5)^(-($I$14-$E$9-B52+2))))*IF(AND(B52=$F$14,ISNUMBER('Proyección'!$F$21),N('Proyección'!$F$20)&gt;=$E$9),(12-'Proyección'!$F$21)/12,1)),0)</f>
        <v>14740</v>
      </c>
      <c r="R52" s="22">
        <f>N52+O52+P52-Q52</f>
        <v>173408</v>
      </c>
      <c r="S52" s="23">
        <f>L52</f>
        <v>0</v>
      </c>
      <c r="T52" s="22">
        <f>G52</f>
        <v>12554</v>
      </c>
      <c r="U52" s="22">
        <f>Q52</f>
        <v>14740</v>
      </c>
    </row>
    <row r="53">
      <c r="B53" s="25">
        <v>35</v>
      </c>
      <c r="C53" s="25">
        <f>'Proyección'!B64</f>
        <v>2060</v>
      </c>
      <c r="D53" s="22">
        <f>H52</f>
        <v>147685</v>
      </c>
      <c r="E53" s="22">
        <f>IF(AND(B53&lt;=$E$7,B53&lt;$F$12),$D$12*12*(1+$E$6)^(B53-1),0)</f>
        <v>0</v>
      </c>
      <c r="F53" s="22">
        <f>D53*$E$5</f>
        <v>8861</v>
      </c>
      <c r="G53" s="22">
        <f>IF(B53&gt;=$F$12,IF(($I$12-$E$9-B53+2)&lt;=1,D53+F53,IF($E$5=0,D53/($I$12-$E$9-B53+2),D53*$E$5/(1-(1+$E$5)^(-($I$12-$E$9-B53+2))))*IF(AND(B53=$F$12,ISNUMBER('Proyección'!$F$21),N('Proyección'!$F$20)&gt;=$E$9),(12-'Proyección'!$F$21)/12,1)),0)</f>
        <v>12554</v>
      </c>
      <c r="H53" s="22">
        <f>D53+E53+F53-G53</f>
        <v>143992</v>
      </c>
      <c r="I53" s="22">
        <f>M52</f>
        <v>0</v>
      </c>
      <c r="J53" s="22">
        <f>IF(AND(B53&lt;=$E$7),$D$13*12*(1+$E$6)^(B53-1),0)</f>
        <v>0</v>
      </c>
      <c r="K53" s="22">
        <f>I53*$E$5</f>
        <v>0</v>
      </c>
      <c r="L53" s="22">
        <f>IF(OR(B53=$F$13,B53=$E$8,B53=50),I53+J53+K53,0)</f>
        <v>0</v>
      </c>
      <c r="M53" s="22">
        <f>I53+J53+K53-L53</f>
        <v>0</v>
      </c>
      <c r="N53" s="22">
        <f>R52</f>
        <v>173408</v>
      </c>
      <c r="O53" s="22">
        <f>IF(AND(B53&lt;=$E$7,B53&lt;$F$14),$D$14*12*(1+$E$10)^(B53-1),0)</f>
        <v>0</v>
      </c>
      <c r="P53" s="22">
        <f>N53*$E$5</f>
        <v>10404</v>
      </c>
      <c r="Q53" s="22">
        <f>IF(B53&gt;=$F$14,IF(($I$14-$E$9-B53+2)&lt;=1,N53+P53,IF($E$5=0,N53/($I$14-$E$9-B53+2),N53*$E$5/(1-(1+$E$5)^(-($I$14-$E$9-B53+2))))*IF(AND(B53=$F$14,ISNUMBER('Proyección'!$F$21),N('Proyección'!$F$20)&gt;=$E$9),(12-'Proyección'!$F$21)/12,1)),0)</f>
        <v>14740</v>
      </c>
      <c r="R53" s="22">
        <f>N53+O53+P53-Q53</f>
        <v>169072</v>
      </c>
      <c r="S53" s="23">
        <f>L53</f>
        <v>0</v>
      </c>
      <c r="T53" s="22">
        <f>G53</f>
        <v>12554</v>
      </c>
      <c r="U53" s="22">
        <f>Q53</f>
        <v>14740</v>
      </c>
    </row>
    <row r="54">
      <c r="B54" s="25">
        <v>36</v>
      </c>
      <c r="C54" s="25">
        <f>'Proyección'!B65</f>
        <v>2061</v>
      </c>
      <c r="D54" s="22">
        <f>H53</f>
        <v>143992</v>
      </c>
      <c r="E54" s="22">
        <f>IF(AND(B54&lt;=$E$7,B54&lt;$F$12),$D$12*12*(1+$E$6)^(B54-1),0)</f>
        <v>0</v>
      </c>
      <c r="F54" s="22">
        <f>D54*$E$5</f>
        <v>8640</v>
      </c>
      <c r="G54" s="22">
        <f>IF(B54&gt;=$F$12,IF(($I$12-$E$9-B54+2)&lt;=1,D54+F54,IF($E$5=0,D54/($I$12-$E$9-B54+2),D54*$E$5/(1-(1+$E$5)^(-($I$12-$E$9-B54+2))))*IF(AND(B54=$F$12,ISNUMBER('Proyección'!$F$21),N('Proyección'!$F$20)&gt;=$E$9),(12-'Proyección'!$F$21)/12,1)),0)</f>
        <v>12554</v>
      </c>
      <c r="H54" s="22">
        <f>D54+E54+F54-G54</f>
        <v>140078</v>
      </c>
      <c r="I54" s="22">
        <f>M53</f>
        <v>0</v>
      </c>
      <c r="J54" s="22">
        <f>IF(AND(B54&lt;=$E$7),$D$13*12*(1+$E$6)^(B54-1),0)</f>
        <v>0</v>
      </c>
      <c r="K54" s="22">
        <f>I54*$E$5</f>
        <v>0</v>
      </c>
      <c r="L54" s="22">
        <f>IF(OR(B54=$F$13,B54=$E$8,B54=50),I54+J54+K54,0)</f>
        <v>0</v>
      </c>
      <c r="M54" s="22">
        <f>I54+J54+K54-L54</f>
        <v>0</v>
      </c>
      <c r="N54" s="22">
        <f>R53</f>
        <v>169072</v>
      </c>
      <c r="O54" s="22">
        <f>IF(AND(B54&lt;=$E$7,B54&lt;$F$14),$D$14*12*(1+$E$10)^(B54-1),0)</f>
        <v>0</v>
      </c>
      <c r="P54" s="22">
        <f>N54*$E$5</f>
        <v>10144</v>
      </c>
      <c r="Q54" s="22">
        <f>IF(B54&gt;=$F$14,IF(($I$14-$E$9-B54+2)&lt;=1,N54+P54,IF($E$5=0,N54/($I$14-$E$9-B54+2),N54*$E$5/(1-(1+$E$5)^(-($I$14-$E$9-B54+2))))*IF(AND(B54=$F$14,ISNUMBER('Proyección'!$F$21),N('Proyección'!$F$20)&gt;=$E$9),(12-'Proyección'!$F$21)/12,1)),0)</f>
        <v>14740</v>
      </c>
      <c r="R54" s="22">
        <f>N54+O54+P54-Q54</f>
        <v>164476</v>
      </c>
      <c r="S54" s="23">
        <f>L54</f>
        <v>0</v>
      </c>
      <c r="T54" s="22">
        <f>G54</f>
        <v>12554</v>
      </c>
      <c r="U54" s="22">
        <f>Q54</f>
        <v>14740</v>
      </c>
    </row>
    <row r="55">
      <c r="B55" s="25">
        <v>37</v>
      </c>
      <c r="C55" s="25">
        <f>'Proyección'!B66</f>
        <v>2062</v>
      </c>
      <c r="D55" s="22">
        <f>H54</f>
        <v>140078</v>
      </c>
      <c r="E55" s="22">
        <f>IF(AND(B55&lt;=$E$7,B55&lt;$F$12),$D$12*12*(1+$E$6)^(B55-1),0)</f>
        <v>0</v>
      </c>
      <c r="F55" s="22">
        <f>D55*$E$5</f>
        <v>8405</v>
      </c>
      <c r="G55" s="22">
        <f>IF(B55&gt;=$F$12,IF(($I$12-$E$9-B55+2)&lt;=1,D55+F55,IF($E$5=0,D55/($I$12-$E$9-B55+2),D55*$E$5/(1-(1+$E$5)^(-($I$12-$E$9-B55+2))))*IF(AND(B55=$F$12,ISNUMBER('Proyección'!$F$21),N('Proyección'!$F$20)&gt;=$E$9),(12-'Proyección'!$F$21)/12,1)),0)</f>
        <v>12554</v>
      </c>
      <c r="H55" s="22">
        <f>D55+E55+F55-G55</f>
        <v>135929</v>
      </c>
      <c r="I55" s="22">
        <f>M54</f>
        <v>0</v>
      </c>
      <c r="J55" s="22">
        <f>IF(AND(B55&lt;=$E$7),$D$13*12*(1+$E$6)^(B55-1),0)</f>
        <v>0</v>
      </c>
      <c r="K55" s="22">
        <f>I55*$E$5</f>
        <v>0</v>
      </c>
      <c r="L55" s="22">
        <f>IF(OR(B55=$F$13,B55=$E$8,B55=50),I55+J55+K55,0)</f>
        <v>0</v>
      </c>
      <c r="M55" s="22">
        <f>I55+J55+K55-L55</f>
        <v>0</v>
      </c>
      <c r="N55" s="22">
        <f>R54</f>
        <v>164476</v>
      </c>
      <c r="O55" s="22">
        <f>IF(AND(B55&lt;=$E$7,B55&lt;$F$14),$D$14*12*(1+$E$10)^(B55-1),0)</f>
        <v>0</v>
      </c>
      <c r="P55" s="22">
        <f>N55*$E$5</f>
        <v>9869</v>
      </c>
      <c r="Q55" s="22">
        <f>IF(B55&gt;=$F$14,IF(($I$14-$E$9-B55+2)&lt;=1,N55+P55,IF($E$5=0,N55/($I$14-$E$9-B55+2),N55*$E$5/(1-(1+$E$5)^(-($I$14-$E$9-B55+2))))*IF(AND(B55=$F$14,ISNUMBER('Proyección'!$F$21),N('Proyección'!$F$20)&gt;=$E$9),(12-'Proyección'!$F$21)/12,1)),0)</f>
        <v>14740</v>
      </c>
      <c r="R55" s="22">
        <f>N55+O55+P55-Q55</f>
        <v>159604</v>
      </c>
      <c r="S55" s="23">
        <f>L55</f>
        <v>0</v>
      </c>
      <c r="T55" s="22">
        <f>G55</f>
        <v>12554</v>
      </c>
      <c r="U55" s="22">
        <f>Q55</f>
        <v>14740</v>
      </c>
    </row>
    <row r="56">
      <c r="B56" s="25">
        <v>38</v>
      </c>
      <c r="C56" s="25">
        <f>'Proyección'!B67</f>
        <v>2063</v>
      </c>
      <c r="D56" s="22">
        <f>H55</f>
        <v>135929</v>
      </c>
      <c r="E56" s="22">
        <f>IF(AND(B56&lt;=$E$7,B56&lt;$F$12),$D$12*12*(1+$E$6)^(B56-1),0)</f>
        <v>0</v>
      </c>
      <c r="F56" s="22">
        <f>D56*$E$5</f>
        <v>8156</v>
      </c>
      <c r="G56" s="22">
        <f>IF(B56&gt;=$F$12,IF(($I$12-$E$9-B56+2)&lt;=1,D56+F56,IF($E$5=0,D56/($I$12-$E$9-B56+2),D56*$E$5/(1-(1+$E$5)^(-($I$12-$E$9-B56+2))))*IF(AND(B56=$F$12,ISNUMBER('Proyección'!$F$21),N('Proyección'!$F$20)&gt;=$E$9),(12-'Proyección'!$F$21)/12,1)),0)</f>
        <v>12554</v>
      </c>
      <c r="H56" s="22">
        <f>D56+E56+F56-G56</f>
        <v>131530</v>
      </c>
      <c r="I56" s="22">
        <f>M55</f>
        <v>0</v>
      </c>
      <c r="J56" s="22">
        <f>IF(AND(B56&lt;=$E$7),$D$13*12*(1+$E$6)^(B56-1),0)</f>
        <v>0</v>
      </c>
      <c r="K56" s="22">
        <f>I56*$E$5</f>
        <v>0</v>
      </c>
      <c r="L56" s="22">
        <f>IF(OR(B56=$F$13,B56=$E$8,B56=50),I56+J56+K56,0)</f>
        <v>0</v>
      </c>
      <c r="M56" s="22">
        <f>I56+J56+K56-L56</f>
        <v>0</v>
      </c>
      <c r="N56" s="22">
        <f>R55</f>
        <v>159604</v>
      </c>
      <c r="O56" s="22">
        <f>IF(AND(B56&lt;=$E$7,B56&lt;$F$14),$D$14*12*(1+$E$10)^(B56-1),0)</f>
        <v>0</v>
      </c>
      <c r="P56" s="22">
        <f>N56*$E$5</f>
        <v>9576</v>
      </c>
      <c r="Q56" s="22">
        <f>IF(B56&gt;=$F$14,IF(($I$14-$E$9-B56+2)&lt;=1,N56+P56,IF($E$5=0,N56/($I$14-$E$9-B56+2),N56*$E$5/(1-(1+$E$5)^(-($I$14-$E$9-B56+2))))*IF(AND(B56=$F$14,ISNUMBER('Proyección'!$F$21),N('Proyección'!$F$20)&gt;=$E$9),(12-'Proyección'!$F$21)/12,1)),0)</f>
        <v>14740</v>
      </c>
      <c r="R56" s="22">
        <f>N56+O56+P56-Q56</f>
        <v>154440</v>
      </c>
      <c r="S56" s="23">
        <f>L56</f>
        <v>0</v>
      </c>
      <c r="T56" s="22">
        <f>G56</f>
        <v>12554</v>
      </c>
      <c r="U56" s="22">
        <f>Q56</f>
        <v>14740</v>
      </c>
    </row>
    <row r="57">
      <c r="B57" s="25">
        <v>39</v>
      </c>
      <c r="C57" s="25">
        <f>'Proyección'!B68</f>
        <v>2064</v>
      </c>
      <c r="D57" s="22">
        <f>H56</f>
        <v>131530</v>
      </c>
      <c r="E57" s="22">
        <f>IF(AND(B57&lt;=$E$7,B57&lt;$F$12),$D$12*12*(1+$E$6)^(B57-1),0)</f>
        <v>0</v>
      </c>
      <c r="F57" s="22">
        <f>D57*$E$5</f>
        <v>7892</v>
      </c>
      <c r="G57" s="22">
        <f>IF(B57&gt;=$F$12,IF(($I$12-$E$9-B57+2)&lt;=1,D57+F57,IF($E$5=0,D57/($I$12-$E$9-B57+2),D57*$E$5/(1-(1+$E$5)^(-($I$12-$E$9-B57+2))))*IF(AND(B57=$F$12,ISNUMBER('Proyección'!$F$21),N('Proyección'!$F$20)&gt;=$E$9),(12-'Proyección'!$F$21)/12,1)),0)</f>
        <v>12554</v>
      </c>
      <c r="H57" s="22">
        <f>D57+E57+F57-G57</f>
        <v>126868</v>
      </c>
      <c r="I57" s="22">
        <f>M56</f>
        <v>0</v>
      </c>
      <c r="J57" s="22">
        <f>IF(AND(B57&lt;=$E$7),$D$13*12*(1+$E$6)^(B57-1),0)</f>
        <v>0</v>
      </c>
      <c r="K57" s="22">
        <f>I57*$E$5</f>
        <v>0</v>
      </c>
      <c r="L57" s="22">
        <f>IF(OR(B57=$F$13,B57=$E$8,B57=50),I57+J57+K57,0)</f>
        <v>0</v>
      </c>
      <c r="M57" s="22">
        <f>I57+J57+K57-L57</f>
        <v>0</v>
      </c>
      <c r="N57" s="22">
        <f>R56</f>
        <v>154440</v>
      </c>
      <c r="O57" s="22">
        <f>IF(AND(B57&lt;=$E$7,B57&lt;$F$14),$D$14*12*(1+$E$10)^(B57-1),0)</f>
        <v>0</v>
      </c>
      <c r="P57" s="22">
        <f>N57*$E$5</f>
        <v>9266</v>
      </c>
      <c r="Q57" s="22">
        <f>IF(B57&gt;=$F$14,IF(($I$14-$E$9-B57+2)&lt;=1,N57+P57,IF($E$5=0,N57/($I$14-$E$9-B57+2),N57*$E$5/(1-(1+$E$5)^(-($I$14-$E$9-B57+2))))*IF(AND(B57=$F$14,ISNUMBER('Proyección'!$F$21),N('Proyección'!$F$20)&gt;=$E$9),(12-'Proyección'!$F$21)/12,1)),0)</f>
        <v>14740</v>
      </c>
      <c r="R57" s="22">
        <f>N57+O57+P57-Q57</f>
        <v>148966</v>
      </c>
      <c r="S57" s="23">
        <f>L57</f>
        <v>0</v>
      </c>
      <c r="T57" s="22">
        <f>G57</f>
        <v>12554</v>
      </c>
      <c r="U57" s="22">
        <f>Q57</f>
        <v>14740</v>
      </c>
    </row>
    <row r="58">
      <c r="B58" s="25">
        <v>40</v>
      </c>
      <c r="C58" s="25">
        <f>'Proyección'!B69</f>
        <v>2065</v>
      </c>
      <c r="D58" s="22">
        <f>H57</f>
        <v>126868</v>
      </c>
      <c r="E58" s="22">
        <f>IF(AND(B58&lt;=$E$7,B58&lt;$F$12),$D$12*12*(1+$E$6)^(B58-1),0)</f>
        <v>0</v>
      </c>
      <c r="F58" s="22">
        <f>D58*$E$5</f>
        <v>7612</v>
      </c>
      <c r="G58" s="22">
        <f>IF(B58&gt;=$F$12,IF(($I$12-$E$9-B58+2)&lt;=1,D58+F58,IF($E$5=0,D58/($I$12-$E$9-B58+2),D58*$E$5/(1-(1+$E$5)^(-($I$12-$E$9-B58+2))))*IF(AND(B58=$F$12,ISNUMBER('Proyección'!$F$21),N('Proyección'!$F$20)&gt;=$E$9),(12-'Proyección'!$F$21)/12,1)),0)</f>
        <v>12554</v>
      </c>
      <c r="H58" s="22">
        <f>D58+E58+F58-G58</f>
        <v>121927</v>
      </c>
      <c r="I58" s="22">
        <f>M57</f>
        <v>0</v>
      </c>
      <c r="J58" s="22">
        <f>IF(AND(B58&lt;=$E$7),$D$13*12*(1+$E$6)^(B58-1),0)</f>
        <v>0</v>
      </c>
      <c r="K58" s="22">
        <f>I58*$E$5</f>
        <v>0</v>
      </c>
      <c r="L58" s="22">
        <f>IF(OR(B58=$F$13,B58=$E$8,B58=50),I58+J58+K58,0)</f>
        <v>0</v>
      </c>
      <c r="M58" s="22">
        <f>I58+J58+K58-L58</f>
        <v>0</v>
      </c>
      <c r="N58" s="22">
        <f>R57</f>
        <v>148966</v>
      </c>
      <c r="O58" s="22">
        <f>IF(AND(B58&lt;=$E$7,B58&lt;$F$14),$D$14*12*(1+$E$10)^(B58-1),0)</f>
        <v>0</v>
      </c>
      <c r="P58" s="22">
        <f>N58*$E$5</f>
        <v>8938</v>
      </c>
      <c r="Q58" s="22">
        <f>IF(B58&gt;=$F$14,IF(($I$14-$E$9-B58+2)&lt;=1,N58+P58,IF($E$5=0,N58/($I$14-$E$9-B58+2),N58*$E$5/(1-(1+$E$5)^(-($I$14-$E$9-B58+2))))*IF(AND(B58=$F$14,ISNUMBER('Proyección'!$F$21),N('Proyección'!$F$20)&gt;=$E$9),(12-'Proyección'!$F$21)/12,1)),0)</f>
        <v>14740</v>
      </c>
      <c r="R58" s="22">
        <f>N58+O58+P58-Q58</f>
        <v>143163</v>
      </c>
      <c r="S58" s="23">
        <f>L58</f>
        <v>0</v>
      </c>
      <c r="T58" s="22">
        <f>G58</f>
        <v>12554</v>
      </c>
      <c r="U58" s="22">
        <f>Q58</f>
        <v>14740</v>
      </c>
    </row>
    <row r="59">
      <c r="B59" s="25">
        <v>41</v>
      </c>
      <c r="C59" s="25">
        <f>'Proyección'!B70</f>
        <v>2066</v>
      </c>
      <c r="D59" s="22">
        <f>H58</f>
        <v>121927</v>
      </c>
      <c r="E59" s="22">
        <f>IF(AND(B59&lt;=$E$7,B59&lt;$F$12),$D$12*12*(1+$E$6)^(B59-1),0)</f>
        <v>0</v>
      </c>
      <c r="F59" s="22">
        <f>D59*$E$5</f>
        <v>7316</v>
      </c>
      <c r="G59" s="22">
        <f>IF(B59&gt;=$F$12,IF(($I$12-$E$9-B59+2)&lt;=1,D59+F59,IF($E$5=0,D59/($I$12-$E$9-B59+2),D59*$E$5/(1-(1+$E$5)^(-($I$12-$E$9-B59+2))))*IF(AND(B59=$F$12,ISNUMBER('Proyección'!$F$21),N('Proyección'!$F$20)&gt;=$E$9),(12-'Proyección'!$F$21)/12,1)),0)</f>
        <v>12554</v>
      </c>
      <c r="H59" s="22">
        <f>D59+E59+F59-G59</f>
        <v>116688</v>
      </c>
      <c r="I59" s="22">
        <f>M58</f>
        <v>0</v>
      </c>
      <c r="J59" s="22">
        <f>IF(AND(B59&lt;=$E$7),$D$13*12*(1+$E$6)^(B59-1),0)</f>
        <v>0</v>
      </c>
      <c r="K59" s="22">
        <f>I59*$E$5</f>
        <v>0</v>
      </c>
      <c r="L59" s="22">
        <f>IF(OR(B59=$F$13,B59=$E$8,B59=50),I59+J59+K59,0)</f>
        <v>0</v>
      </c>
      <c r="M59" s="22">
        <f>I59+J59+K59-L59</f>
        <v>0</v>
      </c>
      <c r="N59" s="22">
        <f>R58</f>
        <v>143163</v>
      </c>
      <c r="O59" s="22">
        <f>IF(AND(B59&lt;=$E$7,B59&lt;$F$14),$D$14*12*(1+$E$10)^(B59-1),0)</f>
        <v>0</v>
      </c>
      <c r="P59" s="22">
        <f>N59*$E$5</f>
        <v>8590</v>
      </c>
      <c r="Q59" s="22">
        <f>IF(B59&gt;=$F$14,IF(($I$14-$E$9-B59+2)&lt;=1,N59+P59,IF($E$5=0,N59/($I$14-$E$9-B59+2),N59*$E$5/(1-(1+$E$5)^(-($I$14-$E$9-B59+2))))*IF(AND(B59=$F$14,ISNUMBER('Proyección'!$F$21),N('Proyección'!$F$20)&gt;=$E$9),(12-'Proyección'!$F$21)/12,1)),0)</f>
        <v>14740</v>
      </c>
      <c r="R59" s="22">
        <f>N59+O59+P59-Q59</f>
        <v>137013</v>
      </c>
      <c r="S59" s="23">
        <f>L59</f>
        <v>0</v>
      </c>
      <c r="T59" s="22">
        <f>G59</f>
        <v>12554</v>
      </c>
      <c r="U59" s="22">
        <f>Q59</f>
        <v>14740</v>
      </c>
    </row>
    <row r="60">
      <c r="B60" s="25">
        <v>42</v>
      </c>
      <c r="C60" s="25">
        <f>'Proyección'!B71</f>
        <v>2067</v>
      </c>
      <c r="D60" s="22">
        <f>H59</f>
        <v>116688</v>
      </c>
      <c r="E60" s="22">
        <f>IF(AND(B60&lt;=$E$7,B60&lt;$F$12),$D$12*12*(1+$E$6)^(B60-1),0)</f>
        <v>0</v>
      </c>
      <c r="F60" s="22">
        <f>D60*$E$5</f>
        <v>7001</v>
      </c>
      <c r="G60" s="22">
        <f>IF(B60&gt;=$F$12,IF(($I$12-$E$9-B60+2)&lt;=1,D60+F60,IF($E$5=0,D60/($I$12-$E$9-B60+2),D60*$E$5/(1-(1+$E$5)^(-($I$12-$E$9-B60+2))))*IF(AND(B60=$F$12,ISNUMBER('Proyección'!$F$21),N('Proyección'!$F$20)&gt;=$E$9),(12-'Proyección'!$F$21)/12,1)),0)</f>
        <v>12554</v>
      </c>
      <c r="H60" s="22">
        <f>D60+E60+F60-G60</f>
        <v>111136</v>
      </c>
      <c r="I60" s="22">
        <f>M59</f>
        <v>0</v>
      </c>
      <c r="J60" s="22">
        <f>IF(AND(B60&lt;=$E$7),$D$13*12*(1+$E$6)^(B60-1),0)</f>
        <v>0</v>
      </c>
      <c r="K60" s="22">
        <f>I60*$E$5</f>
        <v>0</v>
      </c>
      <c r="L60" s="22">
        <f>IF(OR(B60=$F$13,B60=$E$8,B60=50),I60+J60+K60,0)</f>
        <v>0</v>
      </c>
      <c r="M60" s="22">
        <f>I60+J60+K60-L60</f>
        <v>0</v>
      </c>
      <c r="N60" s="22">
        <f>R59</f>
        <v>137013</v>
      </c>
      <c r="O60" s="22">
        <f>IF(AND(B60&lt;=$E$7,B60&lt;$F$14),$D$14*12*(1+$E$10)^(B60-1),0)</f>
        <v>0</v>
      </c>
      <c r="P60" s="22">
        <f>N60*$E$5</f>
        <v>8221</v>
      </c>
      <c r="Q60" s="22">
        <f>IF(B60&gt;=$F$14,IF(($I$14-$E$9-B60+2)&lt;=1,N60+P60,IF($E$5=0,N60/($I$14-$E$9-B60+2),N60*$E$5/(1-(1+$E$5)^(-($I$14-$E$9-B60+2))))*IF(AND(B60=$F$14,ISNUMBER('Proyección'!$F$21),N('Proyección'!$F$20)&gt;=$E$9),(12-'Proyección'!$F$21)/12,1)),0)</f>
        <v>14740</v>
      </c>
      <c r="R60" s="22">
        <f>N60+O60+P60-Q60</f>
        <v>130493</v>
      </c>
      <c r="S60" s="23">
        <f>L60</f>
        <v>0</v>
      </c>
      <c r="T60" s="22">
        <f>G60</f>
        <v>12554</v>
      </c>
      <c r="U60" s="22">
        <f>Q60</f>
        <v>14740</v>
      </c>
    </row>
    <row r="61">
      <c r="B61" s="25">
        <v>43</v>
      </c>
      <c r="C61" s="25">
        <f>'Proyección'!B72</f>
        <v>2068</v>
      </c>
      <c r="D61" s="22">
        <f>H60</f>
        <v>111136</v>
      </c>
      <c r="E61" s="22">
        <f>IF(AND(B61&lt;=$E$7,B61&lt;$F$12),$D$12*12*(1+$E$6)^(B61-1),0)</f>
        <v>0</v>
      </c>
      <c r="F61" s="22">
        <f>D61*$E$5</f>
        <v>6668</v>
      </c>
      <c r="G61" s="22">
        <f>IF(B61&gt;=$F$12,IF(($I$12-$E$9-B61+2)&lt;=1,D61+F61,IF($E$5=0,D61/($I$12-$E$9-B61+2),D61*$E$5/(1-(1+$E$5)^(-($I$12-$E$9-B61+2))))*IF(AND(B61=$F$12,ISNUMBER('Proyección'!$F$21),N('Proyección'!$F$20)&gt;=$E$9),(12-'Proyección'!$F$21)/12,1)),0)</f>
        <v>12554</v>
      </c>
      <c r="H61" s="22">
        <f>D61+E61+F61-G61</f>
        <v>105250</v>
      </c>
      <c r="I61" s="22">
        <f>M60</f>
        <v>0</v>
      </c>
      <c r="J61" s="22">
        <f>IF(AND(B61&lt;=$E$7),$D$13*12*(1+$E$6)^(B61-1),0)</f>
        <v>0</v>
      </c>
      <c r="K61" s="22">
        <f>I61*$E$5</f>
        <v>0</v>
      </c>
      <c r="L61" s="22">
        <f>IF(OR(B61=$F$13,B61=$E$8,B61=50),I61+J61+K61,0)</f>
        <v>0</v>
      </c>
      <c r="M61" s="22">
        <f>I61+J61+K61-L61</f>
        <v>0</v>
      </c>
      <c r="N61" s="22">
        <f>R60</f>
        <v>130493</v>
      </c>
      <c r="O61" s="22">
        <f>IF(AND(B61&lt;=$E$7,B61&lt;$F$14),$D$14*12*(1+$E$10)^(B61-1),0)</f>
        <v>0</v>
      </c>
      <c r="P61" s="22">
        <f>N61*$E$5</f>
        <v>7830</v>
      </c>
      <c r="Q61" s="22">
        <f>IF(B61&gt;=$F$14,IF(($I$14-$E$9-B61+2)&lt;=1,N61+P61,IF($E$5=0,N61/($I$14-$E$9-B61+2),N61*$E$5/(1-(1+$E$5)^(-($I$14-$E$9-B61+2))))*IF(AND(B61=$F$14,ISNUMBER('Proyección'!$F$21),N('Proyección'!$F$20)&gt;=$E$9),(12-'Proyección'!$F$21)/12,1)),0)</f>
        <v>14740</v>
      </c>
      <c r="R61" s="22">
        <f>N61+O61+P61-Q61</f>
        <v>123582</v>
      </c>
      <c r="S61" s="23">
        <f>L61</f>
        <v>0</v>
      </c>
      <c r="T61" s="22">
        <f>G61</f>
        <v>12554</v>
      </c>
      <c r="U61" s="22">
        <f>Q61</f>
        <v>14740</v>
      </c>
    </row>
    <row r="62">
      <c r="B62" s="25">
        <v>44</v>
      </c>
      <c r="C62" s="25">
        <f>'Proyección'!B73</f>
        <v>2069</v>
      </c>
      <c r="D62" s="22">
        <f>H61</f>
        <v>105250</v>
      </c>
      <c r="E62" s="22">
        <f>IF(AND(B62&lt;=$E$7,B62&lt;$F$12),$D$12*12*(1+$E$6)^(B62-1),0)</f>
        <v>0</v>
      </c>
      <c r="F62" s="22">
        <f>D62*$E$5</f>
        <v>6315</v>
      </c>
      <c r="G62" s="22">
        <f>IF(B62&gt;=$F$12,IF(($I$12-$E$9-B62+2)&lt;=1,D62+F62,IF($E$5=0,D62/($I$12-$E$9-B62+2),D62*$E$5/(1-(1+$E$5)^(-($I$12-$E$9-B62+2))))*IF(AND(B62=$F$12,ISNUMBER('Proyección'!$F$21),N('Proyección'!$F$20)&gt;=$E$9),(12-'Proyección'!$F$21)/12,1)),0)</f>
        <v>12554</v>
      </c>
      <c r="H62" s="22">
        <f>D62+E62+F62-G62</f>
        <v>99011</v>
      </c>
      <c r="I62" s="22">
        <f>M61</f>
        <v>0</v>
      </c>
      <c r="J62" s="22">
        <f>IF(AND(B62&lt;=$E$7),$D$13*12*(1+$E$6)^(B62-1),0)</f>
        <v>0</v>
      </c>
      <c r="K62" s="22">
        <f>I62*$E$5</f>
        <v>0</v>
      </c>
      <c r="L62" s="22">
        <f>IF(OR(B62=$F$13,B62=$E$8,B62=50),I62+J62+K62,0)</f>
        <v>0</v>
      </c>
      <c r="M62" s="22">
        <f>I62+J62+K62-L62</f>
        <v>0</v>
      </c>
      <c r="N62" s="22">
        <f>R61</f>
        <v>123582</v>
      </c>
      <c r="O62" s="22">
        <f>IF(AND(B62&lt;=$E$7,B62&lt;$F$14),$D$14*12*(1+$E$10)^(B62-1),0)</f>
        <v>0</v>
      </c>
      <c r="P62" s="22">
        <f>N62*$E$5</f>
        <v>7415</v>
      </c>
      <c r="Q62" s="22">
        <f>IF(B62&gt;=$F$14,IF(($I$14-$E$9-B62+2)&lt;=1,N62+P62,IF($E$5=0,N62/($I$14-$E$9-B62+2),N62*$E$5/(1-(1+$E$5)^(-($I$14-$E$9-B62+2))))*IF(AND(B62=$F$14,ISNUMBER('Proyección'!$F$21),N('Proyección'!$F$20)&gt;=$E$9),(12-'Proyección'!$F$21)/12,1)),0)</f>
        <v>14740</v>
      </c>
      <c r="R62" s="22">
        <f>N62+O62+P62-Q62</f>
        <v>116256</v>
      </c>
      <c r="S62" s="23">
        <f>L62</f>
        <v>0</v>
      </c>
      <c r="T62" s="22">
        <f>G62</f>
        <v>12554</v>
      </c>
      <c r="U62" s="22">
        <f>Q62</f>
        <v>14740</v>
      </c>
    </row>
    <row r="63">
      <c r="B63" s="25">
        <v>45</v>
      </c>
      <c r="C63" s="25">
        <f>'Proyección'!B74</f>
        <v>2070</v>
      </c>
      <c r="D63" s="22">
        <f>H62</f>
        <v>99011</v>
      </c>
      <c r="E63" s="22">
        <f>IF(AND(B63&lt;=$E$7,B63&lt;$F$12),$D$12*12*(1+$E$6)^(B63-1),0)</f>
        <v>0</v>
      </c>
      <c r="F63" s="22">
        <f>D63*$E$5</f>
        <v>5941</v>
      </c>
      <c r="G63" s="22">
        <f>IF(B63&gt;=$F$12,IF(($I$12-$E$9-B63+2)&lt;=1,D63+F63,IF($E$5=0,D63/($I$12-$E$9-B63+2),D63*$E$5/(1-(1+$E$5)^(-($I$12-$E$9-B63+2))))*IF(AND(B63=$F$12,ISNUMBER('Proyección'!$F$21),N('Proyección'!$F$20)&gt;=$E$9),(12-'Proyección'!$F$21)/12,1)),0)</f>
        <v>12554</v>
      </c>
      <c r="H63" s="22">
        <f>D63+E63+F63-G63</f>
        <v>92398</v>
      </c>
      <c r="I63" s="22">
        <f>M62</f>
        <v>0</v>
      </c>
      <c r="J63" s="22">
        <f>IF(AND(B63&lt;=$E$7),$D$13*12*(1+$E$6)^(B63-1),0)</f>
        <v>0</v>
      </c>
      <c r="K63" s="22">
        <f>I63*$E$5</f>
        <v>0</v>
      </c>
      <c r="L63" s="22">
        <f>IF(OR(B63=$F$13,B63=$E$8,B63=50),I63+J63+K63,0)</f>
        <v>0</v>
      </c>
      <c r="M63" s="22">
        <f>I63+J63+K63-L63</f>
        <v>0</v>
      </c>
      <c r="N63" s="22">
        <f>R62</f>
        <v>116256</v>
      </c>
      <c r="O63" s="22">
        <f>IF(AND(B63&lt;=$E$7,B63&lt;$F$14),$D$14*12*(1+$E$10)^(B63-1),0)</f>
        <v>0</v>
      </c>
      <c r="P63" s="22">
        <f>N63*$E$5</f>
        <v>6975</v>
      </c>
      <c r="Q63" s="22">
        <f>IF(B63&gt;=$F$14,IF(($I$14-$E$9-B63+2)&lt;=1,N63+P63,IF($E$5=0,N63/($I$14-$E$9-B63+2),N63*$E$5/(1-(1+$E$5)^(-($I$14-$E$9-B63+2))))*IF(AND(B63=$F$14,ISNUMBER('Proyección'!$F$21),N('Proyección'!$F$20)&gt;=$E$9),(12-'Proyección'!$F$21)/12,1)),0)</f>
        <v>14740</v>
      </c>
      <c r="R63" s="22">
        <f>N63+O63+P63-Q63</f>
        <v>108491</v>
      </c>
      <c r="S63" s="23">
        <f>L63</f>
        <v>0</v>
      </c>
      <c r="T63" s="22">
        <f>G63</f>
        <v>12554</v>
      </c>
      <c r="U63" s="22">
        <f>Q63</f>
        <v>14740</v>
      </c>
    </row>
    <row r="64">
      <c r="B64" s="25">
        <v>46</v>
      </c>
      <c r="C64" s="25">
        <f>'Proyección'!B75</f>
        <v>2071</v>
      </c>
      <c r="D64" s="22">
        <f>H63</f>
        <v>92398</v>
      </c>
      <c r="E64" s="22">
        <f>IF(AND(B64&lt;=$E$7,B64&lt;$F$12),$D$12*12*(1+$E$6)^(B64-1),0)</f>
        <v>0</v>
      </c>
      <c r="F64" s="22">
        <f>D64*$E$5</f>
        <v>5544</v>
      </c>
      <c r="G64" s="22">
        <f>IF(B64&gt;=$F$12,IF(($I$12-$E$9-B64+2)&lt;=1,D64+F64,IF($E$5=0,D64/($I$12-$E$9-B64+2),D64*$E$5/(1-(1+$E$5)^(-($I$12-$E$9-B64+2))))*IF(AND(B64=$F$12,ISNUMBER('Proyección'!$F$21),N('Proyección'!$F$20)&gt;=$E$9),(12-'Proyección'!$F$21)/12,1)),0)</f>
        <v>12554</v>
      </c>
      <c r="H64" s="22">
        <f>D64+E64+F64-G64</f>
        <v>85388</v>
      </c>
      <c r="I64" s="22">
        <f>M63</f>
        <v>0</v>
      </c>
      <c r="J64" s="22">
        <f>IF(AND(B64&lt;=$E$7),$D$13*12*(1+$E$6)^(B64-1),0)</f>
        <v>0</v>
      </c>
      <c r="K64" s="22">
        <f>I64*$E$5</f>
        <v>0</v>
      </c>
      <c r="L64" s="22">
        <f>IF(OR(B64=$F$13,B64=$E$8,B64=50),I64+J64+K64,0)</f>
        <v>0</v>
      </c>
      <c r="M64" s="22">
        <f>I64+J64+K64-L64</f>
        <v>0</v>
      </c>
      <c r="N64" s="22">
        <f>R63</f>
        <v>108491</v>
      </c>
      <c r="O64" s="22">
        <f>IF(AND(B64&lt;=$E$7,B64&lt;$F$14),$D$14*12*(1+$E$10)^(B64-1),0)</f>
        <v>0</v>
      </c>
      <c r="P64" s="22">
        <f>N64*$E$5</f>
        <v>6509</v>
      </c>
      <c r="Q64" s="22">
        <f>IF(B64&gt;=$F$14,IF(($I$14-$E$9-B64+2)&lt;=1,N64+P64,IF($E$5=0,N64/($I$14-$E$9-B64+2),N64*$E$5/(1-(1+$E$5)^(-($I$14-$E$9-B64+2))))*IF(AND(B64=$F$14,ISNUMBER('Proyección'!$F$21),N('Proyección'!$F$20)&gt;=$E$9),(12-'Proyección'!$F$21)/12,1)),0)</f>
        <v>14740</v>
      </c>
      <c r="R64" s="22">
        <f>N64+O64+P64-Q64</f>
        <v>100260</v>
      </c>
      <c r="S64" s="23">
        <f>L64</f>
        <v>0</v>
      </c>
      <c r="T64" s="22">
        <f>G64</f>
        <v>12554</v>
      </c>
      <c r="U64" s="22">
        <f>Q64</f>
        <v>14740</v>
      </c>
    </row>
    <row r="65">
      <c r="B65" s="25">
        <v>47</v>
      </c>
      <c r="C65" s="25">
        <f>'Proyección'!B76</f>
        <v>2072</v>
      </c>
      <c r="D65" s="22">
        <f>H64</f>
        <v>85388</v>
      </c>
      <c r="E65" s="22">
        <f>IF(AND(B65&lt;=$E$7,B65&lt;$F$12),$D$12*12*(1+$E$6)^(B65-1),0)</f>
        <v>0</v>
      </c>
      <c r="F65" s="22">
        <f>D65*$E$5</f>
        <v>5123</v>
      </c>
      <c r="G65" s="22">
        <f>IF(B65&gt;=$F$12,IF(($I$12-$E$9-B65+2)&lt;=1,D65+F65,IF($E$5=0,D65/($I$12-$E$9-B65+2),D65*$E$5/(1-(1+$E$5)^(-($I$12-$E$9-B65+2))))*IF(AND(B65=$F$12,ISNUMBER('Proyección'!$F$21),N('Proyección'!$F$20)&gt;=$E$9),(12-'Proyección'!$F$21)/12,1)),0)</f>
        <v>12554</v>
      </c>
      <c r="H65" s="22">
        <f>D65+E65+F65-G65</f>
        <v>77957</v>
      </c>
      <c r="I65" s="22">
        <f>M64</f>
        <v>0</v>
      </c>
      <c r="J65" s="22">
        <f>IF(AND(B65&lt;=$E$7),$D$13*12*(1+$E$6)^(B65-1),0)</f>
        <v>0</v>
      </c>
      <c r="K65" s="22">
        <f>I65*$E$5</f>
        <v>0</v>
      </c>
      <c r="L65" s="22">
        <f>IF(OR(B65=$F$13,B65=$E$8,B65=50),I65+J65+K65,0)</f>
        <v>0</v>
      </c>
      <c r="M65" s="22">
        <f>I65+J65+K65-L65</f>
        <v>0</v>
      </c>
      <c r="N65" s="22">
        <f>R64</f>
        <v>100260</v>
      </c>
      <c r="O65" s="22">
        <f>IF(AND(B65&lt;=$E$7,B65&lt;$F$14),$D$14*12*(1+$E$10)^(B65-1),0)</f>
        <v>0</v>
      </c>
      <c r="P65" s="22">
        <f>N65*$E$5</f>
        <v>6016</v>
      </c>
      <c r="Q65" s="22">
        <f>IF(B65&gt;=$F$14,IF(($I$14-$E$9-B65+2)&lt;=1,N65+P65,IF($E$5=0,N65/($I$14-$E$9-B65+2),N65*$E$5/(1-(1+$E$5)^(-($I$14-$E$9-B65+2))))*IF(AND(B65=$F$14,ISNUMBER('Proyección'!$F$21),N('Proyección'!$F$20)&gt;=$E$9),(12-'Proyección'!$F$21)/12,1)),0)</f>
        <v>14740</v>
      </c>
      <c r="R65" s="22">
        <f>N65+O65+P65-Q65</f>
        <v>91535</v>
      </c>
      <c r="S65" s="23">
        <f>L65</f>
        <v>0</v>
      </c>
      <c r="T65" s="22">
        <f>G65</f>
        <v>12554</v>
      </c>
      <c r="U65" s="22">
        <f>Q65</f>
        <v>14740</v>
      </c>
    </row>
    <row r="66">
      <c r="B66" s="25">
        <v>48</v>
      </c>
      <c r="C66" s="25">
        <f>'Proyección'!B77</f>
        <v>2073</v>
      </c>
      <c r="D66" s="22">
        <f>H65</f>
        <v>77957</v>
      </c>
      <c r="E66" s="22">
        <f>IF(AND(B66&lt;=$E$7,B66&lt;$F$12),$D$12*12*(1+$E$6)^(B66-1),0)</f>
        <v>0</v>
      </c>
      <c r="F66" s="22">
        <f>D66*$E$5</f>
        <v>4677</v>
      </c>
      <c r="G66" s="22">
        <f>IF(B66&gt;=$F$12,IF(($I$12-$E$9-B66+2)&lt;=1,D66+F66,IF($E$5=0,D66/($I$12-$E$9-B66+2),D66*$E$5/(1-(1+$E$5)^(-($I$12-$E$9-B66+2))))*IF(AND(B66=$F$12,ISNUMBER('Proyección'!$F$21),N('Proyección'!$F$20)&gt;=$E$9),(12-'Proyección'!$F$21)/12,1)),0)</f>
        <v>12554</v>
      </c>
      <c r="H66" s="22">
        <f>D66+E66+F66-G66</f>
        <v>70081</v>
      </c>
      <c r="I66" s="22">
        <f>M65</f>
        <v>0</v>
      </c>
      <c r="J66" s="22">
        <f>IF(AND(B66&lt;=$E$7),$D$13*12*(1+$E$6)^(B66-1),0)</f>
        <v>0</v>
      </c>
      <c r="K66" s="22">
        <f>I66*$E$5</f>
        <v>0</v>
      </c>
      <c r="L66" s="22">
        <f>IF(OR(B66=$F$13,B66=$E$8,B66=50),I66+J66+K66,0)</f>
        <v>0</v>
      </c>
      <c r="M66" s="22">
        <f>I66+J66+K66-L66</f>
        <v>0</v>
      </c>
      <c r="N66" s="22">
        <f>R65</f>
        <v>91535</v>
      </c>
      <c r="O66" s="22">
        <f>IF(AND(B66&lt;=$E$7,B66&lt;$F$14),$D$14*12*(1+$E$10)^(B66-1),0)</f>
        <v>0</v>
      </c>
      <c r="P66" s="22">
        <f>N66*$E$5</f>
        <v>5492</v>
      </c>
      <c r="Q66" s="22">
        <f>IF(B66&gt;=$F$14,IF(($I$14-$E$9-B66+2)&lt;=1,N66+P66,IF($E$5=0,N66/($I$14-$E$9-B66+2),N66*$E$5/(1-(1+$E$5)^(-($I$14-$E$9-B66+2))))*IF(AND(B66=$F$14,ISNUMBER('Proyección'!$F$21),N('Proyección'!$F$20)&gt;=$E$9),(12-'Proyección'!$F$21)/12,1)),0)</f>
        <v>14740</v>
      </c>
      <c r="R66" s="22">
        <f>N66+O66+P66-Q66</f>
        <v>82287</v>
      </c>
      <c r="S66" s="23">
        <f>L66</f>
        <v>0</v>
      </c>
      <c r="T66" s="22">
        <f>G66</f>
        <v>12554</v>
      </c>
      <c r="U66" s="22">
        <f>Q66</f>
        <v>14740</v>
      </c>
    </row>
    <row r="67">
      <c r="B67" s="25">
        <v>49</v>
      </c>
      <c r="C67" s="25">
        <f>'Proyección'!B78</f>
        <v>2074</v>
      </c>
      <c r="D67" s="22">
        <f>H66</f>
        <v>70081</v>
      </c>
      <c r="E67" s="22">
        <f>IF(AND(B67&lt;=$E$7,B67&lt;$F$12),$D$12*12*(1+$E$6)^(B67-1),0)</f>
        <v>0</v>
      </c>
      <c r="F67" s="22">
        <f>D67*$E$5</f>
        <v>4205</v>
      </c>
      <c r="G67" s="22">
        <f>IF(B67&gt;=$F$12,IF(($I$12-$E$9-B67+2)&lt;=1,D67+F67,IF($E$5=0,D67/($I$12-$E$9-B67+2),D67*$E$5/(1-(1+$E$5)^(-($I$12-$E$9-B67+2))))*IF(AND(B67=$F$12,ISNUMBER('Proyección'!$F$21),N('Proyección'!$F$20)&gt;=$E$9),(12-'Proyección'!$F$21)/12,1)),0)</f>
        <v>12554</v>
      </c>
      <c r="H67" s="22">
        <f>D67+E67+F67-G67</f>
        <v>61732</v>
      </c>
      <c r="I67" s="22">
        <f>M66</f>
        <v>0</v>
      </c>
      <c r="J67" s="22">
        <f>IF(AND(B67&lt;=$E$7),$D$13*12*(1+$E$6)^(B67-1),0)</f>
        <v>0</v>
      </c>
      <c r="K67" s="22">
        <f>I67*$E$5</f>
        <v>0</v>
      </c>
      <c r="L67" s="22">
        <f>IF(OR(B67=$F$13,B67=$E$8,B67=50),I67+J67+K67,0)</f>
        <v>0</v>
      </c>
      <c r="M67" s="22">
        <f>I67+J67+K67-L67</f>
        <v>0</v>
      </c>
      <c r="N67" s="22">
        <f>R66</f>
        <v>82287</v>
      </c>
      <c r="O67" s="22">
        <f>IF(AND(B67&lt;=$E$7,B67&lt;$F$14),$D$14*12*(1+$E$10)^(B67-1),0)</f>
        <v>0</v>
      </c>
      <c r="P67" s="22">
        <f>N67*$E$5</f>
        <v>4937</v>
      </c>
      <c r="Q67" s="22">
        <f>IF(B67&gt;=$F$14,IF(($I$14-$E$9-B67+2)&lt;=1,N67+P67,IF($E$5=0,N67/($I$14-$E$9-B67+2),N67*$E$5/(1-(1+$E$5)^(-($I$14-$E$9-B67+2))))*IF(AND(B67=$F$14,ISNUMBER('Proyección'!$F$21),N('Proyección'!$F$20)&gt;=$E$9),(12-'Proyección'!$F$21)/12,1)),0)</f>
        <v>14740</v>
      </c>
      <c r="R67" s="22">
        <f>N67+O67+P67-Q67</f>
        <v>72484</v>
      </c>
      <c r="S67" s="23">
        <f>L67</f>
        <v>0</v>
      </c>
      <c r="T67" s="22">
        <f>G67</f>
        <v>12554</v>
      </c>
      <c r="U67" s="22">
        <f>Q67</f>
        <v>14740</v>
      </c>
    </row>
    <row r="68">
      <c r="B68" s="25">
        <v>50</v>
      </c>
      <c r="C68" s="25">
        <f>'Proyección'!B79</f>
        <v>2075</v>
      </c>
      <c r="D68" s="22">
        <f>H67</f>
        <v>61732</v>
      </c>
      <c r="E68" s="22">
        <f>IF(AND(B68&lt;=$E$7,B68&lt;$F$12),$D$12*12*(1+$E$6)^(B68-1),0)</f>
        <v>0</v>
      </c>
      <c r="F68" s="22">
        <f>D68*$E$5</f>
        <v>3704</v>
      </c>
      <c r="G68" s="22">
        <f>IF(B68&gt;=$F$12,IF(($I$12-$E$9-B68+2)&lt;=1,D68+F68,IF($E$5=0,D68/($I$12-$E$9-B68+2),D68*$E$5/(1-(1+$E$5)^(-($I$12-$E$9-B68+2))))*IF(AND(B68=$F$12,ISNUMBER('Proyección'!$F$21),N('Proyección'!$F$20)&gt;=$E$9),(12-'Proyección'!$F$21)/12,1)),0)</f>
        <v>12554</v>
      </c>
      <c r="H68" s="22">
        <f>D68+E68+F68-G68</f>
        <v>52882</v>
      </c>
      <c r="I68" s="22">
        <f>M67</f>
        <v>0</v>
      </c>
      <c r="J68" s="22">
        <f>IF(AND(B68&lt;=$E$7),$D$13*12*(1+$E$6)^(B68-1),0)</f>
        <v>0</v>
      </c>
      <c r="K68" s="22">
        <f>I68*$E$5</f>
        <v>0</v>
      </c>
      <c r="L68" s="22">
        <f>IF(OR(B68=$F$13,B68=$E$8,B68=50),I68+J68+K68,0)</f>
        <v>0</v>
      </c>
      <c r="M68" s="22">
        <f>I68+J68+K68-L68</f>
        <v>0</v>
      </c>
      <c r="N68" s="22">
        <f>R67</f>
        <v>72484</v>
      </c>
      <c r="O68" s="22">
        <f>IF(AND(B68&lt;=$E$7,B68&lt;$F$14),$D$14*12*(1+$E$10)^(B68-1),0)</f>
        <v>0</v>
      </c>
      <c r="P68" s="22">
        <f>N68*$E$5</f>
        <v>4349</v>
      </c>
      <c r="Q68" s="22">
        <f>IF(B68&gt;=$F$14,IF(($I$14-$E$9-B68+2)&lt;=1,N68+P68,IF($E$5=0,N68/($I$14-$E$9-B68+2),N68*$E$5/(1-(1+$E$5)^(-($I$14-$E$9-B68+2))))*IF(AND(B68=$F$14,ISNUMBER('Proyección'!$F$21),N('Proyección'!$F$20)&gt;=$E$9),(12-'Proyección'!$F$21)/12,1)),0)</f>
        <v>14740</v>
      </c>
      <c r="R68" s="22">
        <f>N68+O68+P68-Q68</f>
        <v>62092</v>
      </c>
      <c r="S68" s="23">
        <f>L68</f>
        <v>0</v>
      </c>
      <c r="T68" s="22">
        <f>G68</f>
        <v>12554</v>
      </c>
      <c r="U68" s="22">
        <f>Q68</f>
        <v>14740</v>
      </c>
    </row>
  </sheetData>
  <mergeCells count="15">
    <mergeCell ref="B2:M2"/>
    <mergeCell ref="B4:E4"/>
    <mergeCell ref="B5:D5"/>
    <mergeCell ref="B6:D6"/>
    <mergeCell ref="B7:D7"/>
    <mergeCell ref="B8:D8"/>
    <mergeCell ref="B9:D9"/>
    <mergeCell ref="B10:D10"/>
    <mergeCell ref="B17:C17"/>
    <mergeCell ref="S17:U17"/>
    <mergeCell ref="D17:H17"/>
    <mergeCell ref="I17:M17"/>
    <mergeCell ref="N17:R17"/>
    <mergeCell ref="G4:M4"/>
    <mergeCell ref="G7:M8"/>
  </mergeCells>
  <pageMargins left="0.5" right="0.5" top="0.75" bottom="0.75" header="0.3" footer="0.3"/>
</worksheet>
</file>

<file path=xl/worksheets/sheet5.xml><?xml version="1.0" encoding="utf-8"?>
<worksheet xmlns="http://schemas.openxmlformats.org/spreadsheetml/2006/main" xmlns:r="http://schemas.openxmlformats.org/officeDocument/2006/relationships">
  <sheetViews>
    <sheetView workbookViewId="0" showGridLines="0" zoomScale="90"/>
  </sheetViews>
  <cols>
    <col width="2" customWidth="1" min="1" max="1"/>
    <col width="6" customWidth="1" min="2" max="2"/>
    <col width="42" customWidth="1" min="3" max="3"/>
    <col width="17" customWidth="1" min="4" max="4"/>
    <col width="10" customWidth="1" min="5" max="5"/>
    <col width="13" customWidth="1" min="6" max="6"/>
    <col width="17" customWidth="1" min="7" max="7"/>
    <col width="14" customWidth="1" min="8" max="8"/>
    <col width="14" customWidth="1" min="9" max="9"/>
    <col width="46" customWidth="1" min="10" max="10"/>
  </cols>
  <sheetData>
    <row r="1" ht="24" customHeight="1">
      <c r="B1" s="11" t="inlineStr">
        <is>
          <t>Ingresos · Cliente de ejemplo</t>
        </is>
      </c>
    </row>
    <row r="2" ht="46" customHeight="1">
      <c r="B2" s="29" t="inlineStr">
        <is>
          <t>Cada ingreso como lo declaró el cliente: monto y moneda. El tipo de cambio aplicado es el de la celda F7 de la hoja Proyección para los montos en colones (1 para los dólares), y el monto en US$ es el monto declarado entre ese tipo de cambio. La proyección indexa cada monto con la inflación de su moneda: local para los colones e internacional para los dólares. Las celdas en color crema son insumos; las filas libres sirven para agregar elementos.</t>
        </is>
      </c>
      <c r="C2" s="29"/>
      <c r="D2" s="29"/>
      <c r="E2" s="29"/>
      <c r="F2" s="29"/>
      <c r="G2" s="29"/>
      <c r="H2" s="29"/>
      <c r="I2" s="29"/>
      <c r="J2" s="29"/>
    </row>
    <row r="4" ht="22" customHeight="1">
      <c r="B4" s="13" t="inlineStr">
        <is>
          <t>Ingresos ordinarios · mensuales, en valor de hoy</t>
        </is>
      </c>
      <c r="C4" s="13"/>
      <c r="D4" s="13"/>
      <c r="E4" s="13"/>
      <c r="F4" s="13"/>
      <c r="G4" s="13"/>
      <c r="H4" s="13"/>
      <c r="I4" s="13"/>
      <c r="J4" s="13"/>
    </row>
    <row r="5" ht="32" customHeight="1">
      <c r="B5" s="21" t="inlineStr">
        <is>
          <t>N.º</t>
        </is>
      </c>
      <c r="C5" s="21" t="inlineStr">
        <is>
          <t>Concepto</t>
        </is>
      </c>
      <c r="D5" s="21" t="inlineStr">
        <is>
          <t>Monto declarado</t>
        </is>
      </c>
      <c r="E5" s="21" t="inlineStr">
        <is>
          <t>Moneda</t>
        </is>
      </c>
      <c r="F5" s="21" t="inlineStr">
        <is>
          <t>Tipo de cambio aplicado</t>
        </is>
      </c>
      <c r="G5" s="21" t="inlineStr">
        <is>
          <t>Monto en US$</t>
        </is>
      </c>
      <c r="H5" s="21" t="inlineStr">
        <is>
          <t>Desde el período</t>
        </is>
      </c>
      <c r="I5" s="21" t="inlineStr">
        <is>
          <t>Hasta el período</t>
        </is>
      </c>
      <c r="J5" s="21" t="inlineStr">
        <is>
          <t>Nota</t>
        </is>
      </c>
    </row>
    <row r="6">
      <c r="B6" s="25">
        <v>1</v>
      </c>
      <c r="C6" s="16" t="inlineStr">
        <is>
          <t>Ingreso total mensual (actividad)</t>
        </is>
      </c>
      <c r="D6" s="17">
        <v>2700000</v>
      </c>
      <c r="E6" s="33" t="inlineStr">
        <is>
          <t>CRC</t>
        </is>
      </c>
      <c r="F6" s="35">
        <f>IF(E6="CRC",'Proyección'!$F$7,1)</f>
        <v>450</v>
      </c>
      <c r="G6" s="22">
        <f>D6/F6</f>
        <v>6000</v>
      </c>
      <c r="H6" s="25">
        <v>1</v>
      </c>
      <c r="I6" s="34">
        <v>14</v>
      </c>
      <c r="J6" s="26" t="inlineStr">
        <is>
          <t>Hasta la independencia o la edad indicada</t>
        </is>
      </c>
    </row>
    <row r="7">
      <c r="B7" s="25">
        <v>2</v>
      </c>
      <c r="C7" s="16" t="inlineStr">
        <is>
          <t>Ingreso mensual de la pareja</t>
        </is>
      </c>
      <c r="D7" s="17">
        <v>0</v>
      </c>
      <c r="E7" s="33" t="inlineStr">
        <is>
          <t>USD</t>
        </is>
      </c>
      <c r="F7" s="35">
        <f>IF(E7="CRC",'Proyección'!$F$7,1)</f>
        <v>1</v>
      </c>
      <c r="G7" s="22">
        <f>D7/F7</f>
        <v>0</v>
      </c>
      <c r="H7" s="25">
        <v>1</v>
      </c>
      <c r="I7" s="34">
        <v>0</v>
      </c>
      <c r="J7" s="26" t="inlineStr">
        <is>
          <t>No aplica</t>
        </is>
      </c>
    </row>
    <row r="8">
      <c r="B8" s="25">
        <v>3</v>
      </c>
      <c r="C8" s="16" t="inlineStr">
        <is>
          <t>Otros ingresos recurrentes al mes</t>
        </is>
      </c>
      <c r="D8" s="17">
        <v>500000</v>
      </c>
      <c r="E8" s="33" t="inlineStr">
        <is>
          <t>CRC</t>
        </is>
      </c>
      <c r="F8" s="35">
        <f>IF(E8="CRC",'Proyección'!$F$7,1)</f>
        <v>450</v>
      </c>
      <c r="G8" s="22">
        <f>D8/F8</f>
        <v>1111.11</v>
      </c>
      <c r="H8" s="34">
        <v>5</v>
      </c>
      <c r="I8" s="34">
        <v>50</v>
      </c>
      <c r="J8" s="26"/>
    </row>
    <row r="9">
      <c r="B9" s="23" t="inlineStr">
        <is>
          <t>Total de ingresos ordinarios al mes (US$)</t>
        </is>
      </c>
      <c r="C9" s="23"/>
      <c r="D9" s="23"/>
      <c r="E9" s="23"/>
      <c r="F9" s="23"/>
      <c r="G9" s="23">
        <f>SUM(G6:G8)</f>
        <v>7111.11</v>
      </c>
      <c r="H9" s="23"/>
      <c r="I9" s="23"/>
      <c r="J9" s="23"/>
    </row>
    <row r="10" ht="30" customHeight="1">
      <c r="B10" s="29" t="inlineStr">
        <is>
          <t>Pensiones: la del régimen básico (Pensión del Magisterio), la del ROP y la voluntaria se registran en la hoja «Pensiones»; en la proyección son ingresos ordinarios, cada una en su columna.</t>
        </is>
      </c>
      <c r="C10" s="29"/>
      <c r="D10" s="29"/>
      <c r="E10" s="29"/>
      <c r="F10" s="29"/>
      <c r="G10" s="29"/>
      <c r="H10" s="29"/>
      <c r="I10" s="29"/>
      <c r="J10" s="29"/>
    </row>
    <row r="12" ht="22" customHeight="1">
      <c r="B12" s="13" t="inlineStr">
        <is>
          <t>Alquileres de inmuebles · mensuales, en valor de hoy</t>
        </is>
      </c>
      <c r="C12" s="13"/>
      <c r="D12" s="13"/>
      <c r="E12" s="13"/>
      <c r="F12" s="13"/>
      <c r="G12" s="13"/>
      <c r="H12" s="13"/>
      <c r="I12" s="13"/>
      <c r="J12" s="13"/>
    </row>
    <row r="13" ht="32" customHeight="1">
      <c r="B13" s="21" t="inlineStr">
        <is>
          <t>N.º</t>
        </is>
      </c>
      <c r="C13" s="21" t="inlineStr">
        <is>
          <t>Inmueble</t>
        </is>
      </c>
      <c r="D13" s="21" t="inlineStr">
        <is>
          <t>Alquiler mensual declarado</t>
        </is>
      </c>
      <c r="E13" s="21" t="inlineStr">
        <is>
          <t>Moneda</t>
        </is>
      </c>
      <c r="F13" s="21" t="inlineStr">
        <is>
          <t>Tipo de cambio aplicado</t>
        </is>
      </c>
      <c r="G13" s="21" t="inlineStr">
        <is>
          <t>Monto en US$</t>
        </is>
      </c>
      <c r="H13" s="21" t="inlineStr">
        <is>
          <t>Último año con alquiler</t>
        </is>
      </c>
      <c r="I13" s="21"/>
      <c r="J13" s="21" t="inlineStr">
        <is>
          <t>Nota</t>
        </is>
      </c>
    </row>
    <row r="14">
      <c r="B14" s="25">
        <v>1</v>
      </c>
      <c r="C14" s="20" t="inlineStr">
        <is>
          <t>Apartamento en Santa Ana</t>
        </is>
      </c>
      <c r="D14" s="17">
        <v>1100</v>
      </c>
      <c r="E14" s="33" t="inlineStr">
        <is>
          <t>USD</t>
        </is>
      </c>
      <c r="F14" s="35">
        <f>IF(E14="CRC",'Proyección'!$F$7,1)</f>
        <v>1</v>
      </c>
      <c r="G14" s="22">
        <f>D14/F14</f>
        <v>1100</v>
      </c>
      <c r="H14" s="34">
        <v>2030</v>
      </c>
      <c r="I14" s="16"/>
      <c r="J14" s="26" t="inlineStr">
        <is>
          <t>Hasta el año anterior a la venta</t>
        </is>
      </c>
    </row>
    <row r="15">
      <c r="B15" s="25">
        <v>2</v>
      </c>
      <c r="C15" s="20"/>
      <c r="D15" s="17"/>
      <c r="E15" s="33"/>
      <c r="F15" s="35">
        <f>IF(E15="CRC",'Proyección'!$F$7,1)</f>
        <v>1</v>
      </c>
      <c r="G15" s="22">
        <f>D15/F15</f>
        <v>0</v>
      </c>
      <c r="H15" s="34"/>
      <c r="I15" s="16"/>
      <c r="J15" s="26"/>
    </row>
    <row r="16">
      <c r="B16" s="25">
        <v>3</v>
      </c>
      <c r="C16" s="20"/>
      <c r="D16" s="17"/>
      <c r="E16" s="33"/>
      <c r="F16" s="35">
        <f>IF(E16="CRC",'Proyección'!$F$7,1)</f>
        <v>1</v>
      </c>
      <c r="G16" s="22">
        <f>D16/F16</f>
        <v>0</v>
      </c>
      <c r="H16" s="34"/>
      <c r="I16" s="16"/>
      <c r="J16" s="26"/>
    </row>
    <row r="17">
      <c r="B17" s="25">
        <v>4</v>
      </c>
      <c r="C17" s="20"/>
      <c r="D17" s="17"/>
      <c r="E17" s="33"/>
      <c r="F17" s="35">
        <f>IF(E17="CRC",'Proyección'!$F$7,1)</f>
        <v>1</v>
      </c>
      <c r="G17" s="22">
        <f>D17/F17</f>
        <v>0</v>
      </c>
      <c r="H17" s="34"/>
      <c r="I17" s="16"/>
      <c r="J17" s="26"/>
    </row>
    <row r="18">
      <c r="B18" s="23" t="inlineStr">
        <is>
          <t>Total de alquileres al mes (US$)</t>
        </is>
      </c>
      <c r="C18" s="23"/>
      <c r="D18" s="23"/>
      <c r="E18" s="23"/>
      <c r="F18" s="23"/>
      <c r="G18" s="23">
        <f>SUM(G14:G17)</f>
        <v>1100</v>
      </c>
      <c r="H18" s="23"/>
      <c r="I18" s="23"/>
      <c r="J18" s="23"/>
    </row>
    <row r="20" ht="22" customHeight="1">
      <c r="B20" s="13" t="inlineStr">
        <is>
          <t>Ingresos extraordinarios · en valor de hoy</t>
        </is>
      </c>
      <c r="C20" s="13"/>
      <c r="D20" s="13"/>
      <c r="E20" s="13"/>
      <c r="F20" s="13"/>
      <c r="G20" s="13"/>
      <c r="H20" s="13"/>
      <c r="I20" s="13"/>
      <c r="J20" s="13"/>
    </row>
    <row r="21" ht="32" customHeight="1">
      <c r="B21" s="21" t="inlineStr">
        <is>
          <t>N.º</t>
        </is>
      </c>
      <c r="C21" s="21" t="inlineStr">
        <is>
          <t>Concepto</t>
        </is>
      </c>
      <c r="D21" s="21" t="inlineStr">
        <is>
          <t>Monto declarado</t>
        </is>
      </c>
      <c r="E21" s="21" t="inlineStr">
        <is>
          <t>Moneda</t>
        </is>
      </c>
      <c r="F21" s="21" t="inlineStr">
        <is>
          <t>Tipo de cambio aplicado</t>
        </is>
      </c>
      <c r="G21" s="21" t="inlineStr">
        <is>
          <t>Monto en US$</t>
        </is>
      </c>
      <c r="H21" s="21" t="inlineStr">
        <is>
          <t>Año</t>
        </is>
      </c>
      <c r="I21" s="21"/>
      <c r="J21" s="21" t="inlineStr">
        <is>
          <t>Nota</t>
        </is>
      </c>
    </row>
    <row r="22">
      <c r="B22" s="25">
        <v>1</v>
      </c>
      <c r="C22" s="20" t="inlineStr">
        <is>
          <t>Bono por antigüedad</t>
        </is>
      </c>
      <c r="D22" s="17">
        <v>40000</v>
      </c>
      <c r="E22" s="33" t="inlineStr">
        <is>
          <t>USD</t>
        </is>
      </c>
      <c r="F22" s="35">
        <f>IF(E22="CRC",'Proyección'!$F$7,1)</f>
        <v>1</v>
      </c>
      <c r="G22" s="22">
        <f>D22/F22</f>
        <v>40000</v>
      </c>
      <c r="H22" s="34">
        <v>2028</v>
      </c>
      <c r="I22" s="16"/>
      <c r="J22" s="26"/>
    </row>
    <row r="23">
      <c r="B23" s="25">
        <v>2</v>
      </c>
      <c r="C23" s="20" t="inlineStr">
        <is>
          <t>Herencia esperada</t>
        </is>
      </c>
      <c r="D23" s="17">
        <v>120000</v>
      </c>
      <c r="E23" s="33" t="inlineStr">
        <is>
          <t>USD</t>
        </is>
      </c>
      <c r="F23" s="35">
        <f>IF(E23="CRC",'Proyección'!$F$7,1)</f>
        <v>1</v>
      </c>
      <c r="G23" s="22">
        <f>D23/F23</f>
        <v>120000</v>
      </c>
      <c r="H23" s="34">
        <v>2032</v>
      </c>
      <c r="I23" s="16"/>
      <c r="J23" s="26"/>
    </row>
    <row r="24">
      <c r="B24" s="25">
        <v>3</v>
      </c>
      <c r="C24" s="20"/>
      <c r="D24" s="17"/>
      <c r="E24" s="33"/>
      <c r="F24" s="35">
        <f>IF(E24="CRC",'Proyección'!$F$7,1)</f>
        <v>1</v>
      </c>
      <c r="G24" s="22">
        <f>D24/F24</f>
        <v>0</v>
      </c>
      <c r="H24" s="34"/>
      <c r="I24" s="16"/>
      <c r="J24" s="26"/>
    </row>
    <row r="25">
      <c r="B25" s="25">
        <v>4</v>
      </c>
      <c r="C25" s="20"/>
      <c r="D25" s="17"/>
      <c r="E25" s="33"/>
      <c r="F25" s="35">
        <f>IF(E25="CRC",'Proyección'!$F$7,1)</f>
        <v>1</v>
      </c>
      <c r="G25" s="22">
        <f>D25/F25</f>
        <v>0</v>
      </c>
      <c r="H25" s="34"/>
      <c r="I25" s="16"/>
      <c r="J25" s="26"/>
    </row>
    <row r="26">
      <c r="B26" s="25">
        <v>5</v>
      </c>
      <c r="C26" s="20"/>
      <c r="D26" s="17"/>
      <c r="E26" s="33"/>
      <c r="F26" s="35">
        <f>IF(E26="CRC",'Proyección'!$F$7,1)</f>
        <v>1</v>
      </c>
      <c r="G26" s="22">
        <f>D26/F26</f>
        <v>0</v>
      </c>
      <c r="H26" s="34"/>
      <c r="I26" s="16"/>
      <c r="J26" s="26"/>
    </row>
    <row r="27">
      <c r="B27" s="23" t="inlineStr">
        <is>
          <t>Total de ingresos extraordinarios (US$)</t>
        </is>
      </c>
      <c r="C27" s="23"/>
      <c r="D27" s="23"/>
      <c r="E27" s="23"/>
      <c r="F27" s="23"/>
      <c r="G27" s="23">
        <f>SUM(G22:G26)</f>
        <v>160000</v>
      </c>
      <c r="H27" s="23"/>
      <c r="I27" s="23"/>
      <c r="J27" s="23"/>
    </row>
    <row r="28" ht="30" customHeight="1">
      <c r="B28" s="29" t="inlineStr">
        <is>
          <t>Traslado del FCL: se calcula en la hoja «Pensiones» y entra a la proyección como ingreso extraordinario.</t>
        </is>
      </c>
      <c r="C28" s="29"/>
      <c r="D28" s="29"/>
      <c r="E28" s="29"/>
      <c r="F28" s="29"/>
      <c r="G28" s="29"/>
      <c r="H28" s="29"/>
      <c r="I28" s="29"/>
      <c r="J28" s="29"/>
    </row>
    <row r="30" ht="22" customHeight="1">
      <c r="B30" s="13" t="inlineStr">
        <is>
          <t>En la proyección · US$ nominales, todo el horizonte</t>
        </is>
      </c>
      <c r="C30" s="13"/>
      <c r="D30" s="13"/>
      <c r="E30" s="13"/>
      <c r="F30" s="13"/>
      <c r="G30" s="13"/>
      <c r="H30" s="13"/>
      <c r="I30" s="13"/>
      <c r="J30" s="13"/>
    </row>
    <row r="31">
      <c r="B31" s="16" t="inlineStr">
        <is>
          <t>Ingresos ordinarios</t>
        </is>
      </c>
      <c r="C31" s="16"/>
      <c r="D31" s="16"/>
      <c r="E31" s="16"/>
      <c r="F31" s="16"/>
      <c r="G31" s="22">
        <f>'Proyección'!$AJ$7</f>
        <v>5643124</v>
      </c>
    </row>
    <row r="32">
      <c r="B32" s="16" t="inlineStr">
        <is>
          <t>Ingresos extraordinarios</t>
        </is>
      </c>
      <c r="C32" s="16"/>
      <c r="D32" s="16"/>
      <c r="E32" s="16"/>
      <c r="F32" s="16"/>
      <c r="G32" s="22">
        <f>'Proyección'!$AJ$8</f>
        <v>283622</v>
      </c>
    </row>
    <row r="33">
      <c r="B33" s="23" t="inlineStr">
        <is>
          <t>Total de ingresos</t>
        </is>
      </c>
      <c r="C33" s="23"/>
      <c r="D33" s="23"/>
      <c r="E33" s="23"/>
      <c r="F33" s="23"/>
      <c r="G33" s="23">
        <f>'Proyección'!$AJ$7+'Proyección'!$AJ$8</f>
        <v>5926747</v>
      </c>
    </row>
  </sheetData>
  <mergeCells count="13">
    <mergeCell ref="B2:J2"/>
    <mergeCell ref="B4:J4"/>
    <mergeCell ref="B9:F9"/>
    <mergeCell ref="B10:J10"/>
    <mergeCell ref="B12:J12"/>
    <mergeCell ref="B18:F18"/>
    <mergeCell ref="B20:J20"/>
    <mergeCell ref="B27:F27"/>
    <mergeCell ref="B28:J28"/>
    <mergeCell ref="B30:J30"/>
    <mergeCell ref="B31:F31"/>
    <mergeCell ref="B32:F32"/>
    <mergeCell ref="B33:F33"/>
  </mergeCells>
  <pageMargins left="0.5" right="0.5" top="0.75" bottom="0.75" header="0.3" footer="0.3"/>
</worksheet>
</file>

<file path=xl/worksheets/sheet6.xml><?xml version="1.0" encoding="utf-8"?>
<worksheet xmlns="http://schemas.openxmlformats.org/spreadsheetml/2006/main" xmlns:r="http://schemas.openxmlformats.org/officeDocument/2006/relationships">
  <sheetViews>
    <sheetView workbookViewId="0" showGridLines="0" zoomScale="90"/>
  </sheetViews>
  <cols>
    <col width="2" customWidth="1" min="1" max="1"/>
    <col width="6" customWidth="1" min="2" max="2"/>
    <col width="42" customWidth="1" min="3" max="3"/>
    <col width="17" customWidth="1" min="4" max="4"/>
    <col width="10" customWidth="1" min="5" max="5"/>
    <col width="13" customWidth="1" min="6" max="6"/>
    <col width="17" customWidth="1" min="7" max="7"/>
    <col width="14" customWidth="1" min="8" max="8"/>
    <col width="14" customWidth="1" min="9" max="9"/>
    <col width="20" customWidth="1" min="10" max="10"/>
    <col width="12" customWidth="1" min="11" max="11"/>
    <col width="17" customWidth="1" min="12" max="12"/>
  </cols>
  <sheetData>
    <row r="1" ht="24" customHeight="1">
      <c r="B1" s="11" t="inlineStr">
        <is>
          <t>Gastos · Cliente de ejemplo</t>
        </is>
      </c>
    </row>
    <row r="2" ht="46" customHeight="1">
      <c r="B2" s="29" t="inlineStr">
        <is>
          <t>Cada gasto como lo declaró el cliente: monto y moneda. El tipo de cambio aplicado es el de la celda F7 de la hoja Proyección para los montos en colones (1 para los dólares), y el monto en US$ es el monto declarado entre ese tipo de cambio. El gasto familiar y los gastos en colones se indexan con la inflación local; los de dólares, con la internacional. Las cuotas de hipoteca y deudas son fijas. Las celdas en color crema son insumos.</t>
        </is>
      </c>
      <c r="C2" s="29"/>
      <c r="D2" s="29"/>
      <c r="E2" s="29"/>
      <c r="F2" s="29"/>
      <c r="G2" s="29"/>
      <c r="H2" s="29"/>
      <c r="I2" s="29"/>
      <c r="J2" s="29"/>
      <c r="K2" s="29"/>
      <c r="L2" s="29"/>
    </row>
    <row r="4" ht="22" customHeight="1">
      <c r="B4" s="13" t="inlineStr">
        <is>
          <t>Gastos ordinarios · en valor de hoy</t>
        </is>
      </c>
      <c r="C4" s="13"/>
      <c r="D4" s="13"/>
      <c r="E4" s="13"/>
      <c r="F4" s="13"/>
      <c r="G4" s="13"/>
      <c r="H4" s="13"/>
      <c r="I4" s="13"/>
      <c r="J4" s="13"/>
      <c r="K4" s="13"/>
      <c r="L4" s="13"/>
    </row>
    <row r="5" ht="32" customHeight="1">
      <c r="B5" s="21" t="inlineStr">
        <is>
          <t>N.º</t>
        </is>
      </c>
      <c r="C5" s="21" t="inlineStr">
        <is>
          <t>Concepto</t>
        </is>
      </c>
      <c r="D5" s="21" t="inlineStr">
        <is>
          <t>Monto declarado</t>
        </is>
      </c>
      <c r="E5" s="21" t="inlineStr">
        <is>
          <t>Moneda</t>
        </is>
      </c>
      <c r="F5" s="21" t="inlineStr">
        <is>
          <t>Tipo de cambio aplicado</t>
        </is>
      </c>
      <c r="G5" s="21" t="inlineStr">
        <is>
          <t>Monto en US$</t>
        </is>
      </c>
      <c r="H5" s="21" t="inlineStr">
        <is>
          <t>Periodicidad</t>
        </is>
      </c>
      <c r="I5" s="21" t="inlineStr">
        <is>
          <t>Hasta el período</t>
        </is>
      </c>
      <c r="J5" s="21" t="inlineStr">
        <is>
          <t>Nota</t>
        </is>
      </c>
      <c r="K5" s="21"/>
      <c r="L5" s="21"/>
    </row>
    <row r="6">
      <c r="B6" s="25">
        <v>1</v>
      </c>
      <c r="C6" s="16" t="inlineStr">
        <is>
          <t>Gasto familiar mensual</t>
        </is>
      </c>
      <c r="D6" s="17">
        <v>5500</v>
      </c>
      <c r="E6" s="33" t="inlineStr">
        <is>
          <t>USD</t>
        </is>
      </c>
      <c r="F6" s="35">
        <f>IF(E6="CRC",'Proyección'!$F$7,1)</f>
        <v>1</v>
      </c>
      <c r="G6" s="22">
        <f>D6/F6</f>
        <v>5500</v>
      </c>
      <c r="H6" s="25" t="inlineStr">
        <is>
          <t>Mensual</t>
        </is>
      </c>
      <c r="I6" s="16"/>
      <c r="J6" s="26" t="inlineStr">
        <is>
          <t>En el retiro se multiplica por el % de la celda F18 de la hoja Proyección</t>
        </is>
      </c>
      <c r="K6" s="16"/>
      <c r="L6" s="16"/>
    </row>
    <row r="7">
      <c r="B7" s="25">
        <v>2</v>
      </c>
      <c r="C7" s="16" t="inlineStr">
        <is>
          <t>Donaciones al año</t>
        </is>
      </c>
      <c r="D7" s="17">
        <v>3000</v>
      </c>
      <c r="E7" s="33" t="inlineStr">
        <is>
          <t>USD</t>
        </is>
      </c>
      <c r="F7" s="35">
        <f>IF(E7="CRC",'Proyección'!$F$7,1)</f>
        <v>1</v>
      </c>
      <c r="G7" s="22">
        <f>D7/F7</f>
        <v>3000</v>
      </c>
      <c r="H7" s="25" t="inlineStr">
        <is>
          <t>Anual</t>
        </is>
      </c>
      <c r="I7" s="16"/>
      <c r="J7" s="26"/>
      <c r="K7" s="16"/>
      <c r="L7" s="16"/>
    </row>
    <row r="8">
      <c r="B8" s="25">
        <v>3</v>
      </c>
      <c r="C8" s="16" t="inlineStr">
        <is>
          <t>Cuota mensual de la hipoteca</t>
        </is>
      </c>
      <c r="D8" s="17">
        <v>1200</v>
      </c>
      <c r="E8" s="33" t="inlineStr">
        <is>
          <t>USD</t>
        </is>
      </c>
      <c r="F8" s="35">
        <f>IF(E8="CRC",'Proyección'!$F$7,1)</f>
        <v>1</v>
      </c>
      <c r="G8" s="22">
        <f>D8/F8</f>
        <v>1200</v>
      </c>
      <c r="H8" s="25" t="inlineStr">
        <is>
          <t>Mensual</t>
        </is>
      </c>
      <c r="I8" s="34">
        <v>15</v>
      </c>
      <c r="J8" s="26" t="inlineStr">
        <is>
          <t>Hasta el período del plazo restante</t>
        </is>
      </c>
      <c r="K8" s="16"/>
      <c r="L8" s="16"/>
    </row>
    <row r="9">
      <c r="B9" s="23" t="inlineStr">
        <is>
          <t>Total de gastos ordinarios mensuales (US$)</t>
        </is>
      </c>
      <c r="C9" s="23"/>
      <c r="D9" s="23"/>
      <c r="E9" s="23"/>
      <c r="F9" s="23"/>
      <c r="G9" s="23">
        <f>SUMIF(H6:H8,"Mensual",G6:G8)</f>
        <v>6700</v>
      </c>
      <c r="H9" s="23"/>
      <c r="I9" s="23"/>
      <c r="J9" s="23"/>
      <c r="K9" s="23"/>
      <c r="L9" s="23"/>
    </row>
    <row r="10">
      <c r="B10" s="23" t="inlineStr">
        <is>
          <t>Total de gastos ordinarios anuales (US$)</t>
        </is>
      </c>
      <c r="C10" s="23"/>
      <c r="D10" s="23"/>
      <c r="E10" s="23"/>
      <c r="F10" s="23"/>
      <c r="G10" s="23">
        <f>SUMIF(H6:H8,"Anual",G6:G8)</f>
        <v>3000</v>
      </c>
      <c r="H10" s="23"/>
      <c r="I10" s="23"/>
      <c r="J10" s="23"/>
      <c r="K10" s="23"/>
      <c r="L10" s="23"/>
    </row>
    <row r="12" ht="22" customHeight="1">
      <c r="B12" s="13" t="inlineStr">
        <is>
          <t>Gastos de dependientes · anuales, en valor de hoy</t>
        </is>
      </c>
      <c r="C12" s="13"/>
      <c r="D12" s="13"/>
      <c r="E12" s="13"/>
      <c r="F12" s="13"/>
      <c r="G12" s="13"/>
      <c r="H12" s="13"/>
      <c r="I12" s="13"/>
      <c r="J12" s="13"/>
      <c r="K12" s="13"/>
      <c r="L12" s="13"/>
    </row>
    <row r="13" ht="32" customHeight="1">
      <c r="B13" s="21" t="inlineStr">
        <is>
          <t>N.º</t>
        </is>
      </c>
      <c r="C13" s="21" t="inlineStr">
        <is>
          <t>Dependiente</t>
        </is>
      </c>
      <c r="D13" s="21" t="inlineStr">
        <is>
          <t>Gasto anual declarado</t>
        </is>
      </c>
      <c r="E13" s="21" t="inlineStr">
        <is>
          <t>Moneda</t>
        </is>
      </c>
      <c r="F13" s="21" t="inlineStr">
        <is>
          <t>Tipo de cambio aplicado</t>
        </is>
      </c>
      <c r="G13" s="21" t="inlineStr">
        <is>
          <t>Monto en US$</t>
        </is>
      </c>
      <c r="H13" s="21" t="inlineStr">
        <is>
          <t>Año de inicio</t>
        </is>
      </c>
      <c r="I13" s="21" t="inlineStr">
        <is>
          <t>Años que dura</t>
        </is>
      </c>
      <c r="J13" s="21" t="inlineStr">
        <is>
          <t>Nota</t>
        </is>
      </c>
      <c r="K13" s="21"/>
      <c r="L13" s="21"/>
    </row>
    <row r="14">
      <c r="B14" s="25">
        <v>1</v>
      </c>
      <c r="C14" s="20" t="inlineStr">
        <is>
          <t>Cónyuge o pareja · salud</t>
        </is>
      </c>
      <c r="D14" s="17">
        <v>12000</v>
      </c>
      <c r="E14" s="33" t="inlineStr">
        <is>
          <t>USD</t>
        </is>
      </c>
      <c r="F14" s="35">
        <f>IF(E14="CRC",'Proyección'!$F$7,1)</f>
        <v>1</v>
      </c>
      <c r="G14" s="22">
        <f>D14/F14</f>
        <v>12000</v>
      </c>
      <c r="H14" s="34">
        <v>2030</v>
      </c>
      <c r="I14" s="34">
        <v>5</v>
      </c>
      <c r="J14" s="26"/>
      <c r="K14" s="16"/>
      <c r="L14" s="16"/>
    </row>
    <row r="15">
      <c r="B15" s="25">
        <v>2</v>
      </c>
      <c r="C15" s="20"/>
      <c r="D15" s="17"/>
      <c r="E15" s="33"/>
      <c r="F15" s="35">
        <f>IF(E15="CRC",'Proyección'!$F$7,1)</f>
        <v>1</v>
      </c>
      <c r="G15" s="22">
        <f>D15/F15</f>
        <v>0</v>
      </c>
      <c r="H15" s="34"/>
      <c r="I15" s="34"/>
      <c r="J15" s="26"/>
      <c r="K15" s="16"/>
      <c r="L15" s="16"/>
    </row>
    <row r="16">
      <c r="B16" s="25">
        <v>3</v>
      </c>
      <c r="C16" s="20"/>
      <c r="D16" s="17"/>
      <c r="E16" s="33"/>
      <c r="F16" s="35">
        <f>IF(E16="CRC",'Proyección'!$F$7,1)</f>
        <v>1</v>
      </c>
      <c r="G16" s="22">
        <f>D16/F16</f>
        <v>0</v>
      </c>
      <c r="H16" s="34"/>
      <c r="I16" s="34"/>
      <c r="J16" s="26"/>
      <c r="K16" s="16"/>
      <c r="L16" s="16"/>
    </row>
    <row r="17">
      <c r="B17" s="25">
        <v>4</v>
      </c>
      <c r="C17" s="20"/>
      <c r="D17" s="17"/>
      <c r="E17" s="33"/>
      <c r="F17" s="35">
        <f>IF(E17="CRC",'Proyección'!$F$7,1)</f>
        <v>1</v>
      </c>
      <c r="G17" s="22">
        <f>D17/F17</f>
        <v>0</v>
      </c>
      <c r="H17" s="34"/>
      <c r="I17" s="34"/>
      <c r="J17" s="26"/>
      <c r="K17" s="16"/>
      <c r="L17" s="16"/>
    </row>
    <row r="18">
      <c r="B18" s="23" t="inlineStr">
        <is>
          <t>Total de gastos de dependientes al año (US$)</t>
        </is>
      </c>
      <c r="C18" s="23"/>
      <c r="D18" s="23"/>
      <c r="E18" s="23"/>
      <c r="F18" s="23"/>
      <c r="G18" s="23">
        <f>SUM(G14:G17)</f>
        <v>12000</v>
      </c>
      <c r="H18" s="23"/>
      <c r="I18" s="23"/>
      <c r="J18" s="23"/>
      <c r="K18" s="23"/>
      <c r="L18" s="23"/>
    </row>
    <row r="20" ht="22" customHeight="1">
      <c r="B20" s="13" t="inlineStr">
        <is>
          <t>Deudas · cuotas mensuales y saldos, en valor de hoy</t>
        </is>
      </c>
      <c r="C20" s="13"/>
      <c r="D20" s="13"/>
      <c r="E20" s="13"/>
      <c r="F20" s="13"/>
      <c r="G20" s="13"/>
      <c r="H20" s="13"/>
      <c r="I20" s="13"/>
      <c r="J20" s="13"/>
      <c r="K20" s="13"/>
      <c r="L20" s="13"/>
    </row>
    <row r="21" ht="32" customHeight="1">
      <c r="B21" s="21" t="inlineStr">
        <is>
          <t>N.º</t>
        </is>
      </c>
      <c r="C21" s="21" t="inlineStr">
        <is>
          <t>Deuda</t>
        </is>
      </c>
      <c r="D21" s="21" t="inlineStr">
        <is>
          <t>Cuota mensual declarada</t>
        </is>
      </c>
      <c r="E21" s="21" t="inlineStr">
        <is>
          <t>Moneda</t>
        </is>
      </c>
      <c r="F21" s="21" t="inlineStr">
        <is>
          <t>Tipo de cambio aplicado</t>
        </is>
      </c>
      <c r="G21" s="21" t="inlineStr">
        <is>
          <t>Monto en US$</t>
        </is>
      </c>
      <c r="H21" s="21" t="inlineStr">
        <is>
          <t>Último año de pago</t>
        </is>
      </c>
      <c r="I21" s="21" t="inlineStr">
        <is>
          <t>Saldo declarado</t>
        </is>
      </c>
      <c r="J21" s="21" t="inlineStr">
        <is>
          <t>Moneda del saldo</t>
        </is>
      </c>
      <c r="K21" s="21" t="inlineStr">
        <is>
          <t>Saldo en US$</t>
        </is>
      </c>
      <c r="L21" s="21" t="inlineStr">
        <is>
          <t>Tasa anual (informativa)</t>
        </is>
      </c>
    </row>
    <row r="22">
      <c r="B22" s="25">
        <v>1</v>
      </c>
      <c r="C22" s="20" t="inlineStr">
        <is>
          <t>Préstamo personal</t>
        </is>
      </c>
      <c r="D22" s="17">
        <v>157500</v>
      </c>
      <c r="E22" s="33" t="inlineStr">
        <is>
          <t>CRC</t>
        </is>
      </c>
      <c r="F22" s="35">
        <f>IF(E22="CRC",'Proyección'!$F$7,1)</f>
        <v>450</v>
      </c>
      <c r="G22" s="22">
        <f>D22/F22</f>
        <v>350</v>
      </c>
      <c r="H22" s="34">
        <v>2029</v>
      </c>
      <c r="I22" s="17">
        <v>5400000</v>
      </c>
      <c r="J22" s="33" t="inlineStr">
        <is>
          <t>CRC</t>
        </is>
      </c>
      <c r="K22" s="22">
        <f>IF(J22="CRC",I22/'Proyección'!$F$7,N(I22))</f>
        <v>12000</v>
      </c>
      <c r="L22" s="18">
        <v>0.11</v>
      </c>
    </row>
    <row r="23">
      <c r="B23" s="25">
        <v>2</v>
      </c>
      <c r="C23" s="20" t="inlineStr">
        <is>
          <t>Tarjeta de crédito</t>
        </is>
      </c>
      <c r="D23" s="17">
        <v>150</v>
      </c>
      <c r="E23" s="33" t="inlineStr">
        <is>
          <t>USD</t>
        </is>
      </c>
      <c r="F23" s="35">
        <f>IF(E23="CRC",'Proyección'!$F$7,1)</f>
        <v>1</v>
      </c>
      <c r="G23" s="22">
        <f>D23/F23</f>
        <v>150</v>
      </c>
      <c r="H23" s="34">
        <v>2027</v>
      </c>
      <c r="I23" s="17">
        <v>3000</v>
      </c>
      <c r="J23" s="33" t="inlineStr">
        <is>
          <t>USD</t>
        </is>
      </c>
      <c r="K23" s="22">
        <f>IF(J23="CRC",I23/'Proyección'!$F$7,N(I23))</f>
        <v>3000</v>
      </c>
      <c r="L23" s="18">
        <v>0.32</v>
      </c>
    </row>
    <row r="24">
      <c r="B24" s="25">
        <v>3</v>
      </c>
      <c r="C24" s="20"/>
      <c r="D24" s="17"/>
      <c r="E24" s="33"/>
      <c r="F24" s="35">
        <f>IF(E24="CRC",'Proyección'!$F$7,1)</f>
        <v>1</v>
      </c>
      <c r="G24" s="22">
        <f>D24/F24</f>
        <v>0</v>
      </c>
      <c r="H24" s="34"/>
      <c r="I24" s="17"/>
      <c r="J24" s="33"/>
      <c r="K24" s="22">
        <f>IF(J24="CRC",I24/'Proyección'!$F$7,N(I24))</f>
        <v>0</v>
      </c>
      <c r="L24" s="18"/>
    </row>
    <row r="25">
      <c r="B25" s="25">
        <v>4</v>
      </c>
      <c r="C25" s="20"/>
      <c r="D25" s="17"/>
      <c r="E25" s="33"/>
      <c r="F25" s="35">
        <f>IF(E25="CRC",'Proyección'!$F$7,1)</f>
        <v>1</v>
      </c>
      <c r="G25" s="22">
        <f>D25/F25</f>
        <v>0</v>
      </c>
      <c r="H25" s="34"/>
      <c r="I25" s="17"/>
      <c r="J25" s="33"/>
      <c r="K25" s="22">
        <f>IF(J25="CRC",I25/'Proyección'!$F$7,N(I25))</f>
        <v>0</v>
      </c>
      <c r="L25" s="18"/>
    </row>
    <row r="26">
      <c r="B26" s="25">
        <v>5</v>
      </c>
      <c r="C26" s="20"/>
      <c r="D26" s="17"/>
      <c r="E26" s="33"/>
      <c r="F26" s="35">
        <f>IF(E26="CRC",'Proyección'!$F$7,1)</f>
        <v>1</v>
      </c>
      <c r="G26" s="22">
        <f>D26/F26</f>
        <v>0</v>
      </c>
      <c r="H26" s="34"/>
      <c r="I26" s="17"/>
      <c r="J26" s="33"/>
      <c r="K26" s="22">
        <f>IF(J26="CRC",I26/'Proyección'!$F$7,N(I26))</f>
        <v>0</v>
      </c>
      <c r="L26" s="18"/>
    </row>
    <row r="27">
      <c r="B27" s="23" t="inlineStr">
        <is>
          <t>Total de cuotas al mes y de saldos (US$)</t>
        </is>
      </c>
      <c r="C27" s="23"/>
      <c r="D27" s="23"/>
      <c r="E27" s="23"/>
      <c r="F27" s="23"/>
      <c r="G27" s="23">
        <f>SUM(G22:G26)</f>
        <v>500</v>
      </c>
      <c r="H27" s="23"/>
      <c r="I27" s="23"/>
      <c r="J27" s="23"/>
      <c r="K27" s="23">
        <f>SUM(K22:K26)</f>
        <v>15000</v>
      </c>
      <c r="L27" s="23"/>
    </row>
    <row r="28">
      <c r="B28" s="16" t="inlineStr">
        <is>
          <t>¿Las cuotas ya están incluidas en el gasto familiar? (Sí o No)</t>
        </is>
      </c>
      <c r="C28" s="16"/>
      <c r="D28" s="16"/>
      <c r="E28" s="16"/>
      <c r="F28" s="16"/>
      <c r="G28" s="33" t="inlineStr">
        <is>
          <t>No</t>
        </is>
      </c>
      <c r="H28" s="16"/>
      <c r="I28" s="16"/>
      <c r="J28" s="16"/>
      <c r="K28" s="16"/>
      <c r="L28" s="16"/>
    </row>
    <row r="29" ht="30" customHeight="1">
      <c r="B29" s="29" t="inlineStr">
        <is>
          <t>Si las cuotas ya están incluidas en el gasto familiar (pregunta de deudas), se muestran solo como información y no se suman de nuevo. El saldo es informativo: la proyección paga la cuota mensual hasta el último año de pago. La tasa no entra al cálculo.</t>
        </is>
      </c>
      <c r="C29" s="29"/>
      <c r="D29" s="29"/>
      <c r="E29" s="29"/>
      <c r="F29" s="29"/>
      <c r="G29" s="29"/>
      <c r="H29" s="29"/>
      <c r="I29" s="29"/>
      <c r="J29" s="29"/>
      <c r="K29" s="29"/>
      <c r="L29" s="29"/>
    </row>
    <row r="31" ht="22" customHeight="1">
      <c r="B31" s="13" t="inlineStr">
        <is>
          <t>Gastos extraordinarios · en valor de hoy</t>
        </is>
      </c>
      <c r="C31" s="13"/>
      <c r="D31" s="13"/>
      <c r="E31" s="13"/>
      <c r="F31" s="13"/>
      <c r="G31" s="13"/>
      <c r="H31" s="13"/>
      <c r="I31" s="13"/>
      <c r="J31" s="13"/>
      <c r="K31" s="13"/>
      <c r="L31" s="13"/>
    </row>
    <row r="32" ht="32" customHeight="1">
      <c r="B32" s="21" t="inlineStr">
        <is>
          <t>N.º</t>
        </is>
      </c>
      <c r="C32" s="21" t="inlineStr">
        <is>
          <t>Gasto</t>
        </is>
      </c>
      <c r="D32" s="21" t="inlineStr">
        <is>
          <t>Monto declarado</t>
        </is>
      </c>
      <c r="E32" s="21" t="inlineStr">
        <is>
          <t>Moneda</t>
        </is>
      </c>
      <c r="F32" s="21" t="inlineStr">
        <is>
          <t>Tipo de cambio aplicado</t>
        </is>
      </c>
      <c r="G32" s="21" t="inlineStr">
        <is>
          <t>Monto en US$</t>
        </is>
      </c>
      <c r="H32" s="21" t="inlineStr">
        <is>
          <t>Año</t>
        </is>
      </c>
      <c r="I32" s="21" t="inlineStr">
        <is>
          <t>Frecuencia (1 una vez · 2 cada año)</t>
        </is>
      </c>
      <c r="J32" s="21" t="inlineStr">
        <is>
          <t>Nota</t>
        </is>
      </c>
      <c r="K32" s="21"/>
      <c r="L32" s="21"/>
    </row>
    <row r="33">
      <c r="B33" s="25">
        <v>1</v>
      </c>
      <c r="C33" s="20" t="inlineStr">
        <is>
          <t>Seguro y marchamo de vehículos</t>
        </is>
      </c>
      <c r="D33" s="17">
        <v>6000</v>
      </c>
      <c r="E33" s="33" t="inlineStr">
        <is>
          <t>USD</t>
        </is>
      </c>
      <c r="F33" s="35">
        <f>IF(E33="CRC",'Proyección'!$F$7,1)</f>
        <v>1</v>
      </c>
      <c r="G33" s="22">
        <f>D33/F33</f>
        <v>6000</v>
      </c>
      <c r="H33" s="34">
        <v>2027</v>
      </c>
      <c r="I33" s="34">
        <v>2</v>
      </c>
      <c r="J33" s="26" t="inlineStr">
        <is>
          <t>Cada año desde el año indicado</t>
        </is>
      </c>
      <c r="K33" s="16"/>
      <c r="L33" s="16"/>
    </row>
    <row r="34">
      <c r="B34" s="25">
        <v>2</v>
      </c>
      <c r="C34" s="20" t="inlineStr">
        <is>
          <t>Remodelación de la casa</t>
        </is>
      </c>
      <c r="D34" s="17">
        <v>15750000</v>
      </c>
      <c r="E34" s="33" t="inlineStr">
        <is>
          <t>CRC</t>
        </is>
      </c>
      <c r="F34" s="35">
        <f>IF(E34="CRC",'Proyección'!$F$7,1)</f>
        <v>450</v>
      </c>
      <c r="G34" s="22">
        <f>D34/F34</f>
        <v>35000</v>
      </c>
      <c r="H34" s="34">
        <v>2030</v>
      </c>
      <c r="I34" s="34">
        <v>1</v>
      </c>
      <c r="J34" s="26" t="inlineStr">
        <is>
          <t>Una sola vez</t>
        </is>
      </c>
      <c r="K34" s="16"/>
      <c r="L34" s="16"/>
    </row>
    <row r="35">
      <c r="B35" s="25">
        <v>3</v>
      </c>
      <c r="C35" s="20"/>
      <c r="D35" s="17"/>
      <c r="E35" s="33"/>
      <c r="F35" s="35">
        <f>IF(E35="CRC",'Proyección'!$F$7,1)</f>
        <v>1</v>
      </c>
      <c r="G35" s="22">
        <f>D35/F35</f>
        <v>0</v>
      </c>
      <c r="H35" s="34"/>
      <c r="I35" s="34"/>
      <c r="J35" s="26"/>
      <c r="K35" s="16"/>
      <c r="L35" s="16"/>
    </row>
    <row r="36">
      <c r="B36" s="25">
        <v>4</v>
      </c>
      <c r="C36" s="20"/>
      <c r="D36" s="17"/>
      <c r="E36" s="33"/>
      <c r="F36" s="35">
        <f>IF(E36="CRC",'Proyección'!$F$7,1)</f>
        <v>1</v>
      </c>
      <c r="G36" s="22">
        <f>D36/F36</f>
        <v>0</v>
      </c>
      <c r="H36" s="34"/>
      <c r="I36" s="34"/>
      <c r="J36" s="26"/>
      <c r="K36" s="16"/>
      <c r="L36" s="16"/>
    </row>
    <row r="37">
      <c r="B37" s="25">
        <v>5</v>
      </c>
      <c r="C37" s="20"/>
      <c r="D37" s="17"/>
      <c r="E37" s="33"/>
      <c r="F37" s="35">
        <f>IF(E37="CRC",'Proyección'!$F$7,1)</f>
        <v>1</v>
      </c>
      <c r="G37" s="22">
        <f>D37/F37</f>
        <v>0</v>
      </c>
      <c r="H37" s="34"/>
      <c r="I37" s="34"/>
      <c r="J37" s="26"/>
      <c r="K37" s="16"/>
      <c r="L37" s="16"/>
    </row>
    <row r="38">
      <c r="B38" s="23" t="inlineStr">
        <is>
          <t>Total de gastos extraordinarios (US$)</t>
        </is>
      </c>
      <c r="C38" s="23"/>
      <c r="D38" s="23"/>
      <c r="E38" s="23"/>
      <c r="F38" s="23"/>
      <c r="G38" s="23">
        <f>SUM(G33:G37)</f>
        <v>41000</v>
      </c>
      <c r="H38" s="23"/>
      <c r="I38" s="23"/>
      <c r="J38" s="23"/>
      <c r="K38" s="23"/>
      <c r="L38" s="23"/>
    </row>
    <row r="39" ht="30" customHeight="1">
      <c r="B39" s="29" t="inlineStr">
        <is>
          <t>Las metas pagadas con el portafolio y los retiros adicionales están en la hoja «Retiros del portafolio»; en la proyección van con los gastos extraordinarios (columnas Gastos extraordinarios e Inversiones).</t>
        </is>
      </c>
      <c r="C39" s="29"/>
      <c r="D39" s="29"/>
      <c r="E39" s="29"/>
      <c r="F39" s="29"/>
      <c r="G39" s="29"/>
      <c r="H39" s="29"/>
      <c r="I39" s="29"/>
      <c r="J39" s="29"/>
      <c r="K39" s="29"/>
      <c r="L39" s="29"/>
    </row>
    <row r="41" ht="22" customHeight="1">
      <c r="B41" s="13" t="inlineStr">
        <is>
          <t>Metas financiadas con crédito · cuota anual, desde el año de la meta</t>
        </is>
      </c>
      <c r="C41" s="13"/>
      <c r="D41" s="13"/>
      <c r="E41" s="13"/>
      <c r="F41" s="13"/>
      <c r="G41" s="13"/>
      <c r="H41" s="13"/>
      <c r="I41" s="13"/>
      <c r="J41" s="13"/>
      <c r="K41" s="13"/>
      <c r="L41" s="13"/>
    </row>
    <row r="42" ht="32" customHeight="1">
      <c r="B42" s="21" t="inlineStr">
        <is>
          <t>N.º</t>
        </is>
      </c>
      <c r="C42" s="21" t="inlineStr">
        <is>
          <t>Meta</t>
        </is>
      </c>
      <c r="D42" s="21" t="inlineStr">
        <is>
          <t>Monto declarado</t>
        </is>
      </c>
      <c r="E42" s="21" t="inlineStr">
        <is>
          <t>Moneda</t>
        </is>
      </c>
      <c r="F42" s="21" t="inlineStr">
        <is>
          <t>Tipo de cambio aplicado</t>
        </is>
      </c>
      <c r="G42" s="21" t="inlineStr">
        <is>
          <t>Monto en US$</t>
        </is>
      </c>
      <c r="H42" s="21" t="inlineStr">
        <is>
          <t>Año de la meta</t>
        </is>
      </c>
      <c r="I42" s="21" t="inlineStr">
        <is>
          <t>Plazo (años)</t>
        </is>
      </c>
      <c r="J42" s="21" t="inlineStr">
        <is>
          <t>Tasa anual</t>
        </is>
      </c>
      <c r="K42" s="21" t="inlineStr">
        <is>
          <t>Cuota anual (US$)</t>
        </is>
      </c>
      <c r="L42" s="21"/>
    </row>
    <row r="43">
      <c r="B43" s="25">
        <v>1</v>
      </c>
      <c r="C43" s="20"/>
      <c r="D43" s="17"/>
      <c r="E43" s="33"/>
      <c r="F43" s="35">
        <f>IF(E43="CRC",'Proyección'!$F$7,1)</f>
        <v>1</v>
      </c>
      <c r="G43" s="22">
        <f>D43/F43</f>
        <v>0</v>
      </c>
      <c r="H43" s="34"/>
      <c r="I43" s="34"/>
      <c r="J43" s="18"/>
      <c r="K43" s="22">
        <f>IF(OR(G43=0,N(I43)=0),0,PMT(N(J43),I43,-G43*(1+IF(E43="CRC",N('Proyección'!$F$8),'Proyección'!$F$9))^(H43-'Proyección'!$B$30)))</f>
        <v>0</v>
      </c>
      <c r="L43" s="16"/>
    </row>
    <row r="44">
      <c r="B44" s="25">
        <v>2</v>
      </c>
      <c r="C44" s="20"/>
      <c r="D44" s="17"/>
      <c r="E44" s="33"/>
      <c r="F44" s="35">
        <f>IF(E44="CRC",'Proyección'!$F$7,1)</f>
        <v>1</v>
      </c>
      <c r="G44" s="22">
        <f>D44/F44</f>
        <v>0</v>
      </c>
      <c r="H44" s="34"/>
      <c r="I44" s="34"/>
      <c r="J44" s="18"/>
      <c r="K44" s="22">
        <f>IF(OR(G44=0,N(I44)=0),0,PMT(N(J44),I44,-G44*(1+IF(E44="CRC",N('Proyección'!$F$8),'Proyección'!$F$9))^(H44-'Proyección'!$B$30)))</f>
        <v>0</v>
      </c>
      <c r="L44" s="16"/>
    </row>
    <row r="45">
      <c r="B45" s="25">
        <v>3</v>
      </c>
      <c r="C45" s="20"/>
      <c r="D45" s="17"/>
      <c r="E45" s="33"/>
      <c r="F45" s="35">
        <f>IF(E45="CRC",'Proyección'!$F$7,1)</f>
        <v>1</v>
      </c>
      <c r="G45" s="22">
        <f>D45/F45</f>
        <v>0</v>
      </c>
      <c r="H45" s="34"/>
      <c r="I45" s="34"/>
      <c r="J45" s="18"/>
      <c r="K45" s="22">
        <f>IF(OR(G45=0,N(I45)=0),0,PMT(N(J45),I45,-G45*(1+IF(E45="CRC",N('Proyección'!$F$8),'Proyección'!$F$9))^(H45-'Proyección'!$B$30)))</f>
        <v>0</v>
      </c>
      <c r="L45" s="16"/>
    </row>
    <row r="46">
      <c r="B46" s="23" t="inlineStr">
        <is>
          <t>Total de cuotas anuales de crédito (US$)</t>
        </is>
      </c>
      <c r="C46" s="23"/>
      <c r="D46" s="23"/>
      <c r="E46" s="23"/>
      <c r="F46" s="23"/>
      <c r="G46" s="23"/>
      <c r="H46" s="23"/>
      <c r="I46" s="23"/>
      <c r="J46" s="23"/>
      <c r="K46" s="23">
        <f>SUM(K43:K45)</f>
        <v>0</v>
      </c>
      <c r="L46" s="23"/>
    </row>
    <row r="47" ht="30" customHeight="1">
      <c r="B47" s="29" t="inlineStr">
        <is>
          <t>La cuota se paga cada año desde el año de la meta y durante el plazo del crédito, y se suma a las cuotas de hipoteca y deudas de la hoja Proyección. La tasa y el plazo son insumos: al cambiarlos, la proyección se recalcula.</t>
        </is>
      </c>
      <c r="C47" s="29"/>
      <c r="D47" s="29"/>
      <c r="E47" s="29"/>
      <c r="F47" s="29"/>
      <c r="G47" s="29"/>
      <c r="H47" s="29"/>
      <c r="I47" s="29"/>
      <c r="J47" s="29"/>
      <c r="K47" s="29"/>
      <c r="L47" s="29"/>
    </row>
    <row r="49" ht="22" customHeight="1">
      <c r="B49" s="13" t="inlineStr">
        <is>
          <t>En la proyección · US$ nominales, todo el horizonte</t>
        </is>
      </c>
      <c r="C49" s="13"/>
      <c r="D49" s="13"/>
      <c r="E49" s="13"/>
      <c r="F49" s="13"/>
      <c r="G49" s="13"/>
      <c r="H49" s="13"/>
      <c r="I49" s="13"/>
      <c r="J49" s="13"/>
      <c r="K49" s="13"/>
      <c r="L49" s="13"/>
    </row>
    <row r="50">
      <c r="B50" s="16" t="inlineStr">
        <is>
          <t>Gastos ordinarios</t>
        </is>
      </c>
      <c r="C50" s="16"/>
      <c r="D50" s="16"/>
      <c r="E50" s="16"/>
      <c r="F50" s="16"/>
      <c r="G50" s="22">
        <f>-'Proyección'!$AJ$9</f>
        <v>10458610</v>
      </c>
    </row>
    <row r="51">
      <c r="B51" s="16" t="inlineStr">
        <is>
          <t>Gastos extraordinarios</t>
        </is>
      </c>
      <c r="C51" s="16"/>
      <c r="D51" s="16"/>
      <c r="E51" s="16"/>
      <c r="F51" s="16"/>
      <c r="G51" s="22">
        <f>-'Proyección'!$AJ$10</f>
        <v>1031906</v>
      </c>
    </row>
    <row r="52">
      <c r="B52" s="23" t="inlineStr">
        <is>
          <t>Total de gastos</t>
        </is>
      </c>
      <c r="C52" s="23"/>
      <c r="D52" s="23"/>
      <c r="E52" s="23"/>
      <c r="F52" s="23"/>
      <c r="G52" s="23">
        <f>-'Proyección'!$AJ$9-'Proyección'!$AJ$10</f>
        <v>11490516</v>
      </c>
    </row>
  </sheetData>
  <mergeCells count="20">
    <mergeCell ref="B2:L2"/>
    <mergeCell ref="B4:L4"/>
    <mergeCell ref="B9:F9"/>
    <mergeCell ref="B10:F10"/>
    <mergeCell ref="B12:L12"/>
    <mergeCell ref="B18:F18"/>
    <mergeCell ref="B20:L20"/>
    <mergeCell ref="B27:F27"/>
    <mergeCell ref="B28:F28"/>
    <mergeCell ref="B29:L29"/>
    <mergeCell ref="B31:L31"/>
    <mergeCell ref="B38:F38"/>
    <mergeCell ref="B39:L39"/>
    <mergeCell ref="B41:L41"/>
    <mergeCell ref="B46:J46"/>
    <mergeCell ref="B47:L47"/>
    <mergeCell ref="B49:L49"/>
    <mergeCell ref="B50:F50"/>
    <mergeCell ref="B51:F51"/>
    <mergeCell ref="B52:F52"/>
  </mergeCells>
  <pageMargins left="0.5" right="0.5" top="0.75" bottom="0.75" header="0.3" footer="0.3"/>
</worksheet>
</file>

<file path=xl/worksheets/sheet7.xml><?xml version="1.0" encoding="utf-8"?>
<worksheet xmlns="http://schemas.openxmlformats.org/spreadsheetml/2006/main" xmlns:r="http://schemas.openxmlformats.org/officeDocument/2006/relationships">
  <sheetViews>
    <sheetView workbookViewId="0" showGridLines="0" zoomScale="90"/>
  </sheetViews>
  <cols>
    <col width="2" customWidth="1" min="1" max="1"/>
    <col width="6" customWidth="1" min="2" max="2"/>
    <col width="42" customWidth="1" min="3" max="3"/>
    <col width="17" customWidth="1" min="4" max="4"/>
    <col width="10" customWidth="1" min="5" max="5"/>
    <col width="13" customWidth="1" min="6" max="6"/>
    <col width="17" customWidth="1" min="7" max="7"/>
    <col width="14" customWidth="1" min="8" max="8"/>
    <col width="18" customWidth="1" min="9" max="9"/>
    <col width="40" customWidth="1" min="10" max="10"/>
  </cols>
  <sheetData>
    <row r="1" ht="24" customHeight="1">
      <c r="B1" s="11" t="inlineStr">
        <is>
          <t>Inversiones · Cliente de ejemplo</t>
        </is>
      </c>
    </row>
    <row r="2" ht="46" customHeight="1">
      <c r="B2" s="29" t="inlineStr">
        <is>
          <t>El portafolio de inversión con el que inicia la proyección, como lo declaró el cliente (monto y moneda), y lo que se invierte en él durante la proyección. Abajo, las demás inversiones del patrimonio, solo como información: no entran a la proyección salvo cuando el cliente prevé venderlas (hoja «Desinversiones»).</t>
        </is>
      </c>
      <c r="C2" s="29"/>
      <c r="D2" s="29"/>
      <c r="E2" s="29"/>
      <c r="F2" s="29"/>
      <c r="G2" s="29"/>
      <c r="H2" s="29"/>
      <c r="I2" s="29"/>
      <c r="J2" s="29"/>
    </row>
    <row r="4" ht="22" customHeight="1">
      <c r="B4" s="13" t="inlineStr">
        <is>
          <t>Portafolio de inversión · en valor de hoy</t>
        </is>
      </c>
      <c r="C4" s="13"/>
      <c r="D4" s="13"/>
      <c r="E4" s="13"/>
      <c r="F4" s="13"/>
      <c r="G4" s="13"/>
      <c r="H4" s="13"/>
      <c r="I4" s="13"/>
      <c r="J4" s="13"/>
    </row>
    <row r="5" ht="32" customHeight="1">
      <c r="B5" s="21" t="inlineStr">
        <is>
          <t>N.º</t>
        </is>
      </c>
      <c r="C5" s="21" t="inlineStr">
        <is>
          <t>Concepto</t>
        </is>
      </c>
      <c r="D5" s="21" t="inlineStr">
        <is>
          <t>Monto declarado</t>
        </is>
      </c>
      <c r="E5" s="21" t="inlineStr">
        <is>
          <t>Moneda</t>
        </is>
      </c>
      <c r="F5" s="21" t="inlineStr">
        <is>
          <t>Tipo de cambio aplicado</t>
        </is>
      </c>
      <c r="G5" s="21" t="inlineStr">
        <is>
          <t>Monto en US$</t>
        </is>
      </c>
      <c r="H5" s="21" t="inlineStr">
        <is>
          <t>Nota</t>
        </is>
      </c>
      <c r="I5" s="21"/>
      <c r="J5" s="21"/>
    </row>
    <row r="6">
      <c r="B6" s="25">
        <v>1</v>
      </c>
      <c r="C6" s="16" t="inlineStr">
        <is>
          <t>Capital inicial del portafolio</t>
        </is>
      </c>
      <c r="D6" s="17">
        <v>250000</v>
      </c>
      <c r="E6" s="33" t="inlineStr">
        <is>
          <t>USD</t>
        </is>
      </c>
      <c r="F6" s="35">
        <f>IF(E6="CRC",'Proyección'!$F$7,1)</f>
        <v>1</v>
      </c>
      <c r="G6" s="22">
        <f>D6/F6</f>
        <v>250000</v>
      </c>
      <c r="H6" s="26" t="inlineStr">
        <is>
          <t>Inversiones líquidas que administra la firma</t>
        </is>
      </c>
      <c r="I6" s="16"/>
      <c r="J6" s="16"/>
    </row>
    <row r="7">
      <c r="B7" s="16" t="inlineStr">
        <is>
          <t>Rendimiento esperado del portafolio</t>
        </is>
      </c>
      <c r="C7" s="16"/>
      <c r="D7" s="16"/>
      <c r="E7" s="16"/>
      <c r="F7" s="16"/>
      <c r="G7" s="24">
        <f>'Proyección'!$F$13</f>
        <v>0.0585725</v>
      </c>
      <c r="H7" s="26" t="inlineStr">
        <is>
          <t>Según el perfil de riesgo; se ajusta en la hoja Proyección (F13)</t>
        </is>
      </c>
    </row>
    <row r="9" ht="22" customHeight="1">
      <c r="B9" s="13" t="inlineStr">
        <is>
          <t>En la proyección · US$ nominales, todo el horizonte</t>
        </is>
      </c>
      <c r="C9" s="13"/>
      <c r="D9" s="13"/>
      <c r="E9" s="13"/>
      <c r="F9" s="13"/>
      <c r="G9" s="13"/>
      <c r="H9" s="13"/>
      <c r="I9" s="13"/>
      <c r="J9" s="13"/>
    </row>
    <row r="10">
      <c r="B10" s="16" t="inlineStr">
        <is>
          <t>Capital inicial</t>
        </is>
      </c>
      <c r="C10" s="16"/>
      <c r="D10" s="16"/>
      <c r="E10" s="16"/>
      <c r="F10" s="16"/>
      <c r="G10" s="22">
        <f>'Proyección'!$AO$7</f>
        <v>250000</v>
      </c>
    </row>
    <row r="11">
      <c r="B11" s="16" t="inlineStr">
        <is>
          <t>Rendimientos del portafolio</t>
        </is>
      </c>
      <c r="C11" s="16"/>
      <c r="D11" s="16"/>
      <c r="E11" s="16"/>
      <c r="F11" s="16"/>
      <c r="G11" s="22">
        <f>'Proyección'!$AO$10</f>
        <v>1310831</v>
      </c>
    </row>
    <row r="13" ht="22" customHeight="1">
      <c r="B13" s="13" t="inlineStr">
        <is>
          <t>Otras inversiones del patrimonio · informativo, en valor de hoy</t>
        </is>
      </c>
      <c r="C13" s="13"/>
      <c r="D13" s="13"/>
      <c r="E13" s="13"/>
      <c r="F13" s="13"/>
      <c r="G13" s="13"/>
      <c r="H13" s="13"/>
      <c r="I13" s="13"/>
      <c r="J13" s="13"/>
    </row>
    <row r="14" ht="32" customHeight="1">
      <c r="B14" s="21" t="inlineStr">
        <is>
          <t>N.º</t>
        </is>
      </c>
      <c r="C14" s="21" t="inlineStr">
        <is>
          <t>Inversión</t>
        </is>
      </c>
      <c r="D14" s="21" t="inlineStr">
        <is>
          <t>Valor declarado</t>
        </is>
      </c>
      <c r="E14" s="21" t="inlineStr">
        <is>
          <t>Moneda</t>
        </is>
      </c>
      <c r="F14" s="21" t="inlineStr">
        <is>
          <t>Tipo de cambio aplicado</t>
        </is>
      </c>
      <c r="G14" s="21" t="inlineStr">
        <is>
          <t>Monto en US$</t>
        </is>
      </c>
      <c r="H14" s="21" t="inlineStr">
        <is>
          <t>Participación</t>
        </is>
      </c>
      <c r="I14" s="21" t="inlineStr">
        <is>
          <t>Valor según la participación (US$)</t>
        </is>
      </c>
      <c r="J14" s="21" t="inlineStr">
        <is>
          <t>Nota</t>
        </is>
      </c>
    </row>
    <row r="15">
      <c r="B15" s="25">
        <v>1</v>
      </c>
      <c r="C15" s="20" t="inlineStr">
        <is>
          <t>Inmueble: Apartamento en Santa Ana</t>
        </is>
      </c>
      <c r="D15" s="17">
        <v>180000</v>
      </c>
      <c r="E15" s="33" t="inlineStr">
        <is>
          <t>USD</t>
        </is>
      </c>
      <c r="F15" s="35">
        <f>IF(E15="CRC",'Proyección'!$F$7,1)</f>
        <v>1</v>
      </c>
      <c r="G15" s="22">
        <f>D15/F15</f>
        <v>180000</v>
      </c>
      <c r="H15" s="18"/>
      <c r="I15" s="22">
        <f>G15*IF(H15="",1,H15)</f>
        <v>180000</v>
      </c>
      <c r="J15" s="26"/>
    </row>
    <row r="16">
      <c r="B16" s="25">
        <v>2</v>
      </c>
      <c r="C16" s="20" t="inlineStr">
        <is>
          <t>Empresa: EMPRESA</t>
        </is>
      </c>
      <c r="D16" s="17">
        <v>900000</v>
      </c>
      <c r="E16" s="33" t="inlineStr">
        <is>
          <t>USD</t>
        </is>
      </c>
      <c r="F16" s="35">
        <f>IF(E16="CRC",'Proyección'!$F$7,1)</f>
        <v>1</v>
      </c>
      <c r="G16" s="22">
        <f>D16/F16</f>
        <v>900000</v>
      </c>
      <c r="H16" s="18">
        <v>1</v>
      </c>
      <c r="I16" s="22">
        <f>G16*IF(H16="",1,H16)</f>
        <v>900000</v>
      </c>
      <c r="J16" s="26"/>
    </row>
    <row r="17">
      <c r="B17" s="25">
        <v>3</v>
      </c>
      <c r="C17" s="20" t="inlineStr">
        <is>
          <t>Capital privado</t>
        </is>
      </c>
      <c r="D17" s="17">
        <v>800000</v>
      </c>
      <c r="E17" s="33" t="inlineStr">
        <is>
          <t>USD</t>
        </is>
      </c>
      <c r="F17" s="35">
        <f>IF(E17="CRC",'Proyección'!$F$7,1)</f>
        <v>1</v>
      </c>
      <c r="G17" s="22">
        <f>D17/F17</f>
        <v>800000</v>
      </c>
      <c r="H17" s="18">
        <v>0.15</v>
      </c>
      <c r="I17" s="22">
        <f>G17*IF(H17="",1,H17)</f>
        <v>120000</v>
      </c>
      <c r="J17" s="26"/>
    </row>
    <row r="18">
      <c r="B18" s="25">
        <v>4</v>
      </c>
      <c r="C18" s="20" t="inlineStr">
        <is>
          <t>ROP (saldo)</t>
        </is>
      </c>
      <c r="D18" s="17">
        <v>12000000</v>
      </c>
      <c r="E18" s="33" t="inlineStr">
        <is>
          <t>CRC</t>
        </is>
      </c>
      <c r="F18" s="35">
        <f>IF(E18="CRC",'Proyección'!$F$7,1)</f>
        <v>450</v>
      </c>
      <c r="G18" s="22">
        <f>D18/F18</f>
        <v>26666.67</v>
      </c>
      <c r="H18" s="18"/>
      <c r="I18" s="22">
        <f>G18*IF(H18="",1,H18)</f>
        <v>26666.67</v>
      </c>
      <c r="J18" s="26" t="inlineStr">
        <is>
          <t>Su evolución está en la hoja «Pensiones»</t>
        </is>
      </c>
    </row>
    <row r="19">
      <c r="B19" s="25">
        <v>5</v>
      </c>
      <c r="C19" s="20" t="inlineStr">
        <is>
          <t>FCL (saldo)</t>
        </is>
      </c>
      <c r="D19" s="17">
        <v>12000000</v>
      </c>
      <c r="E19" s="33" t="inlineStr">
        <is>
          <t>CRC</t>
        </is>
      </c>
      <c r="F19" s="35">
        <f>IF(E19="CRC",'Proyección'!$F$7,1)</f>
        <v>450</v>
      </c>
      <c r="G19" s="22">
        <f>D19/F19</f>
        <v>26666.67</v>
      </c>
      <c r="H19" s="18"/>
      <c r="I19" s="22">
        <f>G19*IF(H19="",1,H19)</f>
        <v>26666.67</v>
      </c>
      <c r="J19" s="26" t="inlineStr">
        <is>
          <t>Su evolución está en la hoja «Pensiones»</t>
        </is>
      </c>
    </row>
    <row r="20">
      <c r="B20" s="25">
        <v>6</v>
      </c>
      <c r="C20" s="20" t="inlineStr">
        <is>
          <t>Pensión voluntaria (saldo)</t>
        </is>
      </c>
      <c r="D20" s="17">
        <v>12000000</v>
      </c>
      <c r="E20" s="33" t="inlineStr">
        <is>
          <t>CRC</t>
        </is>
      </c>
      <c r="F20" s="35">
        <f>IF(E20="CRC",'Proyección'!$F$7,1)</f>
        <v>450</v>
      </c>
      <c r="G20" s="22">
        <f>D20/F20</f>
        <v>26666.67</v>
      </c>
      <c r="H20" s="18"/>
      <c r="I20" s="22">
        <f>G20*IF(H20="",1,H20)</f>
        <v>26666.67</v>
      </c>
      <c r="J20" s="26" t="inlineStr">
        <is>
          <t>Su evolución está en la hoja «Pensiones»</t>
        </is>
      </c>
    </row>
    <row r="21">
      <c r="B21" s="25">
        <v>7</v>
      </c>
      <c r="C21" s="20"/>
      <c r="D21" s="17"/>
      <c r="E21" s="33"/>
      <c r="F21" s="35">
        <f>IF(E21="CRC",'Proyección'!$F$7,1)</f>
        <v>1</v>
      </c>
      <c r="G21" s="22">
        <f>D21/F21</f>
        <v>0</v>
      </c>
      <c r="H21" s="18"/>
      <c r="I21" s="22">
        <f>G21*IF(H21="",1,H21)</f>
        <v>0</v>
      </c>
      <c r="J21" s="26"/>
    </row>
    <row r="22">
      <c r="B22" s="25">
        <v>8</v>
      </c>
      <c r="C22" s="20"/>
      <c r="D22" s="17"/>
      <c r="E22" s="33"/>
      <c r="F22" s="35">
        <f>IF(E22="CRC",'Proyección'!$F$7,1)</f>
        <v>1</v>
      </c>
      <c r="G22" s="22">
        <f>D22/F22</f>
        <v>0</v>
      </c>
      <c r="H22" s="18"/>
      <c r="I22" s="22">
        <f>G22*IF(H22="",1,H22)</f>
        <v>0</v>
      </c>
      <c r="J22" s="26"/>
    </row>
    <row r="23">
      <c r="B23" s="25">
        <v>9</v>
      </c>
      <c r="C23" s="20"/>
      <c r="D23" s="17"/>
      <c r="E23" s="33"/>
      <c r="F23" s="35">
        <f>IF(E23="CRC",'Proyección'!$F$7,1)</f>
        <v>1</v>
      </c>
      <c r="G23" s="22">
        <f>D23/F23</f>
        <v>0</v>
      </c>
      <c r="H23" s="18"/>
      <c r="I23" s="22">
        <f>G23*IF(H23="",1,H23)</f>
        <v>0</v>
      </c>
      <c r="J23" s="26"/>
    </row>
    <row r="24">
      <c r="B24" s="23" t="inlineStr">
        <is>
          <t>Total de otras inversiones (US$)</t>
        </is>
      </c>
      <c r="C24" s="23"/>
      <c r="D24" s="23"/>
      <c r="E24" s="23"/>
      <c r="F24" s="23"/>
      <c r="G24" s="23"/>
      <c r="H24" s="23"/>
      <c r="I24" s="23">
        <f>SUM(I15:I23)</f>
        <v>1280000.01</v>
      </c>
      <c r="J24" s="23"/>
    </row>
  </sheetData>
  <mergeCells count="10">
    <mergeCell ref="B2:J2"/>
    <mergeCell ref="B4:J4"/>
    <mergeCell ref="H6:J6"/>
    <mergeCell ref="B7:F7"/>
    <mergeCell ref="H7:J7"/>
    <mergeCell ref="B9:J9"/>
    <mergeCell ref="B10:F10"/>
    <mergeCell ref="B11:F11"/>
    <mergeCell ref="B13:J13"/>
    <mergeCell ref="B24:H24"/>
  </mergeCells>
  <pageMargins left="0.5" right="0.5" top="0.75" bottom="0.75" header="0.3" footer="0.3"/>
</worksheet>
</file>

<file path=xl/worksheets/sheet8.xml><?xml version="1.0" encoding="utf-8"?>
<worksheet xmlns="http://schemas.openxmlformats.org/spreadsheetml/2006/main" xmlns:r="http://schemas.openxmlformats.org/officeDocument/2006/relationships">
  <sheetViews>
    <sheetView workbookViewId="0" showGridLines="0" zoomScale="90"/>
  </sheetViews>
  <cols>
    <col width="2" customWidth="1" min="1" max="1"/>
    <col width="6" customWidth="1" min="2" max="2"/>
    <col width="42" customWidth="1" min="3" max="3"/>
    <col width="17" customWidth="1" min="4" max="4"/>
    <col width="10" customWidth="1" min="5" max="5"/>
    <col width="13" customWidth="1" min="6" max="6"/>
    <col width="17" customWidth="1" min="7" max="7"/>
    <col width="14" customWidth="1" min="8" max="8"/>
    <col width="14" customWidth="1" min="9" max="9"/>
    <col width="30" customWidth="1" min="10" max="10"/>
    <col width="12" customWidth="1" min="11" max="11"/>
    <col width="17" customWidth="1" min="12" max="12"/>
  </cols>
  <sheetData>
    <row r="1" ht="24" customHeight="1">
      <c r="B1" s="11" t="inlineStr">
        <is>
          <t>Desinversiones · Cliente de ejemplo</t>
        </is>
      </c>
    </row>
    <row r="2" ht="46" customHeight="1">
      <c r="B2" s="29" t="inlineStr">
        <is>
          <t>Las ventas de activos que entran al portafolio, como las declaró el cliente: monto y moneda, con el tipo de cambio aplicado (celda F7 de la hoja Proyección para los colones, 1 para los dólares) y el monto en US$. Cada monto se indexa con la inflación de su moneda hasta su año. Su total es el flujo neto de inversiones de la proyección. Las celdas en color crema son insumos.</t>
        </is>
      </c>
      <c r="C2" s="29"/>
      <c r="D2" s="29"/>
      <c r="E2" s="29"/>
      <c r="F2" s="29"/>
      <c r="G2" s="29"/>
      <c r="H2" s="29"/>
      <c r="I2" s="29"/>
      <c r="J2" s="29"/>
      <c r="K2" s="29"/>
      <c r="L2" s="29"/>
    </row>
    <row r="4" ht="22" customHeight="1">
      <c r="B4" s="13" t="inlineStr">
        <is>
          <t>Venta de activos · monto que entra al portafolio, en valor de hoy</t>
        </is>
      </c>
      <c r="C4" s="13"/>
      <c r="D4" s="13"/>
      <c r="E4" s="13"/>
      <c r="F4" s="13"/>
      <c r="G4" s="13"/>
      <c r="H4" s="13"/>
      <c r="I4" s="13"/>
      <c r="J4" s="13"/>
      <c r="K4" s="13"/>
      <c r="L4" s="13"/>
    </row>
    <row r="5" ht="32" customHeight="1">
      <c r="B5" s="21" t="inlineStr">
        <is>
          <t>N.º</t>
        </is>
      </c>
      <c r="C5" s="21" t="inlineStr">
        <is>
          <t>Activo</t>
        </is>
      </c>
      <c r="D5" s="21" t="inlineStr">
        <is>
          <t>Monto que entra (declarado)</t>
        </is>
      </c>
      <c r="E5" s="21" t="inlineStr">
        <is>
          <t>Moneda</t>
        </is>
      </c>
      <c r="F5" s="21" t="inlineStr">
        <is>
          <t>Tipo de cambio aplicado</t>
        </is>
      </c>
      <c r="G5" s="21" t="inlineStr">
        <is>
          <t>Monto en US$</t>
        </is>
      </c>
      <c r="H5" s="21" t="inlineStr">
        <is>
          <t>Año de la venta</t>
        </is>
      </c>
      <c r="I5" s="21" t="inlineStr">
        <is>
          <t>Tipo (1 inmueble · 2 empresa · 3 otro)</t>
        </is>
      </c>
      <c r="J5" s="21" t="inlineStr">
        <is>
          <t>Nota</t>
        </is>
      </c>
      <c r="K5" s="21"/>
      <c r="L5" s="21"/>
    </row>
    <row r="6">
      <c r="B6" s="25">
        <v>1</v>
      </c>
      <c r="C6" s="20" t="inlineStr">
        <is>
          <t>Venta del inmueble 1</t>
        </is>
      </c>
      <c r="D6" s="17">
        <v>180000</v>
      </c>
      <c r="E6" s="33" t="inlineStr">
        <is>
          <t>USD</t>
        </is>
      </c>
      <c r="F6" s="35">
        <f>IF(E6="CRC",'Proyección'!$F$7,1)</f>
        <v>1</v>
      </c>
      <c r="G6" s="22">
        <f>D6/F6</f>
        <v>180000</v>
      </c>
      <c r="H6" s="34">
        <v>2031</v>
      </c>
      <c r="I6" s="34">
        <v>1</v>
      </c>
      <c r="J6" s="26"/>
      <c r="K6" s="16"/>
      <c r="L6" s="16"/>
    </row>
    <row r="7">
      <c r="B7" s="25">
        <v>2</v>
      </c>
      <c r="C7" s="20" t="inlineStr">
        <is>
          <t>Venta de un lote</t>
        </is>
      </c>
      <c r="D7" s="17">
        <v>150000</v>
      </c>
      <c r="E7" s="33" t="inlineStr">
        <is>
          <t>USD</t>
        </is>
      </c>
      <c r="F7" s="35">
        <f>IF(E7="CRC",'Proyección'!$F$7,1)</f>
        <v>1</v>
      </c>
      <c r="G7" s="22">
        <f>D7/F7</f>
        <v>150000</v>
      </c>
      <c r="H7" s="34">
        <v>2033</v>
      </c>
      <c r="I7" s="34">
        <v>3</v>
      </c>
      <c r="J7" s="26"/>
      <c r="K7" s="16"/>
      <c r="L7" s="16"/>
    </row>
    <row r="8">
      <c r="B8" s="25">
        <v>3</v>
      </c>
      <c r="C8" s="20"/>
      <c r="D8" s="17"/>
      <c r="E8" s="33"/>
      <c r="F8" s="35">
        <f>IF(E8="CRC",'Proyección'!$F$7,1)</f>
        <v>1</v>
      </c>
      <c r="G8" s="22">
        <f>D8/F8</f>
        <v>0</v>
      </c>
      <c r="H8" s="34"/>
      <c r="I8" s="34"/>
      <c r="J8" s="26"/>
      <c r="K8" s="16"/>
      <c r="L8" s="16"/>
    </row>
    <row r="9">
      <c r="B9" s="25">
        <v>4</v>
      </c>
      <c r="C9" s="20"/>
      <c r="D9" s="17"/>
      <c r="E9" s="33"/>
      <c r="F9" s="35">
        <f>IF(E9="CRC",'Proyección'!$F$7,1)</f>
        <v>1</v>
      </c>
      <c r="G9" s="22">
        <f>D9/F9</f>
        <v>0</v>
      </c>
      <c r="H9" s="34"/>
      <c r="I9" s="34"/>
      <c r="J9" s="26"/>
      <c r="K9" s="16"/>
      <c r="L9" s="16"/>
    </row>
    <row r="10">
      <c r="B10" s="25">
        <v>5</v>
      </c>
      <c r="C10" s="20"/>
      <c r="D10" s="17"/>
      <c r="E10" s="33"/>
      <c r="F10" s="35">
        <f>IF(E10="CRC",'Proyección'!$F$7,1)</f>
        <v>1</v>
      </c>
      <c r="G10" s="22">
        <f>D10/F10</f>
        <v>0</v>
      </c>
      <c r="H10" s="34"/>
      <c r="I10" s="34"/>
      <c r="J10" s="26"/>
      <c r="K10" s="16"/>
      <c r="L10" s="16"/>
    </row>
    <row r="11">
      <c r="B11" s="16" t="inlineStr">
        <is>
          <t>Total de venta de inmuebles (US$)</t>
        </is>
      </c>
      <c r="C11" s="16"/>
      <c r="D11" s="16"/>
      <c r="E11" s="16"/>
      <c r="F11" s="16"/>
      <c r="G11" s="22">
        <f>SUMIF(I6:I10,1,G6:G10)</f>
        <v>180000</v>
      </c>
      <c r="H11" s="16"/>
      <c r="I11" s="16"/>
      <c r="J11" s="16"/>
      <c r="K11" s="16"/>
      <c r="L11" s="16"/>
    </row>
    <row r="12">
      <c r="B12" s="16" t="inlineStr">
        <is>
          <t>Total de venta de la empresa (US$)</t>
        </is>
      </c>
      <c r="C12" s="16"/>
      <c r="D12" s="16"/>
      <c r="E12" s="16"/>
      <c r="F12" s="16"/>
      <c r="G12" s="22">
        <f>SUMIF(I6:I10,2,G6:G10)</f>
        <v>0</v>
      </c>
      <c r="H12" s="16"/>
      <c r="I12" s="16"/>
      <c r="J12" s="16"/>
      <c r="K12" s="16"/>
      <c r="L12" s="16"/>
    </row>
    <row r="13">
      <c r="B13" s="16" t="inlineStr">
        <is>
          <t>Total de venta de otros activos (US$)</t>
        </is>
      </c>
      <c r="C13" s="16"/>
      <c r="D13" s="16"/>
      <c r="E13" s="16"/>
      <c r="F13" s="16"/>
      <c r="G13" s="22">
        <f>SUMIF(I6:I10,3,G6:G10)</f>
        <v>150000</v>
      </c>
      <c r="H13" s="16"/>
      <c r="I13" s="16"/>
      <c r="J13" s="16"/>
      <c r="K13" s="16"/>
      <c r="L13" s="16"/>
    </row>
    <row r="14">
      <c r="B14" s="23" t="inlineStr">
        <is>
          <t>Total de desinversiones (US$)</t>
        </is>
      </c>
      <c r="C14" s="23"/>
      <c r="D14" s="23"/>
      <c r="E14" s="23"/>
      <c r="F14" s="23"/>
      <c r="G14" s="23">
        <f>SUM(G6:G10)</f>
        <v>330000</v>
      </c>
      <c r="H14" s="23"/>
      <c r="I14" s="23"/>
      <c r="J14" s="23"/>
      <c r="K14" s="23"/>
      <c r="L14" s="23"/>
    </row>
    <row r="16" ht="22" customHeight="1">
      <c r="B16" s="13" t="inlineStr">
        <is>
          <t>En la proyección · US$ nominales, todo el horizonte</t>
        </is>
      </c>
      <c r="C16" s="13"/>
      <c r="D16" s="13"/>
      <c r="E16" s="13"/>
      <c r="F16" s="13"/>
      <c r="G16" s="13"/>
      <c r="H16" s="13"/>
      <c r="I16" s="13"/>
      <c r="J16" s="13"/>
      <c r="K16" s="13"/>
      <c r="L16" s="13"/>
    </row>
    <row r="17">
      <c r="B17" s="16" t="inlineStr">
        <is>
          <t>Flujo neto de inversiones (desinversiones)</t>
        </is>
      </c>
      <c r="C17" s="16"/>
      <c r="D17" s="16"/>
      <c r="E17" s="16"/>
      <c r="F17" s="16"/>
      <c r="G17" s="22">
        <f>'Proyección'!$AO$9</f>
        <v>414012</v>
      </c>
    </row>
  </sheetData>
  <mergeCells count="8">
    <mergeCell ref="B2:L2"/>
    <mergeCell ref="B4:L4"/>
    <mergeCell ref="B11:F11"/>
    <mergeCell ref="B12:F12"/>
    <mergeCell ref="B13:F13"/>
    <mergeCell ref="B14:F14"/>
    <mergeCell ref="B16:L16"/>
    <mergeCell ref="B17:F17"/>
  </mergeCells>
  <pageMargins left="0.5" right="0.5" top="0.75" bottom="0.75" header="0.3" footer="0.3"/>
</worksheet>
</file>

<file path=xl/worksheets/sheet9.xml><?xml version="1.0" encoding="utf-8"?>
<worksheet xmlns="http://schemas.openxmlformats.org/spreadsheetml/2006/main" xmlns:r="http://schemas.openxmlformats.org/officeDocument/2006/relationships">
  <sheetViews>
    <sheetView workbookViewId="0" showGridLines="0" zoomScale="90"/>
  </sheetViews>
  <cols>
    <col width="2" customWidth="1" min="1" max="1"/>
    <col width="6" customWidth="1" min="2" max="2"/>
    <col width="42" customWidth="1" min="3" max="3"/>
    <col width="17" customWidth="1" min="4" max="4"/>
    <col width="10" customWidth="1" min="5" max="5"/>
    <col width="13" customWidth="1" min="6" max="6"/>
    <col width="17" customWidth="1" min="7" max="7"/>
    <col width="14" customWidth="1" min="8" max="8"/>
    <col width="14" customWidth="1" min="9" max="9"/>
    <col width="30" customWidth="1" min="10" max="10"/>
  </cols>
  <sheetData>
    <row r="1" ht="24" customHeight="1">
      <c r="B1" s="11" t="inlineStr">
        <is>
          <t>Retiros del portafolio · Cliente de ejemplo</t>
        </is>
      </c>
    </row>
    <row r="2" ht="46" customHeight="1">
      <c r="B2" s="29" t="inlineStr">
        <is>
          <t>Las salidas de dinero del portafolio que declaró el cliente: las metas que paga con el portafolio y los retiros adicionales, cada uno con su monto y moneda, el tipo de cambio aplicado (celda F7 de la hoja Proyección para los colones, 1 para los dólares) y el monto en US$. Cada monto se indexa con la inflación de su moneda hasta su año. En la proyección, las metas van en la columna Inversiones y los retiros adicionales en la de Gastos extraordinarios. Las celdas en color crema son insumos.</t>
        </is>
      </c>
      <c r="C2" s="29"/>
      <c r="D2" s="29"/>
      <c r="E2" s="29"/>
      <c r="F2" s="29"/>
      <c r="G2" s="29"/>
      <c r="H2" s="29"/>
      <c r="I2" s="29"/>
      <c r="J2" s="29"/>
    </row>
    <row r="4" ht="22" customHeight="1">
      <c r="B4" s="13" t="inlineStr">
        <is>
          <t>Metas pagadas con el portafolio · en valor de hoy</t>
        </is>
      </c>
      <c r="C4" s="13"/>
      <c r="D4" s="13"/>
      <c r="E4" s="13"/>
      <c r="F4" s="13"/>
      <c r="G4" s="13"/>
      <c r="H4" s="13"/>
      <c r="I4" s="13"/>
      <c r="J4" s="13"/>
    </row>
    <row r="5" ht="32" customHeight="1">
      <c r="B5" s="21" t="inlineStr">
        <is>
          <t>N.º</t>
        </is>
      </c>
      <c r="C5" s="21" t="inlineStr">
        <is>
          <t>Meta</t>
        </is>
      </c>
      <c r="D5" s="21" t="inlineStr">
        <is>
          <t>Monto declarado</t>
        </is>
      </c>
      <c r="E5" s="21" t="inlineStr">
        <is>
          <t>Moneda</t>
        </is>
      </c>
      <c r="F5" s="21" t="inlineStr">
        <is>
          <t>Tipo de cambio aplicado</t>
        </is>
      </c>
      <c r="G5" s="21" t="inlineStr">
        <is>
          <t>Monto en US$</t>
        </is>
      </c>
      <c r="H5" s="21" t="inlineStr">
        <is>
          <t>Año</t>
        </is>
      </c>
      <c r="I5" s="21"/>
      <c r="J5" s="21" t="inlineStr">
        <is>
          <t>Prioridad</t>
        </is>
      </c>
    </row>
    <row r="6">
      <c r="B6" s="25">
        <v>1</v>
      </c>
      <c r="C6" s="20" t="inlineStr">
        <is>
          <t>Vivienda o propiedad</t>
        </is>
      </c>
      <c r="D6" s="17">
        <v>40000</v>
      </c>
      <c r="E6" s="33" t="inlineStr">
        <is>
          <t>USD</t>
        </is>
      </c>
      <c r="F6" s="35">
        <f>IF(E6="CRC",'Proyección'!$F$7,1)</f>
        <v>1</v>
      </c>
      <c r="G6" s="22">
        <f>D6/F6</f>
        <v>40000</v>
      </c>
      <c r="H6" s="34">
        <v>2031</v>
      </c>
      <c r="I6" s="16"/>
      <c r="J6" s="26" t="inlineStr">
        <is>
          <t>Deseable</t>
        </is>
      </c>
    </row>
    <row r="7">
      <c r="B7" s="25">
        <v>2</v>
      </c>
      <c r="C7" s="20"/>
      <c r="D7" s="17"/>
      <c r="E7" s="33"/>
      <c r="F7" s="35">
        <f>IF(E7="CRC",'Proyección'!$F$7,1)</f>
        <v>1</v>
      </c>
      <c r="G7" s="22">
        <f>D7/F7</f>
        <v>0</v>
      </c>
      <c r="H7" s="34"/>
      <c r="I7" s="16"/>
      <c r="J7" s="26"/>
    </row>
    <row r="8">
      <c r="B8" s="25">
        <v>3</v>
      </c>
      <c r="C8" s="20"/>
      <c r="D8" s="17"/>
      <c r="E8" s="33"/>
      <c r="F8" s="35">
        <f>IF(E8="CRC",'Proyección'!$F$7,1)</f>
        <v>1</v>
      </c>
      <c r="G8" s="22">
        <f>D8/F8</f>
        <v>0</v>
      </c>
      <c r="H8" s="34"/>
      <c r="I8" s="16"/>
      <c r="J8" s="26"/>
    </row>
    <row r="9">
      <c r="B9" s="25">
        <v>4</v>
      </c>
      <c r="C9" s="20"/>
      <c r="D9" s="17"/>
      <c r="E9" s="33"/>
      <c r="F9" s="35">
        <f>IF(E9="CRC",'Proyección'!$F$7,1)</f>
        <v>1</v>
      </c>
      <c r="G9" s="22">
        <f>D9/F9</f>
        <v>0</v>
      </c>
      <c r="H9" s="34"/>
      <c r="I9" s="16"/>
      <c r="J9" s="26"/>
    </row>
    <row r="10">
      <c r="B10" s="23" t="inlineStr">
        <is>
          <t>Total de metas pagadas con el portafolio (US$)</t>
        </is>
      </c>
      <c r="C10" s="23"/>
      <c r="D10" s="23"/>
      <c r="E10" s="23"/>
      <c r="F10" s="23"/>
      <c r="G10" s="23">
        <f>SUM(G6:G9)</f>
        <v>40000</v>
      </c>
      <c r="H10" s="23"/>
      <c r="I10" s="23"/>
      <c r="J10" s="23"/>
    </row>
    <row r="11" ht="30" customHeight="1">
      <c r="B11" s="29" t="inlineStr">
        <is>
          <t>Las metas financiadas con crédito no salen del portafolio: su cuota anual está en la hoja «Gastos».</t>
        </is>
      </c>
      <c r="C11" s="29"/>
      <c r="D11" s="29"/>
      <c r="E11" s="29"/>
      <c r="F11" s="29"/>
      <c r="G11" s="29"/>
      <c r="H11" s="29"/>
      <c r="I11" s="29"/>
      <c r="J11" s="29"/>
    </row>
    <row r="13" ht="22" customHeight="1">
      <c r="B13" s="13" t="inlineStr">
        <is>
          <t>Retiros adicionales del portafolio · en valor de hoy</t>
        </is>
      </c>
      <c r="C13" s="13"/>
      <c r="D13" s="13"/>
      <c r="E13" s="13"/>
      <c r="F13" s="13"/>
      <c r="G13" s="13"/>
      <c r="H13" s="13"/>
      <c r="I13" s="13"/>
      <c r="J13" s="13"/>
    </row>
    <row r="14" ht="32" customHeight="1">
      <c r="B14" s="21" t="inlineStr">
        <is>
          <t>N.º</t>
        </is>
      </c>
      <c r="C14" s="21" t="inlineStr">
        <is>
          <t>Motivo del retiro</t>
        </is>
      </c>
      <c r="D14" s="21" t="inlineStr">
        <is>
          <t>Monto declarado</t>
        </is>
      </c>
      <c r="E14" s="21" t="inlineStr">
        <is>
          <t>Moneda</t>
        </is>
      </c>
      <c r="F14" s="21" t="inlineStr">
        <is>
          <t>Tipo de cambio aplicado</t>
        </is>
      </c>
      <c r="G14" s="21" t="inlineStr">
        <is>
          <t>Monto en US$</t>
        </is>
      </c>
      <c r="H14" s="21" t="inlineStr">
        <is>
          <t>Año</t>
        </is>
      </c>
      <c r="I14" s="21"/>
      <c r="J14" s="21" t="inlineStr">
        <is>
          <t>Nota</t>
        </is>
      </c>
    </row>
    <row r="15">
      <c r="B15" s="25">
        <v>1</v>
      </c>
      <c r="C15" s="20" t="inlineStr">
        <is>
          <t>Retiro del portafolio</t>
        </is>
      </c>
      <c r="D15" s="17">
        <v>50000</v>
      </c>
      <c r="E15" s="33" t="inlineStr">
        <is>
          <t>USD</t>
        </is>
      </c>
      <c r="F15" s="35">
        <f>IF(E15="CRC",'Proyección'!$F$7,1)</f>
        <v>1</v>
      </c>
      <c r="G15" s="22">
        <f>D15/F15</f>
        <v>50000</v>
      </c>
      <c r="H15" s="34">
        <v>2031</v>
      </c>
      <c r="I15" s="16"/>
      <c r="J15" s="26" t="inlineStr">
        <is>
          <t>Una sola vez, en su año</t>
        </is>
      </c>
    </row>
    <row r="16">
      <c r="B16" s="25">
        <v>2</v>
      </c>
      <c r="C16" s="20"/>
      <c r="D16" s="17"/>
      <c r="E16" s="33"/>
      <c r="F16" s="35">
        <f>IF(E16="CRC",'Proyección'!$F$7,1)</f>
        <v>1</v>
      </c>
      <c r="G16" s="22">
        <f>D16/F16</f>
        <v>0</v>
      </c>
      <c r="H16" s="34"/>
      <c r="I16" s="16"/>
      <c r="J16" s="26"/>
    </row>
    <row r="17">
      <c r="B17" s="25">
        <v>3</v>
      </c>
      <c r="C17" s="20"/>
      <c r="D17" s="17"/>
      <c r="E17" s="33"/>
      <c r="F17" s="35">
        <f>IF(E17="CRC",'Proyección'!$F$7,1)</f>
        <v>1</v>
      </c>
      <c r="G17" s="22">
        <f>D17/F17</f>
        <v>0</v>
      </c>
      <c r="H17" s="34"/>
      <c r="I17" s="16"/>
      <c r="J17" s="26"/>
    </row>
    <row r="18">
      <c r="B18" s="25">
        <v>4</v>
      </c>
      <c r="C18" s="20"/>
      <c r="D18" s="17"/>
      <c r="E18" s="33"/>
      <c r="F18" s="35">
        <f>IF(E18="CRC",'Proyección'!$F$7,1)</f>
        <v>1</v>
      </c>
      <c r="G18" s="22">
        <f>D18/F18</f>
        <v>0</v>
      </c>
      <c r="H18" s="34"/>
      <c r="I18" s="16"/>
      <c r="J18" s="26"/>
    </row>
    <row r="19">
      <c r="B19" s="23" t="inlineStr">
        <is>
          <t>Total de retiros adicionales (US$)</t>
        </is>
      </c>
      <c r="C19" s="23"/>
      <c r="D19" s="23"/>
      <c r="E19" s="23"/>
      <c r="F19" s="23"/>
      <c r="G19" s="23">
        <f>SUM(G15:G18)</f>
        <v>50000</v>
      </c>
      <c r="H19" s="23"/>
      <c r="I19" s="23"/>
      <c r="J19" s="23"/>
    </row>
    <row r="21" ht="22" customHeight="1">
      <c r="B21" s="13" t="inlineStr">
        <is>
          <t>En la proyección · US$ nominales, todo el horizonte</t>
        </is>
      </c>
      <c r="C21" s="13"/>
      <c r="D21" s="13"/>
      <c r="E21" s="13"/>
      <c r="F21" s="13"/>
      <c r="G21" s="13"/>
      <c r="H21" s="13"/>
      <c r="I21" s="13"/>
      <c r="J21" s="13"/>
    </row>
    <row r="22">
      <c r="B22" s="16" t="inlineStr">
        <is>
          <t>Metas pagadas con el portafolio (columna Inversiones)</t>
        </is>
      </c>
      <c r="C22" s="16"/>
      <c r="D22" s="16"/>
      <c r="E22" s="16"/>
      <c r="F22" s="16"/>
      <c r="G22" s="22">
        <f>SUM('Proyección'!$X$30:$X$79)</f>
        <v>48433</v>
      </c>
    </row>
    <row r="23">
      <c r="B23" s="16" t="inlineStr">
        <is>
          <t>Retiros adicionales (en la columna Gastos extraordinarios)</t>
        </is>
      </c>
      <c r="C23" s="16"/>
      <c r="D23" s="16"/>
      <c r="E23" s="16"/>
      <c r="F23" s="16"/>
      <c r="G23" s="22">
        <v>60541</v>
      </c>
    </row>
    <row r="24">
      <c r="B24" s="23" t="inlineStr">
        <is>
          <t>Total de retiros del portafolio</t>
        </is>
      </c>
      <c r="C24" s="23"/>
      <c r="D24" s="23"/>
      <c r="E24" s="23"/>
      <c r="F24" s="23"/>
      <c r="G24" s="23">
        <f>SUM(G22:G23)</f>
        <v>108973</v>
      </c>
    </row>
  </sheetData>
  <mergeCells count="10">
    <mergeCell ref="B2:J2"/>
    <mergeCell ref="B4:J4"/>
    <mergeCell ref="B10:F10"/>
    <mergeCell ref="B11:J11"/>
    <mergeCell ref="B13:J13"/>
    <mergeCell ref="B19:F19"/>
    <mergeCell ref="B21:J21"/>
    <mergeCell ref="B22:F22"/>
    <mergeCell ref="B23:F23"/>
    <mergeCell ref="B24:F24"/>
  </mergeCells>
  <pageMargins left="0.5" right="0.5"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2026-09-22T20:30:59Z</dcterms:created>
  <dcterms:modified xmlns:dcterms="http://purl.org/dc/terms/" xmlns:xsi="http://www.w3.org/2001/XMLSchema-instance" xsi:type="dcterms:W3CDTF">2026-10-28T21:30:00Z</dcterms:modified>
</cp:coreProperties>
</file>