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charts/chart8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numFmt formatCode="0.0%" sourceLinked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B3014"/>
                  </a:solidFill>
                </a:defRPr>
              </a:pPr>
              <a:endParaRPr lang="es-CR"/>
            </a:p>
          </txPr>
          <dLblPos val="outEnd"/>
          <showLegendKey val="0"/>
          <showVal val="1"/>
          <showCatName val="0"/>
          <showSerName val="0"/>
          <showPercent val="0"/>
        </dLbls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'Proyección'!AL20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'Proyección'!$C$21:$C$70</f>
            </numRef>
          </cat>
          <val>
            <numRef>
              <f>'Proyección'!$AL$21:$AL$70</f>
            </numRef>
          </val>
          <smooth val="0"/>
        </ser>
        <ser>
          <idx val="1"/>
          <order val="1"/>
          <tx>
            <strRef>
              <f>'Proyección'!AM20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'Proyección'!$C$21:$C$70</f>
            </numRef>
          </cat>
          <val>
            <numRef>
              <f>'Proyección'!$AM$21:$AM$70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numFmt formatCode="0.0%" sourceLinked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B3014"/>
                  </a:solidFill>
                </a:defRPr>
              </a:pPr>
              <a:endParaRPr lang="es-CR"/>
            </a:p>
          </txPr>
          <dLblPos val="outEnd"/>
          <showLegendKey val="0"/>
          <showVal val="1"/>
          <showCatName val="0"/>
          <showSerName val="0"/>
          <showPercent val="0"/>
        </dLbls>
        <firstSliceAng val="0"/>
      </pieChart>
    </plotArea>
    <legend>
      <legendPos val="b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A2543A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A2543A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7"/>
        <c:delete val="1"/>
      </c:legendEntry>
      <c:overlay val="0"/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Perfil de riesgo: tolerancia y apetito · moderado conservador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Perfil financiero: capacidad financiera · perfil financiero moderado conservador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cat>
            <c:strRef>
              <c:f>'Datos'!$U$2:$U$8</c:f>
              <c:strCache>
                <c:ptCount val="7"/>
                <c:pt idx="0">
                  <c:v>Perfil de riesgo (3,9)</c:v>
                </c:pt>
                <c:pt idx="1">
                  <c:v>Ingresos totales (5,0)</c:v>
                </c:pt>
                <c:pt idx="2">
                  <c:v>Gastos totales (3,3)</c:v>
                </c:pt>
                <c:pt idx="3">
                  <c:v>Inversiones (6,7)</c:v>
                </c:pt>
                <c:pt idx="4">
                  <c:v>Desinversiones (3,3)</c:v>
                </c:pt>
                <c:pt idx="5">
                  <c:v>Tamaño del portafolio (0,0)</c:v>
                </c:pt>
                <c:pt idx="6">
                  <c:v>Horizonte (0,0)</c:v>
                </c:pt>
              </c:strCache>
            </c:strRef>
          </c:cat>
          <c:val>
            <c:numRef>
              <c:f>'Datos'!$V$2:$V$8</c:f>
              <c:numCache>
                <c:formatCode>0.0</c:formatCode>
                <c:ptCount val="7"/>
                <c:pt idx="0">
                  <c:v>3.9</c:v>
                </c:pt>
                <c:pt idx="1">
                  <c:v>5</c:v>
                </c:pt>
                <c:pt idx="2">
                  <c:v>3.3</c:v>
                </c:pt>
                <c:pt idx="3">
                  <c:v>6.7</c:v>
                </c:pt>
                <c:pt idx="4">
                  <c:v>3.3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Capacidad financiera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'Datos'!$U$2:$U$8</c:f>
              <c:strCache>
                <c:ptCount val="7"/>
                <c:pt idx="0">
                  <c:v>Perfil de riesgo (3,9)</c:v>
                </c:pt>
                <c:pt idx="1">
                  <c:v>Ingresos totales (5,0)</c:v>
                </c:pt>
                <c:pt idx="2">
                  <c:v>Gastos totales (3,3)</c:v>
                </c:pt>
                <c:pt idx="3">
                  <c:v>Inversiones (6,7)</c:v>
                </c:pt>
                <c:pt idx="4">
                  <c:v>Desinversiones (3,3)</c:v>
                </c:pt>
                <c:pt idx="5">
                  <c:v>Tamaño del portafolio (0,0)</c:v>
                </c:pt>
                <c:pt idx="6">
                  <c:v>Horizonte (0,0)</c:v>
                </c:pt>
              </c:strCache>
            </c:strRef>
          </c:cat>
          <c:val>
            <c:numRef>
              <c:f>'Datos'!$W$2:$W$8</c:f>
              <c:numCache>
                <c:formatCode>0.0</c:formatCode>
                <c:ptCount val="7"/>
                <c:pt idx="0">
                  <c:v>3.1</c:v>
                </c:pt>
                <c:pt idx="1">
                  <c:v>3.1</c:v>
                </c:pt>
                <c:pt idx="2">
                  <c:v>3.1</c:v>
                </c:pt>
                <c:pt idx="3">
                  <c:v>3.1</c:v>
                </c:pt>
                <c:pt idx="4">
                  <c:v>3.1</c:v>
                </c:pt>
                <c:pt idx="5">
                  <c:v>3.1</c:v>
                </c:pt>
                <c:pt idx="6">
                  <c:v>3.1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none"/>
        <c:minorTickMark val="none"/>
        <c:tickLblPos val="none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21</row>
      <rowOff>0</rowOff>
    </from>
    <ext cx="432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21</row>
      <rowOff>0</rowOff>
    </from>
    <ext cx="43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6</col>
      <colOff>0</colOff>
      <row>41</row>
      <rowOff>0</rowOff>
    </from>
    <ext cx="4320000" cy="37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42</col>
      <colOff>0</colOff>
      <row>20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46" customWidth="1" min="2" max="2"/>
    <col width="16" customWidth="1" min="3" max="3"/>
    <col width="2" customWidth="1" min="4" max="4"/>
    <col width="62" customWidth="1" min="5" max="5"/>
    <col width="4" customWidth="1" min="6" max="6"/>
    <col width="66" customWidth="1" min="7" max="7"/>
    <col width="3" customWidth="1" min="8" max="8"/>
    <col width="66" customWidth="1" min="9" max="9"/>
  </cols>
  <sheetData>
    <row r="1" ht="26" customHeight="1">
      <c r="B1" s="11" t="inlineStr">
        <is>
          <t>Chotocruz &amp; Co. · Ficha de cliente</t>
        </is>
      </c>
    </row>
    <row r="3" ht="30" customHeight="1">
      <c r="B3" s="21" t="inlineStr">
        <is>
          <t>Concepto</t>
        </is>
      </c>
      <c r="C3" s="21" t="inlineStr">
        <is>
          <t>Dato numérico</t>
        </is>
      </c>
      <c r="D3" s="21"/>
      <c r="E3" s="21" t="inlineStr">
        <is>
          <t>Dato cualitativo</t>
        </is>
      </c>
    </row>
    <row r="5" ht="22" customHeight="1">
      <c r="B5" s="13" t="inlineStr">
        <is>
          <t>Identificación</t>
        </is>
      </c>
      <c r="C5" s="13"/>
      <c r="D5" s="13"/>
      <c r="E5" s="13"/>
    </row>
    <row r="6">
      <c r="B6" s="16" t="inlineStr">
        <is>
          <t>Nombre</t>
        </is>
      </c>
      <c r="C6" s="16"/>
      <c r="D6" s="16"/>
      <c r="E6" s="30" t="inlineStr">
        <is>
          <t>Cliente de ejemplo</t>
        </is>
      </c>
    </row>
    <row r="7">
      <c r="B7" s="16" t="inlineStr">
        <is>
          <t>Tipo de documento</t>
        </is>
      </c>
      <c r="C7" s="16"/>
      <c r="D7" s="16"/>
      <c r="E7" s="30" t="inlineStr">
        <is>
          <t>Cédula de identidad</t>
        </is>
      </c>
    </row>
    <row r="8">
      <c r="B8" s="16" t="inlineStr">
        <is>
          <t>Cédula</t>
        </is>
      </c>
      <c r="C8" s="16"/>
      <c r="D8" s="16"/>
      <c r="E8" s="30" t="inlineStr">
        <is>
          <t>1-1234-5678</t>
        </is>
      </c>
    </row>
    <row r="9">
      <c r="B9" s="16" t="inlineStr">
        <is>
          <t>Fecha de nacimiento</t>
        </is>
      </c>
      <c r="C9" s="16"/>
      <c r="D9" s="16"/>
      <c r="E9" s="30" t="inlineStr">
        <is>
          <t>1980-05-01</t>
        </is>
      </c>
    </row>
    <row r="10">
      <c r="B10" s="16" t="inlineStr">
        <is>
          <t>Ocupación</t>
        </is>
      </c>
      <c r="C10" s="16"/>
      <c r="D10" s="16"/>
      <c r="E10" s="30" t="inlineStr">
        <is>
          <t>Gerente general</t>
        </is>
      </c>
    </row>
    <row r="11">
      <c r="B11" s="16" t="inlineStr">
        <is>
          <t>Estado civil</t>
        </is>
      </c>
      <c r="C11" s="16"/>
      <c r="D11" s="16"/>
      <c r="E11" s="30" t="inlineStr">
        <is>
          <t>Casado(a)</t>
        </is>
      </c>
    </row>
    <row r="12">
      <c r="B12" s="16" t="inlineStr">
        <is>
          <t>Correo electrónico</t>
        </is>
      </c>
      <c r="C12" s="16"/>
      <c r="D12" s="16"/>
      <c r="E12" s="30" t="inlineStr">
        <is>
          <t>ejemplo@ejemplo.com</t>
        </is>
      </c>
    </row>
    <row r="13">
      <c r="B13" s="16" t="inlineStr">
        <is>
          <t>Teléfono</t>
        </is>
      </c>
      <c r="C13" s="16"/>
      <c r="D13" s="16"/>
      <c r="E13" s="30" t="inlineStr">
        <is>
          <t>+506 88887070</t>
        </is>
      </c>
    </row>
    <row r="14">
      <c r="B14" s="16" t="inlineStr">
        <is>
          <t>País de residencia</t>
        </is>
      </c>
      <c r="C14" s="16"/>
      <c r="D14" s="16"/>
      <c r="E14" s="30" t="inlineStr">
        <is>
          <t>Costa Rica</t>
        </is>
      </c>
    </row>
    <row r="15">
      <c r="B15" s="16" t="inlineStr">
        <is>
          <t>Provincia</t>
        </is>
      </c>
      <c r="C15" s="16"/>
      <c r="D15" s="16"/>
      <c r="E15" s="30" t="inlineStr">
        <is>
          <t>Alajuela</t>
        </is>
      </c>
    </row>
    <row r="16">
      <c r="B16" s="16" t="inlineStr">
        <is>
          <t>Cantón</t>
        </is>
      </c>
      <c r="C16" s="16"/>
      <c r="D16" s="16"/>
      <c r="E16" s="30" t="inlineStr">
        <is>
          <t>San Ramón</t>
        </is>
      </c>
    </row>
    <row r="17">
      <c r="B17" s="16" t="inlineStr">
        <is>
          <t>Distrito</t>
        </is>
      </c>
      <c r="C17" s="16"/>
      <c r="D17" s="16"/>
      <c r="E17" s="30" t="inlineStr">
        <is>
          <t>Santiago</t>
        </is>
      </c>
    </row>
    <row r="18">
      <c r="B18" s="16" t="inlineStr">
        <is>
          <t>Otras señas</t>
        </is>
      </c>
      <c r="C18" s="16"/>
      <c r="D18" s="16"/>
      <c r="E18" s="30" t="inlineStr">
        <is>
          <t>—</t>
        </is>
      </c>
    </row>
    <row r="19">
      <c r="B19" s="16" t="inlineStr">
        <is>
          <t>Edad actual</t>
        </is>
      </c>
      <c r="C19" s="32">
        <v>46</v>
      </c>
      <c r="D19" s="16"/>
      <c r="E19" s="16"/>
    </row>
    <row r="20">
      <c r="B20" s="16" t="inlineStr">
        <is>
          <t>Edad de independencia financiera</t>
        </is>
      </c>
      <c r="C20" s="32">
        <v>60</v>
      </c>
      <c r="D20" s="16"/>
      <c r="E20" s="16"/>
    </row>
    <row r="22" ht="22" customHeight="1">
      <c r="B22" s="13" t="inlineStr">
        <is>
          <t>Perfil de riesgo (cuestionario 1)</t>
        </is>
      </c>
      <c r="C22" s="13"/>
      <c r="D22" s="13"/>
      <c r="E22" s="13"/>
    </row>
    <row r="23">
      <c r="B23" s="16" t="inlineStr">
        <is>
          <t>Tolerancia al riesgo (0 a 10)</t>
        </is>
      </c>
      <c r="C23" s="31">
        <v>3.0928571428571425</v>
      </c>
      <c r="D23" s="16"/>
      <c r="E23" s="30" t="inlineStr">
        <is>
          <t>Preguntas 1, 2, 3, 7 y 9</t>
        </is>
      </c>
    </row>
    <row r="24">
      <c r="B24" s="16" t="inlineStr">
        <is>
          <t>Apetito de riesgo (0 a 10)</t>
        </is>
      </c>
      <c r="C24" s="31">
        <v>4.686249999999999</v>
      </c>
      <c r="D24" s="16"/>
      <c r="E24" s="30" t="inlineStr">
        <is>
          <t>Preguntas 4, 5, 6, 8 y 10</t>
        </is>
      </c>
    </row>
    <row r="25">
      <c r="B25" s="16" t="inlineStr">
        <is>
          <t>Puntaje del perfil de riesgo (0 a 10)</t>
        </is>
      </c>
      <c r="C25" s="31">
        <v>3.9426666666666668</v>
      </c>
      <c r="D25" s="16"/>
      <c r="E25" s="16"/>
    </row>
    <row r="26">
      <c r="B26" s="16" t="inlineStr">
        <is>
          <t>Perfil de riesgo</t>
        </is>
      </c>
      <c r="C26" s="16"/>
      <c r="D26" s="16"/>
      <c r="E26" s="30" t="inlineStr">
        <is>
          <t>Moderado conservador</t>
        </is>
      </c>
    </row>
    <row r="28" ht="22" customHeight="1">
      <c r="B28" s="13" t="inlineStr">
        <is>
          <t>Perfil financiero (perfil de riesgo y planificación)</t>
        </is>
      </c>
      <c r="C28" s="13"/>
      <c r="D28" s="13"/>
      <c r="E28" s="13"/>
    </row>
    <row r="29">
      <c r="B29" s="16" t="inlineStr">
        <is>
          <t>Capacidad: ingresos totales (0 a 10)</t>
        </is>
      </c>
      <c r="C29" s="31">
        <v>5</v>
      </c>
      <c r="D29" s="16"/>
      <c r="E29" s="30" t="inlineStr">
        <is>
          <t>Cubren 95,0% de los gastos en 5 años · ingreso variable</t>
        </is>
      </c>
    </row>
    <row r="30">
      <c r="B30" s="16" t="inlineStr">
        <is>
          <t>Capacidad: gastos totales (0 a 10)</t>
        </is>
      </c>
      <c r="C30" s="31">
        <v>3.33</v>
      </c>
      <c r="D30" s="16"/>
      <c r="E30" s="30" t="inlineStr">
        <is>
          <t>Gastos comprometidos: 20,5% de los ingresos</t>
        </is>
      </c>
    </row>
    <row r="31">
      <c r="B31" s="16" t="inlineStr">
        <is>
          <t>Capacidad: inversiones (0 a 10)</t>
        </is>
      </c>
      <c r="C31" s="31">
        <v>6.67</v>
      </c>
      <c r="D31" s="16"/>
      <c r="E31" s="30" t="inlineStr">
        <is>
          <t>Entran 14,2% del portafolio en 5 años</t>
        </is>
      </c>
    </row>
    <row r="32">
      <c r="B32" s="16" t="inlineStr">
        <is>
          <t>Capacidad: desinversiones (0 a 10)</t>
        </is>
      </c>
      <c r="C32" s="31">
        <v>3.33</v>
      </c>
      <c r="D32" s="16"/>
      <c r="E32" s="30" t="inlineStr">
        <is>
          <t>Retiros de 25,2% del portafolio en 5 años</t>
        </is>
      </c>
    </row>
    <row r="33">
      <c r="B33" s="16" t="inlineStr">
        <is>
          <t>Capacidad: tamaño del portafolio (0 a 10)</t>
        </is>
      </c>
      <c r="C33" s="31">
        <v>0</v>
      </c>
      <c r="D33" s="16"/>
      <c r="E33" s="30" t="inlineStr">
        <is>
          <t>0,33 veces el mínimo requerido con la cartera conservadora ($762 535)</t>
        </is>
      </c>
    </row>
    <row r="34">
      <c r="B34" s="16" t="inlineStr">
        <is>
          <t>Capacidad: reserva de liquidez (0 a 10)</t>
        </is>
      </c>
      <c r="C34" s="16"/>
      <c r="D34" s="16"/>
      <c r="E34" s="30" t="inlineStr">
        <is>
          <t>Sin dato: no indicó su reserva de liquidez</t>
        </is>
      </c>
    </row>
    <row r="35">
      <c r="B35" s="16" t="inlineStr">
        <is>
          <t>Capacidad: horizonte (0 a 10)</t>
        </is>
      </c>
      <c r="C35" s="31">
        <v>0</v>
      </c>
      <c r="D35" s="16"/>
      <c r="E35" s="30" t="inlineStr">
        <is>
          <t>0 años hasta el primer retiro del portafolio</t>
        </is>
      </c>
    </row>
    <row r="36">
      <c r="B36" s="16" t="inlineStr">
        <is>
          <t>Capacidad financiera (0 a 10)</t>
        </is>
      </c>
      <c r="C36" s="31">
        <v>3.0549999999999997</v>
      </c>
      <c r="D36" s="16"/>
      <c r="E36" s="16"/>
    </row>
    <row r="37">
      <c r="B37" s="16" t="inlineStr">
        <is>
          <t>Puntaje financiero (0 a 10)</t>
        </is>
      </c>
      <c r="C37" s="31">
        <v>3.0549999999999997</v>
      </c>
      <c r="D37" s="16"/>
      <c r="E37" s="16"/>
    </row>
    <row r="38">
      <c r="B38" s="16" t="inlineStr">
        <is>
          <t>Perfil financiero</t>
        </is>
      </c>
      <c r="C38" s="16"/>
      <c r="D38" s="16"/>
      <c r="E38" s="30" t="inlineStr">
        <is>
          <t>Moderado conservador</t>
        </is>
      </c>
    </row>
    <row r="39">
      <c r="B39" s="16" t="inlineStr">
        <is>
          <t>Factor limitante del perfil</t>
        </is>
      </c>
      <c r="C39" s="16"/>
      <c r="D39" s="16"/>
      <c r="E39" s="30" t="inlineStr">
        <is>
          <t>Ninguno: el perfil financiero es el perfil de riesgo del cliente</t>
        </is>
      </c>
    </row>
    <row r="40">
      <c r="B40" s="16" t="inlineStr">
        <is>
          <t>Retorno esperado anual</t>
        </is>
      </c>
      <c r="C40" s="24">
        <v>0.06</v>
      </c>
      <c r="D40" s="16"/>
      <c r="E40" s="16"/>
    </row>
    <row r="41">
      <c r="B41" s="16" t="inlineStr">
        <is>
          <t>Rendimiento de equilibrio</t>
        </is>
      </c>
      <c r="C41" s="24">
        <v>0.07577027512570567</v>
      </c>
      <c r="D41" s="16"/>
      <c r="E41" s="16"/>
    </row>
    <row r="42">
      <c r="B42" s="16" t="inlineStr">
        <is>
          <t>Perfil que exige el objetivo</t>
        </is>
      </c>
      <c r="C42" s="16"/>
      <c r="D42" s="16"/>
      <c r="E42" s="30" t="inlineStr">
        <is>
          <t>Agresivo</t>
        </is>
      </c>
    </row>
    <row r="43">
      <c r="B43" s="16" t="inlineStr">
        <is>
          <t>Holgura frente a la cartera asignada</t>
        </is>
      </c>
      <c r="C43" s="24">
        <v>-0.01577027512570567</v>
      </c>
      <c r="D43" s="16"/>
      <c r="E43" s="16"/>
    </row>
    <row r="44">
      <c r="B44" s="16" t="inlineStr">
        <is>
          <t>Preferencia de moneda</t>
        </is>
      </c>
      <c r="C44" s="16"/>
      <c r="D44" s="16"/>
      <c r="E44" s="16"/>
    </row>
    <row r="46" ht="22" customHeight="1">
      <c r="B46" s="13" t="inlineStr">
        <is>
          <t>Cartera asignada y cartera de equilibrio</t>
        </is>
      </c>
      <c r="C46" s="13"/>
      <c r="D46" s="13"/>
      <c r="E46" s="13"/>
    </row>
    <row r="47" ht="30" customHeight="1">
      <c r="B47" s="21" t="inlineStr">
        <is>
          <t>Clase de activo</t>
        </is>
      </c>
      <c r="C47" s="21" t="inlineStr">
        <is>
          <t>Cartera asignada</t>
        </is>
      </c>
      <c r="D47" s="21"/>
      <c r="E47" s="21" t="inlineStr">
        <is>
          <t>Cartera de equilibrio</t>
        </is>
      </c>
    </row>
    <row r="48">
      <c r="B48" s="16" t="inlineStr">
        <is>
          <t>Renta variable</t>
        </is>
      </c>
      <c r="C48" s="24">
        <v>0.4</v>
      </c>
      <c r="D48" s="16"/>
      <c r="E48" s="30" t="inlineStr">
        <is>
          <t>80.2%</t>
        </is>
      </c>
    </row>
    <row r="49">
      <c r="B49" s="16" t="inlineStr">
        <is>
          <t>Renta fija</t>
        </is>
      </c>
      <c r="C49" s="24">
        <v>0.425</v>
      </c>
      <c r="D49" s="16"/>
      <c r="E49" s="30" t="inlineStr">
        <is>
          <t>14.8%</t>
        </is>
      </c>
    </row>
    <row r="50">
      <c r="B50" s="16" t="inlineStr">
        <is>
          <t>Efectivo</t>
        </is>
      </c>
      <c r="C50" s="24">
        <v>0.175</v>
      </c>
      <c r="D50" s="16"/>
      <c r="E50" s="30" t="inlineStr">
        <is>
          <t>5.0%</t>
        </is>
      </c>
    </row>
    <row r="51">
      <c r="B51" s="16" t="inlineStr">
        <is>
          <t>Rendimiento de la cartera de equilibrio</t>
        </is>
      </c>
      <c r="C51" s="24">
        <v>0.07577027512570567</v>
      </c>
      <c r="D51" s="16"/>
      <c r="E51" s="16"/>
    </row>
    <row r="52">
      <c r="B52" s="16" t="inlineStr">
        <is>
          <t>Volatilidad anual de la cartera de equilibrio</t>
        </is>
      </c>
      <c r="C52" s="24">
        <v>0.15627062233935454</v>
      </c>
      <c r="D52" s="16"/>
      <c r="E52" s="16"/>
    </row>
    <row r="54" ht="22" customHeight="1">
      <c r="B54" s="13" t="inlineStr">
        <is>
          <t>Resultados de la proyección</t>
        </is>
      </c>
      <c r="C54" s="13"/>
      <c r="D54" s="13"/>
      <c r="E54" s="13"/>
    </row>
    <row r="55">
      <c r="B55" s="16" t="inlineStr">
        <is>
          <t>Portafolio máximo proyectado</t>
        </is>
      </c>
      <c r="C55" s="22">
        <v>1326366</v>
      </c>
      <c r="D55" s="16"/>
      <c r="E55" s="16"/>
    </row>
    <row r="56">
      <c r="B56" s="16" t="inlineStr">
        <is>
          <t>Portafolio final nominal</t>
        </is>
      </c>
      <c r="C56" s="22">
        <v>0</v>
      </c>
      <c r="D56" s="16"/>
      <c r="E56" s="16"/>
    </row>
    <row r="57">
      <c r="B57" s="16" t="inlineStr">
        <is>
          <t>Portafolio final en términos reales</t>
        </is>
      </c>
      <c r="C57" s="22">
        <v>0</v>
      </c>
      <c r="D57" s="16"/>
      <c r="E57" s="16"/>
    </row>
    <row r="58">
      <c r="B58" s="16" t="inlineStr">
        <is>
          <t>Tasa de retiro inicial</t>
        </is>
      </c>
      <c r="C58" s="24">
        <v>0.009230391754371303</v>
      </c>
      <c r="D58" s="16"/>
      <c r="E58" s="16"/>
    </row>
    <row r="59">
      <c r="B59" s="16" t="inlineStr">
        <is>
          <t>Años de acumulación</t>
        </is>
      </c>
      <c r="C59" s="32">
        <v>14</v>
      </c>
      <c r="D59" s="16"/>
      <c r="E59" s="16"/>
    </row>
    <row r="60">
      <c r="B60" s="16" t="inlineStr">
        <is>
          <t>Años de retiro</t>
        </is>
      </c>
      <c r="C60" s="32">
        <v>36</v>
      </c>
      <c r="D60" s="16"/>
      <c r="E60" s="16"/>
    </row>
    <row r="61">
      <c r="B61" s="16" t="inlineStr">
        <is>
          <t>Edad a la que se agota el portafolio</t>
        </is>
      </c>
      <c r="C61" s="32">
        <v>82</v>
      </c>
      <c r="D61" s="16"/>
      <c r="E61" s="16"/>
    </row>
    <row r="63" ht="22" customHeight="1">
      <c r="B63" s="13" t="inlineStr">
        <is>
          <t>Caminos para alcanzar el objetivo</t>
        </is>
      </c>
      <c r="C63" s="13"/>
      <c r="D63" s="13"/>
      <c r="E63" s="13"/>
    </row>
    <row r="64" ht="30" customHeight="1">
      <c r="B64" s="21" t="inlineStr">
        <is>
          <t>Camino</t>
        </is>
      </c>
      <c r="C64" s="21" t="inlineStr">
        <is>
          <t>Necesario</t>
        </is>
      </c>
      <c r="D64" s="21"/>
      <c r="E64" s="21" t="inlineStr">
        <is>
          <t>Hoy · lectura</t>
        </is>
      </c>
    </row>
    <row r="65">
      <c r="B65" s="16" t="inlineStr">
        <is>
          <t>Mayor rendimiento del portafolio</t>
        </is>
      </c>
      <c r="C65" s="22" t="inlineStr">
        <is>
          <t>7,6%</t>
        </is>
      </c>
      <c r="D65" s="16"/>
      <c r="E65" s="30" t="inlineStr">
        <is>
          <t>Hoy 6,0% · Exige la cartera del perfil agresivo, por encima del perfil financiero del cliente y de su perfil de riesgo. (no basta por sí solo)</t>
        </is>
      </c>
    </row>
    <row r="66">
      <c r="B66" s="16" t="inlineStr">
        <is>
          <t>Mayor capital inicial</t>
        </is>
      </c>
      <c r="C66" s="22" t="inlineStr">
        <is>
          <t>$506 095</t>
        </is>
      </c>
      <c r="D66" s="16"/>
      <c r="E66" s="30" t="inlineStr">
        <is>
          <t>Hoy $250 000 · Aporte único hoy de $256 095.</t>
        </is>
      </c>
    </row>
    <row r="67">
      <c r="B67" s="16" t="inlineStr">
        <is>
          <t>Aporte anual adicional al portafolio</t>
        </is>
      </c>
      <c r="C67" s="22" t="inlineStr">
        <is>
          <t>$22 012 al año</t>
        </is>
      </c>
      <c r="D67" s="16"/>
      <c r="E67" s="30" t="inlineStr">
        <is>
          <t>Durante los 14 años de acumulación, en dólares de hoy (31% del ingreso anual).</t>
        </is>
      </c>
    </row>
    <row r="68">
      <c r="B68" s="16" t="inlineStr">
        <is>
          <t>Menor gasto familiar</t>
        </is>
      </c>
      <c r="C68" s="22" t="inlineStr">
        <is>
          <t>$4 791 al mes</t>
        </is>
      </c>
      <c r="D68" s="16"/>
      <c r="E68" s="30" t="inlineStr">
        <is>
          <t>Hoy $5 500 al mes · Reducción de 13% en todos los años.</t>
        </is>
      </c>
    </row>
    <row r="69">
      <c r="B69" s="16" t="inlineStr">
        <is>
          <t>Menores gastos extraordinarios</t>
        </is>
      </c>
      <c r="C69" s="22" t="inlineStr">
        <is>
          <t>—</t>
        </is>
      </c>
      <c r="D69" s="16"/>
      <c r="E69" s="30" t="inlineStr">
        <is>
          <t>Hoy $922 933 en total · Ni eliminándolos alcanza. (no basta por sí solo)</t>
        </is>
      </c>
    </row>
    <row r="70">
      <c r="B70" s="16" t="inlineStr">
        <is>
          <t>Aporte mensual adicional a la pensión voluntaria</t>
        </is>
      </c>
      <c r="C70" s="22" t="inlineStr">
        <is>
          <t>$1 834 al mes</t>
        </is>
      </c>
      <c r="D70" s="16"/>
      <c r="E70" s="30" t="inlineStr">
        <is>
          <t>Crece al 6,0% y se traslada al portafolio a los 60 años.</t>
        </is>
      </c>
    </row>
    <row r="71">
      <c r="B71" s="16" t="inlineStr">
        <is>
          <t>Postergar la independencia financiera</t>
        </is>
      </c>
      <c r="C71" s="22" t="inlineStr">
        <is>
          <t>65 años</t>
        </is>
      </c>
      <c r="D71" s="16"/>
      <c r="E71" s="30" t="inlineStr">
        <is>
          <t>Hoy 60 años · 5 años más de ingreso por actividad y de aportes.</t>
        </is>
      </c>
    </row>
    <row r="72">
      <c r="B72" s="16" t="inlineStr">
        <is>
          <t>Lectura</t>
        </is>
      </c>
      <c r="C72" s="16"/>
      <c r="D72" s="16"/>
      <c r="E72" s="30" t="inlineStr">
        <is>
          <t>Hay 5 caminos que alcanzan el objetivo cada uno por sí solo: mayor capital inicial, aporte anual adicional al portafolio, menor gasto familiar, aporte mensual adicional a la pensión voluntaria o postergar la independencia financiera. También pueden combinarse; combinados, cada uno exige un ajuste menor.</t>
        </is>
      </c>
    </row>
    <row r="74" ht="22" customHeight="1">
      <c r="B74" s="13" t="inlineStr">
        <is>
          <t>Datos financieros declarados</t>
        </is>
      </c>
      <c r="C74" s="13"/>
      <c r="D74" s="13"/>
      <c r="E74" s="13"/>
    </row>
    <row r="75">
      <c r="B75" s="16" t="inlineStr">
        <is>
          <t>Ingreso total mensual</t>
        </is>
      </c>
      <c r="C75" s="22">
        <v>2700000</v>
      </c>
      <c r="D75" s="16"/>
      <c r="E75" s="30" t="inlineStr">
        <is>
          <t>CRC</t>
        </is>
      </c>
    </row>
    <row r="76">
      <c r="B76" s="16" t="inlineStr">
        <is>
          <t>Gasto familiar mensual</t>
        </is>
      </c>
      <c r="C76" s="22">
        <v>5500</v>
      </c>
      <c r="D76" s="16"/>
      <c r="E76" s="30" t="inlineStr">
        <is>
          <t>USD</t>
        </is>
      </c>
    </row>
    <row r="77">
      <c r="B77" s="16" t="inlineStr">
        <is>
          <t>Capital inicial invertido</t>
        </is>
      </c>
      <c r="C77" s="22">
        <v>250000</v>
      </c>
      <c r="D77" s="16"/>
      <c r="E77" s="30" t="inlineStr">
        <is>
          <t>USD</t>
        </is>
      </c>
    </row>
    <row r="78">
      <c r="B78" s="16" t="inlineStr">
        <is>
          <t>Gastos extraordinarios anuales (US$ de hoy)</t>
        </is>
      </c>
      <c r="C78" s="22">
        <v>0</v>
      </c>
      <c r="D78" s="16"/>
      <c r="E78" s="30" t="inlineStr">
        <is>
          <t>USD</t>
        </is>
      </c>
    </row>
    <row r="79">
      <c r="B79" s="16" t="inlineStr">
        <is>
          <t>Gasto familiar pagado en dólares</t>
        </is>
      </c>
      <c r="C79" s="16"/>
      <c r="D79" s="16"/>
      <c r="E79" s="30" t="inlineStr">
        <is>
          <t>30% (el resto en colones)</t>
        </is>
      </c>
    </row>
    <row r="80">
      <c r="B80" s="16" t="inlineStr">
        <is>
          <t>Comentarios del cliente</t>
        </is>
      </c>
      <c r="C80" s="16"/>
      <c r="D80" s="16"/>
      <c r="E80" s="16"/>
    </row>
    <row r="82" ht="22" customHeight="1">
      <c r="B82" s="13" t="inlineStr">
        <is>
          <t>Retiro, pensión, fondos y flujos previstos</t>
        </is>
      </c>
      <c r="C82" s="13"/>
      <c r="D82" s="13"/>
      <c r="E82" s="13"/>
    </row>
    <row r="83">
      <c r="B83" s="16" t="inlineStr">
        <is>
          <t>Gasto en el retiro (% del gasto actual)</t>
        </is>
      </c>
      <c r="C83" s="24">
        <v>1</v>
      </c>
      <c r="D83" s="16"/>
      <c r="E83" s="16"/>
    </row>
    <row r="84">
      <c r="B84" s="16" t="inlineStr">
        <is>
          <t>Régimen de pensión</t>
        </is>
      </c>
      <c r="C84" s="16"/>
      <c r="D84" s="16"/>
      <c r="E84" s="30" t="inlineStr">
        <is>
          <t>Magisterio Nacional</t>
        </is>
      </c>
    </row>
    <row r="85">
      <c r="B85" s="16" t="inlineStr">
        <is>
          <t>Pensión mensual estimada (valor de hoy)</t>
        </is>
      </c>
      <c r="C85" s="22">
        <v>800000</v>
      </c>
      <c r="D85" s="16"/>
      <c r="E85" s="30" t="inlineStr">
        <is>
          <t>CRC</t>
        </is>
      </c>
    </row>
    <row r="86">
      <c r="B86" s="16" t="inlineStr">
        <is>
          <t>Edad de inicio de la pensión</t>
        </is>
      </c>
      <c r="C86" s="32">
        <v>65</v>
      </c>
      <c r="D86" s="16"/>
      <c r="E86" s="16"/>
    </row>
    <row r="87">
      <c r="B87" s="16" t="inlineStr">
        <is>
          <t>Otros ingresos recurrentes mensuales (valor de hoy)</t>
        </is>
      </c>
      <c r="C87" s="22">
        <v>500000</v>
      </c>
      <c r="D87" s="16"/>
      <c r="E87" s="30" t="inlineStr">
        <is>
          <t>CRC · desde 2030 · durante toda la proyección</t>
        </is>
      </c>
    </row>
    <row r="88">
      <c r="B88" s="16" t="inlineStr">
        <is>
          <t>ROP: saldo actual</t>
        </is>
      </c>
      <c r="C88" s="22">
        <v>12000000</v>
      </c>
      <c r="D88" s="16"/>
      <c r="E88" s="30" t="inlineStr">
        <is>
          <t>CRC · pensión: retiro programado</t>
        </is>
      </c>
    </row>
    <row r="89">
      <c r="B89" s="16" t="inlineStr">
        <is>
          <t>ROP: aporte mensual</t>
        </is>
      </c>
      <c r="C89" s="16"/>
      <c r="D89" s="16"/>
      <c r="E89" s="30" t="inlineStr">
        <is>
          <t>No lo indicó: se estima con el salario</t>
        </is>
      </c>
    </row>
    <row r="90">
      <c r="B90" s="16" t="inlineStr">
        <is>
          <t>FCL: saldo actual</t>
        </is>
      </c>
      <c r="C90" s="22">
        <v>12000000</v>
      </c>
      <c r="D90" s="16"/>
      <c r="E90" s="30" t="inlineStr">
        <is>
          <t>CRC · traslado al momento del retiro</t>
        </is>
      </c>
    </row>
    <row r="91">
      <c r="B91" s="16" t="inlineStr">
        <is>
          <t>FCL: aporte mensual</t>
        </is>
      </c>
      <c r="C91" s="16"/>
      <c r="D91" s="16"/>
      <c r="E91" s="30" t="inlineStr">
        <is>
          <t>No lo indicó: se estima con el salario</t>
        </is>
      </c>
    </row>
    <row r="92">
      <c r="B92" s="16" t="inlineStr">
        <is>
          <t>Pensión voluntaria: saldo actual</t>
        </is>
      </c>
      <c r="C92" s="22">
        <v>12000000</v>
      </c>
      <c r="D92" s="16"/>
      <c r="E92" s="30" t="inlineStr">
        <is>
          <t>CRC · traslado en 2031</t>
        </is>
      </c>
    </row>
    <row r="93">
      <c r="B93" s="16" t="inlineStr">
        <is>
          <t>Pensión voluntaria: aporte mensual</t>
        </is>
      </c>
      <c r="C93" s="22">
        <v>150000</v>
      </c>
      <c r="D93" s="16"/>
      <c r="E93" s="30" t="inlineStr">
        <is>
          <t>CRC</t>
        </is>
      </c>
    </row>
    <row r="94">
      <c r="B94" s="16" t="inlineStr">
        <is>
          <t>Ingreso extraordinario 1: Bono por antigüedad (valor de hoy)</t>
        </is>
      </c>
      <c r="C94" s="22">
        <v>40000</v>
      </c>
      <c r="D94" s="16"/>
      <c r="E94" s="30" t="inlineStr">
        <is>
          <t>USD · año 2028</t>
        </is>
      </c>
    </row>
    <row r="95">
      <c r="B95" s="16" t="inlineStr">
        <is>
          <t>Ingreso extraordinario 2: Herencia esperada (valor de hoy)</t>
        </is>
      </c>
      <c r="C95" s="22">
        <v>120000</v>
      </c>
      <c r="D95" s="16"/>
      <c r="E95" s="30" t="inlineStr">
        <is>
          <t>USD · año 2032</t>
        </is>
      </c>
    </row>
    <row r="96">
      <c r="B96" s="16" t="inlineStr">
        <is>
          <t>Desinversión: Venta del inmueble 1</t>
        </is>
      </c>
      <c r="C96" s="22">
        <v>180000</v>
      </c>
      <c r="D96" s="16"/>
      <c r="E96" s="30" t="inlineStr">
        <is>
          <t>USD · año 2031 · monto que entra al portafolio</t>
        </is>
      </c>
    </row>
    <row r="97">
      <c r="B97" s="16" t="inlineStr">
        <is>
          <t>Desinversión: Venta de un lote</t>
        </is>
      </c>
      <c r="C97" s="22">
        <v>150000</v>
      </c>
      <c r="D97" s="16"/>
      <c r="E97" s="30" t="inlineStr">
        <is>
          <t>USD · año 2033 · monto que entra al portafolio</t>
        </is>
      </c>
    </row>
    <row r="98">
      <c r="B98" s="16" t="inlineStr">
        <is>
          <t>Gasto de dependiente 1 (valor de hoy, por año)</t>
        </is>
      </c>
      <c r="C98" s="22">
        <v>12000</v>
      </c>
      <c r="D98" s="16"/>
      <c r="E98" s="30" t="inlineStr">
        <is>
          <t>USD · Cónyuge o pareja · salud · desde 2030 por 5 años</t>
        </is>
      </c>
    </row>
    <row r="99">
      <c r="B99" s="16" t="inlineStr">
        <is>
          <t>Meta 1 (valor de hoy)</t>
        </is>
      </c>
      <c r="C99" s="22">
        <v>40000</v>
      </c>
      <c r="D99" s="16"/>
      <c r="E99" s="30" t="inlineStr">
        <is>
          <t>USD · Vivienda o propiedad · año 2031 · deseable · salida del portafolio</t>
        </is>
      </c>
    </row>
    <row r="101" ht="22" customHeight="1">
      <c r="B101" s="13" t="inlineStr">
        <is>
          <t>Perfil de permanencia y aportes</t>
        </is>
      </c>
      <c r="C101" s="13"/>
      <c r="D101" s="13"/>
      <c r="E101" s="13"/>
    </row>
    <row r="102">
      <c r="B102" s="16" t="inlineStr">
        <is>
          <t>Años hasta el primer retiro</t>
        </is>
      </c>
      <c r="C102" s="32">
        <v>5</v>
      </c>
      <c r="D102" s="16"/>
      <c r="E102" s="16"/>
    </row>
    <row r="103">
      <c r="B103" s="16" t="inlineStr">
        <is>
          <t>Monto del primer retiro (valor de hoy)</t>
        </is>
      </c>
      <c r="C103" s="22">
        <v>50000</v>
      </c>
      <c r="D103" s="16"/>
      <c r="E103" s="30" t="inlineStr">
        <is>
          <t>USD</t>
        </is>
      </c>
    </row>
    <row r="104">
      <c r="B104" s="16" t="inlineStr">
        <is>
          <t>Destino del patrimonio</t>
        </is>
      </c>
      <c r="C104" s="16"/>
      <c r="D104" s="16"/>
      <c r="E104" s="30" t="inlineStr">
        <is>
          <t>Utilizarlo durante su vida</t>
        </is>
      </c>
    </row>
    <row r="106" ht="22" customHeight="1">
      <c r="B106" s="13" t="inlineStr">
        <is>
          <t>Hogar, patrimonio y protección</t>
        </is>
      </c>
      <c r="C106" s="13"/>
      <c r="D106" s="13"/>
      <c r="E106" s="13"/>
    </row>
    <row r="107">
      <c r="B107" s="16" t="inlineStr">
        <is>
          <t>Hijos</t>
        </is>
      </c>
      <c r="C107" s="16"/>
      <c r="D107" s="16"/>
      <c r="E107" s="30" t="inlineStr">
        <is>
          <t>No tiene</t>
        </is>
      </c>
    </row>
    <row r="108">
      <c r="B108" s="16" t="inlineStr">
        <is>
          <t>Otros dependientes</t>
        </is>
      </c>
      <c r="C108" s="32">
        <v>1</v>
      </c>
      <c r="D108" s="16"/>
      <c r="E108" s="30" t="inlineStr">
        <is>
          <t>otros 1</t>
        </is>
      </c>
    </row>
    <row r="109">
      <c r="B109" s="16" t="inlineStr">
        <is>
          <t>Fuentes del ingreso</t>
        </is>
      </c>
      <c r="C109" s="16"/>
      <c r="D109" s="16"/>
      <c r="E109" s="30" t="inlineStr">
        <is>
          <t>Salario · Empresa propia</t>
        </is>
      </c>
    </row>
    <row r="110">
      <c r="B110" s="16" t="inlineStr">
        <is>
          <t>Vivienda principal</t>
        </is>
      </c>
      <c r="C110" s="16"/>
      <c r="D110" s="16"/>
      <c r="E110" s="30" t="inlineStr">
        <is>
          <t>Propia, con hipoteca</t>
        </is>
      </c>
    </row>
    <row r="111">
      <c r="B111" s="16" t="inlineStr">
        <is>
          <t>Saldo de la hipoteca</t>
        </is>
      </c>
      <c r="C111" s="22">
        <v>120000</v>
      </c>
      <c r="D111" s="16"/>
      <c r="E111" s="30" t="inlineStr">
        <is>
          <t>USD</t>
        </is>
      </c>
    </row>
    <row r="112">
      <c r="B112" s="16" t="inlineStr">
        <is>
          <t>Cuota mensual de la hipoteca</t>
        </is>
      </c>
      <c r="C112" s="22">
        <v>1200</v>
      </c>
      <c r="D112" s="16"/>
      <c r="E112" s="30" t="inlineStr">
        <is>
          <t>USD</t>
        </is>
      </c>
    </row>
    <row r="113">
      <c r="B113" s="16" t="inlineStr">
        <is>
          <t>Tasa de interés anual de la hipoteca</t>
        </is>
      </c>
      <c r="C113" s="24">
        <v>0.085</v>
      </c>
      <c r="D113" s="16"/>
      <c r="E113" s="16"/>
    </row>
    <row r="114">
      <c r="B114" s="16" t="inlineStr">
        <is>
          <t>Plazo restante de la hipoteca (años)</t>
        </is>
      </c>
      <c r="C114" s="32">
        <v>15</v>
      </c>
      <c r="D114" s="16"/>
      <c r="E114" s="16"/>
    </row>
    <row r="115">
      <c r="B115" s="16" t="inlineStr">
        <is>
          <t>Apartamento en Santa Ana (valor)</t>
        </is>
      </c>
      <c r="C115" s="22">
        <v>180000</v>
      </c>
      <c r="D115" s="16"/>
      <c r="E115" s="30" t="inlineStr">
        <is>
          <t>Renta neta 1 100 · deuda 0 · USD · estima venderlo en 2031 · invertiría todo aquí</t>
        </is>
      </c>
    </row>
    <row r="116">
      <c r="B116" s="16" t="inlineStr">
        <is>
          <t>Empresa propia</t>
        </is>
      </c>
      <c r="C116" s="16"/>
      <c r="D116" s="16"/>
      <c r="E116" s="30" t="inlineStr">
        <is>
          <t>Estima traspasarla en 10 años · participación 100%</t>
        </is>
      </c>
    </row>
    <row r="117">
      <c r="B117" s="16" t="inlineStr">
        <is>
          <t>Capital privado: valor estimado (100%)</t>
        </is>
      </c>
      <c r="C117" s="22">
        <v>800000</v>
      </c>
      <c r="D117" s="16"/>
      <c r="E117" s="30" t="inlineStr">
        <is>
          <t>USD · participación 15%</t>
        </is>
      </c>
    </row>
    <row r="118">
      <c r="B118" s="16" t="inlineStr">
        <is>
          <t>Estructuras jurídicas</t>
        </is>
      </c>
      <c r="C118" s="16"/>
      <c r="D118" s="16"/>
      <c r="E118" s="30" t="inlineStr">
        <is>
          <t>No indicó</t>
        </is>
      </c>
    </row>
    <row r="119">
      <c r="B119" s="16" t="inlineStr">
        <is>
          <t>Valor estimado de la empresa</t>
        </is>
      </c>
      <c r="C119" s="22">
        <v>900000</v>
      </c>
      <c r="D119" s="16"/>
      <c r="E119" s="30" t="inlineStr">
        <is>
          <t>USD</t>
        </is>
      </c>
    </row>
    <row r="120">
      <c r="B120" s="16" t="inlineStr">
        <is>
          <t>Deuda 1: Préstamo personal</t>
        </is>
      </c>
      <c r="C120" s="22">
        <v>5400000</v>
      </c>
      <c r="D120" s="16"/>
      <c r="E120" s="30" t="inlineStr">
        <is>
          <t>CRC · cuota 157 500 al mes · tasa 11% · hasta 2029</t>
        </is>
      </c>
    </row>
    <row r="121">
      <c r="B121" s="16" t="inlineStr">
        <is>
          <t>Deuda 2: Tarjeta de crédito</t>
        </is>
      </c>
      <c r="C121" s="22">
        <v>3000</v>
      </c>
      <c r="D121" s="16"/>
      <c r="E121" s="30" t="inlineStr">
        <is>
          <t>USD · cuota 150 al mes · tasa 32% · hasta 2027</t>
        </is>
      </c>
    </row>
    <row r="122">
      <c r="B122" s="16" t="inlineStr">
        <is>
          <t>Donaciones al año (valor de hoy)</t>
        </is>
      </c>
      <c r="C122" s="22">
        <v>3000</v>
      </c>
      <c r="D122" s="16"/>
      <c r="E122" s="30" t="inlineStr">
        <is>
          <t>USD</t>
        </is>
      </c>
    </row>
    <row r="123">
      <c r="B123" s="16" t="inlineStr">
        <is>
          <t>Gasto extraordinario 1: Seguro y marchamo de vehículos</t>
        </is>
      </c>
      <c r="C123" s="22">
        <v>6000</v>
      </c>
      <c r="D123" s="16"/>
      <c r="E123" s="30" t="inlineStr">
        <is>
          <t>USD de hoy · cada año desde 2027</t>
        </is>
      </c>
    </row>
    <row r="124">
      <c r="B124" s="16" t="inlineStr">
        <is>
          <t>Gasto extraordinario 2: Remodelación de la casa</t>
        </is>
      </c>
      <c r="C124" s="22">
        <v>15750000</v>
      </c>
      <c r="D124" s="16"/>
      <c r="E124" s="30" t="inlineStr">
        <is>
          <t>CRC de hoy · en 2030</t>
        </is>
      </c>
    </row>
    <row r="125">
      <c r="B125" s="16" t="inlineStr">
        <is>
          <t>Seguros vigentes</t>
        </is>
      </c>
      <c r="C125" s="16"/>
      <c r="D125" s="16"/>
      <c r="E125" s="30" t="inlineStr">
        <is>
          <t>Ninguno</t>
        </is>
      </c>
    </row>
    <row r="127" ht="22" customHeight="1">
      <c r="B127" s="13" t="inlineStr">
        <is>
          <t>Patrimonio total (US$, sin la vivienda principal)</t>
        </is>
      </c>
      <c r="C127" s="13"/>
      <c r="D127" s="13"/>
      <c r="E127" s="13"/>
    </row>
    <row r="128">
      <c r="B128" s="16" t="inlineStr">
        <is>
          <t>Inversiones líquidas (este portafolio)</t>
        </is>
      </c>
      <c r="C128" s="22">
        <v>250000</v>
      </c>
      <c r="D128" s="16"/>
      <c r="E128" s="16"/>
    </row>
    <row r="129">
      <c r="B129" s="16" t="inlineStr">
        <is>
          <t>Fondos de pensión (ROP, FCL y voluntaria)</t>
        </is>
      </c>
      <c r="C129" s="22">
        <v>80000</v>
      </c>
      <c r="D129" s="16"/>
      <c r="E129" s="16"/>
    </row>
    <row r="130">
      <c r="B130" s="16" t="inlineStr">
        <is>
          <t>Inversiones inmobiliarias</t>
        </is>
      </c>
      <c r="C130" s="22">
        <v>180000</v>
      </c>
      <c r="D130" s="16"/>
      <c r="E130" s="16"/>
    </row>
    <row r="131">
      <c r="B131" s="16" t="inlineStr">
        <is>
          <t>Empresa (según su participación)</t>
        </is>
      </c>
      <c r="C131" s="22">
        <v>900000</v>
      </c>
      <c r="D131" s="16"/>
      <c r="E131" s="16"/>
    </row>
    <row r="132">
      <c r="B132" s="16" t="inlineStr">
        <is>
          <t>Capital privado</t>
        </is>
      </c>
      <c r="C132" s="22">
        <v>120000</v>
      </c>
      <c r="D132" s="16"/>
      <c r="E132" s="16"/>
    </row>
    <row r="133">
      <c r="B133" s="16" t="inlineStr">
        <is>
          <t>Total de activos</t>
        </is>
      </c>
      <c r="C133" s="22">
        <v>1530000</v>
      </c>
      <c r="D133" s="16"/>
      <c r="E133" s="16"/>
    </row>
    <row r="134">
      <c r="B134" s="16" t="inlineStr">
        <is>
          <t>Deudas</t>
        </is>
      </c>
      <c r="C134" s="22">
        <v>-135000</v>
      </c>
      <c r="D134" s="16"/>
      <c r="E134" s="16"/>
    </row>
    <row r="135">
      <c r="B135" s="16" t="inlineStr">
        <is>
          <t>Patrimonio neto</t>
        </is>
      </c>
      <c r="C135" s="22">
        <v>1395000</v>
      </c>
      <c r="D135" s="16"/>
      <c r="E135" s="16"/>
    </row>
    <row r="136">
      <c r="B136" s="16" t="inlineStr">
        <is>
          <t>Peso del portafolio declarado por el cliente</t>
        </is>
      </c>
      <c r="C136" s="16"/>
      <c r="D136" s="16"/>
      <c r="E136" s="30" t="inlineStr">
        <is>
          <t>40% del patrimonio total</t>
        </is>
      </c>
    </row>
    <row r="137">
      <c r="B137" s="16" t="inlineStr">
        <is>
          <t>Peso del portafolio calculado (control)</t>
        </is>
      </c>
      <c r="C137" s="16"/>
      <c r="D137" s="16"/>
      <c r="E137" s="30" t="inlineStr">
        <is>
          <t>16% de los activos declarados · no interviene en la proyección</t>
        </is>
      </c>
    </row>
    <row r="139" ht="22" customHeight="1">
      <c r="B139" s="13" t="inlineStr">
        <is>
          <t>Supuestos aplicados</t>
        </is>
      </c>
      <c r="C139" s="13"/>
      <c r="D139" s="13"/>
      <c r="E139" s="13"/>
    </row>
    <row r="140">
      <c r="B140" s="16" t="inlineStr">
        <is>
          <t>Tipo de cambio ₡/US$</t>
        </is>
      </c>
      <c r="C140" s="22">
        <v>450</v>
      </c>
      <c r="D140" s="16"/>
      <c r="E140" s="16"/>
    </row>
    <row r="141">
      <c r="B141" s="16" t="inlineStr">
        <is>
          <t>Inflación general</t>
        </is>
      </c>
      <c r="C141" s="24">
        <v>0.039</v>
      </c>
      <c r="D141" s="16"/>
      <c r="E141" s="16"/>
    </row>
    <row r="142">
      <c r="B142" s="16" t="inlineStr">
        <is>
          <t>Inflación de pensión</t>
        </is>
      </c>
      <c r="C142" s="24">
        <v>0.01</v>
      </c>
      <c r="D142" s="16"/>
      <c r="E142" s="16"/>
    </row>
    <row r="143">
      <c r="B143" s="16" t="inlineStr">
        <is>
          <t>Año de inicio</t>
        </is>
      </c>
      <c r="C143" s="32">
        <v>2026</v>
      </c>
      <c r="D143" s="16"/>
      <c r="E143" s="16"/>
    </row>
    <row r="144">
      <c r="B144" s="16" t="inlineStr">
        <is>
          <t>Edad final de la proyección</t>
        </is>
      </c>
      <c r="C144" s="32">
        <v>95</v>
      </c>
      <c r="D144" s="16"/>
      <c r="E144" s="16"/>
    </row>
    <row r="145">
      <c r="B145" s="16" t="inlineStr">
        <is>
          <t>Rendimiento de los fondos de pensión</t>
        </is>
      </c>
      <c r="C145" s="24">
        <v>0.06</v>
      </c>
      <c r="D145" s="16"/>
      <c r="E145" s="16"/>
    </row>
    <row r="146">
      <c r="B146" s="16" t="inlineStr">
        <is>
          <t>Aporte al ROP (% del salario, estimado)</t>
        </is>
      </c>
      <c r="C146" s="24">
        <v>0.0425</v>
      </c>
      <c r="D146" s="16"/>
      <c r="E146" s="16"/>
    </row>
    <row r="147">
      <c r="B147" s="16" t="inlineStr">
        <is>
          <t>Aporte al FCL (% del salario, estimado)</t>
        </is>
      </c>
      <c r="C147" s="24">
        <v>0.015</v>
      </c>
      <c r="D147" s="16"/>
      <c r="E147" s="16"/>
    </row>
    <row r="148">
      <c r="B148" s="16" t="inlineStr">
        <is>
          <t>Expectativa de vida (renta temporal)</t>
        </is>
      </c>
      <c r="C148" s="16"/>
      <c r="D148" s="16"/>
      <c r="E148" s="30" t="inlineStr">
        <is>
          <t>N/A · su ROP no es renta temporal</t>
        </is>
      </c>
    </row>
    <row r="149">
      <c r="B149" s="16" t="inlineStr">
        <is>
          <t>Edad final del retiro programado</t>
        </is>
      </c>
      <c r="C149" s="32">
        <v>100</v>
      </c>
      <c r="D149" s="16"/>
      <c r="E149" s="16"/>
    </row>
  </sheetData>
  <mergeCells count="12">
    <mergeCell ref="B5:E5"/>
    <mergeCell ref="B22:E22"/>
    <mergeCell ref="B28:E28"/>
    <mergeCell ref="B46:E46"/>
    <mergeCell ref="B54:E54"/>
    <mergeCell ref="B63:E63"/>
    <mergeCell ref="B74:E74"/>
    <mergeCell ref="B82:E82"/>
    <mergeCell ref="B101:E101"/>
    <mergeCell ref="B106:E106"/>
    <mergeCell ref="B127:E127"/>
    <mergeCell ref="B139:E139"/>
  </mergeCells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 zoomScale="90">
      <pane xSplit="5" topLeftCell="F1" activePane="topRight" state="frozen"/>
    </sheetView>
  </sheetViews>
  <cols>
    <col width="2" customWidth="1" min="1" max="1"/>
    <col width="8" customWidth="1" min="2" max="2"/>
    <col width="7" customWidth="1" min="3" max="3"/>
    <col width="8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3" customWidth="1" min="40" max="40"/>
  </cols>
  <sheetData>
    <row r="1" ht="24" customHeight="1">
      <c r="B1" s="11" t="inlineStr">
        <is>
          <t>Proyección por flujo de caja · Cliente de ejemplo</t>
        </is>
      </c>
    </row>
    <row r="2">
      <c r="B2" s="12" t="inlineStr">
        <is>
          <t>Arriba, los supuestos y los montos de ingresos, gastos, inversiones y desinversiones; a la derecha, el resumen del plan. Debajo, la proyección anual, toda con fórmulas, y al final las tablas por año con el detalle de cada elemento. Cada monto se registra como lo declaró el cliente (valor y moneda) y a la par en dólares, con el tipo de cambio (F7). Las celdas en color crema son insumos: si se cambian, toda la proyección se recalcula.</t>
        </is>
      </c>
    </row>
    <row r="4" ht="22" customHeight="1">
      <c r="B4" s="13" t="inlineStr">
        <is>
          <t>Supuestos</t>
        </is>
      </c>
      <c r="C4" s="13"/>
      <c r="D4" s="13"/>
      <c r="E4" s="13"/>
      <c r="F4" s="13"/>
      <c r="H4" s="13" t="inlineStr">
        <is>
          <t>Ingresos</t>
        </is>
      </c>
      <c r="I4" s="13"/>
      <c r="J4" s="13"/>
      <c r="K4" s="13"/>
      <c r="L4" s="13"/>
      <c r="M4" s="13"/>
      <c r="N4" s="13"/>
      <c r="O4" s="13"/>
      <c r="Q4" s="13" t="inlineStr">
        <is>
          <t>Gastos</t>
        </is>
      </c>
      <c r="R4" s="13"/>
      <c r="S4" s="13"/>
      <c r="T4" s="13"/>
      <c r="U4" s="13"/>
      <c r="V4" s="13"/>
      <c r="W4" s="13"/>
      <c r="Y4" s="13" t="inlineStr">
        <is>
          <t>Inversiones, desinversiones y retiros</t>
        </is>
      </c>
      <c r="Z4" s="13"/>
      <c r="AA4" s="13"/>
      <c r="AB4" s="13"/>
      <c r="AC4" s="13"/>
      <c r="AD4" s="13"/>
      <c r="AF4" s="13" t="inlineStr">
        <is>
          <t>Resumen del plan · toda la proyección</t>
        </is>
      </c>
      <c r="AG4" s="13"/>
      <c r="AH4" s="13"/>
      <c r="AI4" s="13"/>
      <c r="AJ4" s="13"/>
      <c r="AK4" s="13"/>
      <c r="AL4" s="13"/>
      <c r="AM4" s="13"/>
      <c r="AN4" s="13"/>
    </row>
    <row r="5" ht="30" customHeight="1">
      <c r="F5" s="21" t="inlineStr">
        <is>
          <t>Valor</t>
        </is>
      </c>
      <c r="K5" s="21" t="inlineStr">
        <is>
          <t>Valor declarado</t>
        </is>
      </c>
      <c r="L5" s="21" t="inlineStr">
        <is>
          <t>Moneda</t>
        </is>
      </c>
      <c r="M5" s="21" t="inlineStr">
        <is>
          <t>Valor usado (US$)</t>
        </is>
      </c>
      <c r="N5" s="21" t="inlineStr">
        <is>
          <t>Desde el período</t>
        </is>
      </c>
      <c r="O5" s="21" t="inlineStr">
        <is>
          <t>Hasta el período</t>
        </is>
      </c>
      <c r="T5" s="21" t="inlineStr">
        <is>
          <t>Valor declarado</t>
        </is>
      </c>
      <c r="U5" s="21" t="inlineStr">
        <is>
          <t>Moneda</t>
        </is>
      </c>
      <c r="V5" s="21" t="inlineStr">
        <is>
          <t>Valor usado (US$)</t>
        </is>
      </c>
      <c r="W5" s="21" t="inlineStr">
        <is>
          <t>Hasta el período</t>
        </is>
      </c>
      <c r="AB5" s="21" t="inlineStr">
        <is>
          <t>Valor declarado</t>
        </is>
      </c>
      <c r="AC5" s="21" t="inlineStr">
        <is>
          <t>Moneda</t>
        </is>
      </c>
      <c r="AD5" s="21" t="inlineStr">
        <is>
          <t>Valor usado (US$)</t>
        </is>
      </c>
    </row>
    <row r="6" ht="20" customHeight="1">
      <c r="B6" s="15" t="inlineStr">
        <is>
          <t>Supuestos de la firma</t>
        </is>
      </c>
      <c r="C6" s="15"/>
      <c r="D6" s="15"/>
      <c r="E6" s="15"/>
      <c r="F6" s="15"/>
      <c r="H6" s="15" t="inlineStr">
        <is>
          <t>Ingresos ordinarios</t>
        </is>
      </c>
      <c r="I6" s="15"/>
      <c r="J6" s="15"/>
      <c r="K6" s="15"/>
      <c r="L6" s="15"/>
      <c r="M6" s="15"/>
      <c r="N6" s="15"/>
      <c r="O6" s="15"/>
      <c r="Q6" s="15" t="inlineStr">
        <is>
          <t>Gastos ordinarios</t>
        </is>
      </c>
      <c r="R6" s="15"/>
      <c r="S6" s="15"/>
      <c r="T6" s="15"/>
      <c r="U6" s="15"/>
      <c r="V6" s="15"/>
      <c r="W6" s="15"/>
      <c r="Y6" s="15" t="inlineStr">
        <is>
          <t>Inversiones</t>
        </is>
      </c>
      <c r="Z6" s="15"/>
      <c r="AA6" s="15"/>
      <c r="AB6" s="15"/>
      <c r="AC6" s="15"/>
      <c r="AD6" s="15"/>
      <c r="AF6" s="15" t="inlineStr">
        <is>
          <t>Flujo · US$ nominales</t>
        </is>
      </c>
      <c r="AG6" s="15"/>
      <c r="AH6" s="15"/>
      <c r="AI6" s="15"/>
      <c r="AK6" s="15" t="inlineStr">
        <is>
          <t>Portafolio · US$ nominales</t>
        </is>
      </c>
      <c r="AL6" s="15"/>
      <c r="AM6" s="15"/>
      <c r="AN6" s="15"/>
    </row>
    <row r="7" ht="18" customHeight="1">
      <c r="B7" s="16" t="inlineStr">
        <is>
          <t>Tipo de cambio ₡/US$</t>
        </is>
      </c>
      <c r="C7" s="16"/>
      <c r="D7" s="16"/>
      <c r="E7" s="16"/>
      <c r="F7" s="17">
        <v>450</v>
      </c>
      <c r="H7" s="16" t="inlineStr">
        <is>
          <t>Ingreso total mensual (actividad)</t>
        </is>
      </c>
      <c r="I7" s="16"/>
      <c r="J7" s="16"/>
      <c r="K7" s="17">
        <v>2700000</v>
      </c>
      <c r="L7" s="33" t="inlineStr">
        <is>
          <t>CRC</t>
        </is>
      </c>
      <c r="M7" s="22">
        <f>IF(L7="CRC",K7/$F$7,K7)</f>
        <v>6000</v>
      </c>
      <c r="N7" s="25">
        <v>1</v>
      </c>
      <c r="O7" s="34">
        <v>14</v>
      </c>
      <c r="Q7" s="16" t="inlineStr">
        <is>
          <t>Gasto familiar mensual</t>
        </is>
      </c>
      <c r="R7" s="16"/>
      <c r="S7" s="16"/>
      <c r="T7" s="17">
        <v>5500</v>
      </c>
      <c r="U7" s="33" t="inlineStr">
        <is>
          <t>USD</t>
        </is>
      </c>
      <c r="V7" s="22">
        <f>IF(U7="CRC",T7/$F$7,T7)</f>
        <v>5500</v>
      </c>
      <c r="W7" s="16"/>
      <c r="Y7" s="16" t="inlineStr">
        <is>
          <t>Capital inicial del portafolio</t>
        </is>
      </c>
      <c r="Z7" s="16"/>
      <c r="AA7" s="16"/>
      <c r="AB7" s="17">
        <v>250000</v>
      </c>
      <c r="AC7" s="33" t="inlineStr">
        <is>
          <t>USD</t>
        </is>
      </c>
      <c r="AD7" s="22">
        <f>IF(AC7="CRC",AB7/$F$7,AB7)</f>
        <v>250000</v>
      </c>
      <c r="AF7" s="16" t="inlineStr">
        <is>
          <t>Ingresos ordinarios</t>
        </is>
      </c>
      <c r="AG7" s="16"/>
      <c r="AH7" s="16"/>
      <c r="AI7" s="22">
        <f>SUM(L21:L70)</f>
        <v>5290555</v>
      </c>
      <c r="AK7" s="16" t="inlineStr">
        <is>
          <t>Capital inicial</t>
        </is>
      </c>
      <c r="AL7" s="16"/>
      <c r="AM7" s="16"/>
      <c r="AN7" s="22">
        <f>AI21</f>
        <v>250000</v>
      </c>
    </row>
    <row r="8" ht="18" customHeight="1">
      <c r="B8" s="16" t="inlineStr">
        <is>
          <t>Inflación</t>
        </is>
      </c>
      <c r="C8" s="16"/>
      <c r="D8" s="16"/>
      <c r="E8" s="16"/>
      <c r="F8" s="18">
        <v>0.039</v>
      </c>
      <c r="H8" s="16" t="inlineStr">
        <is>
          <t>Ingreso mensual de la pareja</t>
        </is>
      </c>
      <c r="I8" s="16"/>
      <c r="J8" s="16"/>
      <c r="K8" s="17">
        <v>0</v>
      </c>
      <c r="L8" s="33" t="inlineStr">
        <is>
          <t>USD</t>
        </is>
      </c>
      <c r="M8" s="22">
        <f>IF(L8="CRC",K8/$F$7,K8)</f>
        <v>0</v>
      </c>
      <c r="N8" s="25">
        <v>1</v>
      </c>
      <c r="O8" s="34">
        <v>0</v>
      </c>
      <c r="Q8" s="16" t="inlineStr">
        <is>
          <t>Gasto en el retiro (% del actual)</t>
        </is>
      </c>
      <c r="R8" s="16"/>
      <c r="S8" s="16"/>
      <c r="T8" s="18">
        <v>1</v>
      </c>
      <c r="U8" s="16"/>
      <c r="V8" s="24">
        <f>T8</f>
        <v>1</v>
      </c>
      <c r="W8" s="16"/>
      <c r="Y8" s="16" t="inlineStr">
        <is>
          <t>Superávit invertido en el horizonte (nominal)</t>
        </is>
      </c>
      <c r="Z8" s="16"/>
      <c r="AA8" s="16"/>
      <c r="AB8" s="16"/>
      <c r="AC8" s="16"/>
      <c r="AD8" s="22">
        <f>SUM(Y21:Y70)</f>
        <v>312351.86</v>
      </c>
      <c r="AF8" s="16" t="inlineStr">
        <is>
          <t>Ingresos extraordinarios</t>
        </is>
      </c>
      <c r="AG8" s="16"/>
      <c r="AH8" s="16"/>
      <c r="AI8" s="22">
        <f>SUM(O21:O70)</f>
        <v>437728</v>
      </c>
      <c r="AK8" s="16" t="inlineStr">
        <is>
          <t>Inversiones (superávit invertido)</t>
        </is>
      </c>
      <c r="AL8" s="16"/>
      <c r="AM8" s="16"/>
      <c r="AN8" s="22">
        <f>SUM(Z21:Z70)</f>
        <v>312352</v>
      </c>
    </row>
    <row r="9" ht="20" customHeight="1">
      <c r="B9" s="16" t="inlineStr">
        <is>
          <t>Inflación de la pensión</t>
        </is>
      </c>
      <c r="C9" s="16"/>
      <c r="D9" s="16"/>
      <c r="E9" s="16"/>
      <c r="F9" s="18">
        <v>0.01</v>
      </c>
      <c r="H9" s="16" t="inlineStr">
        <is>
          <t>Otros ingresos recurrentes al mes</t>
        </is>
      </c>
      <c r="I9" s="16"/>
      <c r="J9" s="16"/>
      <c r="K9" s="17">
        <v>500000</v>
      </c>
      <c r="L9" s="33" t="inlineStr">
        <is>
          <t>CRC</t>
        </is>
      </c>
      <c r="M9" s="22">
        <f>IF(L9="CRC",K9/$F$7,K9)</f>
        <v>1111.111111111111</v>
      </c>
      <c r="N9" s="34">
        <v>5</v>
      </c>
      <c r="O9" s="34">
        <v>50</v>
      </c>
      <c r="Q9" s="16" t="inlineStr">
        <is>
          <t>Gastos de dependientes al año (tabla)</t>
        </is>
      </c>
      <c r="R9" s="16"/>
      <c r="S9" s="16"/>
      <c r="T9" s="16"/>
      <c r="U9" s="16"/>
      <c r="V9" s="22">
        <f>SUM($F$93:$O$93)</f>
        <v>12000</v>
      </c>
      <c r="W9" s="16"/>
      <c r="Y9" s="15" t="inlineStr">
        <is>
          <t>Desinversiones · valor de hoy</t>
        </is>
      </c>
      <c r="Z9" s="15"/>
      <c r="AA9" s="15"/>
      <c r="AB9" s="15"/>
      <c r="AC9" s="15"/>
      <c r="AD9" s="15"/>
      <c r="AF9" s="16" t="inlineStr">
        <is>
          <t>Gastos ordinarios</t>
        </is>
      </c>
      <c r="AG9" s="16"/>
      <c r="AH9" s="16"/>
      <c r="AI9" s="22">
        <f>-SUM(U21:U70)</f>
        <v>-10525660</v>
      </c>
      <c r="AK9" s="16" t="inlineStr">
        <is>
          <t>Desinversiones (venta de activos)</t>
        </is>
      </c>
      <c r="AL9" s="16"/>
      <c r="AM9" s="16"/>
      <c r="AN9" s="22">
        <f>SUM(AD21:AD70)</f>
        <v>414012</v>
      </c>
    </row>
    <row r="10" ht="18" customHeight="1">
      <c r="B10" s="16" t="inlineStr">
        <is>
          <t>Rendimiento esperado del portafolio</t>
        </is>
      </c>
      <c r="C10" s="16"/>
      <c r="D10" s="16"/>
      <c r="E10" s="16"/>
      <c r="F10" s="18">
        <v>0.06</v>
      </c>
      <c r="H10" s="16" t="inlineStr">
        <is>
          <t>Pensión mensual</t>
        </is>
      </c>
      <c r="I10" s="16"/>
      <c r="J10" s="16"/>
      <c r="K10" s="17">
        <v>800000</v>
      </c>
      <c r="L10" s="33" t="inlineStr">
        <is>
          <t>CRC</t>
        </is>
      </c>
      <c r="M10" s="22">
        <f>IF(L10="CRC",K10/$F$7,K10)</f>
        <v>1777.7777777777778</v>
      </c>
      <c r="N10" s="25">
        <f>MAX($F$12+1,$F$13-C21+1)</f>
        <v>20</v>
      </c>
      <c r="O10" s="16"/>
      <c r="Q10" s="16" t="inlineStr">
        <is>
          <t>Donaciones al año</t>
        </is>
      </c>
      <c r="R10" s="16"/>
      <c r="S10" s="16"/>
      <c r="T10" s="17">
        <v>3000</v>
      </c>
      <c r="U10" s="33" t="inlineStr">
        <is>
          <t>USD</t>
        </is>
      </c>
      <c r="V10" s="22">
        <f>IF(U10="CRC",T10/$F$7,T10)</f>
        <v>3000</v>
      </c>
      <c r="W10" s="16"/>
      <c r="Y10" s="16" t="inlineStr">
        <is>
          <t>Venta de inmuebles (tabla)</t>
        </is>
      </c>
      <c r="Z10" s="16"/>
      <c r="AA10" s="16"/>
      <c r="AB10" s="16"/>
      <c r="AC10" s="16"/>
      <c r="AD10" s="22">
        <f>SUMPRODUCT(($F$87:$O$87=1)*$F$86:$O$86)</f>
        <v>180000</v>
      </c>
      <c r="AF10" s="16" t="inlineStr">
        <is>
          <t>Gastos extraordinarios</t>
        </is>
      </c>
      <c r="AG10" s="16"/>
      <c r="AH10" s="16"/>
      <c r="AI10" s="22">
        <f>-SUM(V21:V70)</f>
        <v>-922933</v>
      </c>
      <c r="AK10" s="16" t="inlineStr">
        <is>
          <t>Retiros del portafolio</t>
        </is>
      </c>
      <c r="AL10" s="16"/>
      <c r="AM10" s="16"/>
      <c r="AN10" s="22">
        <f>SUM(AH21:AH70)</f>
        <v>-6141635</v>
      </c>
    </row>
    <row r="11" ht="20" customHeight="1">
      <c r="B11" s="15" t="inlineStr">
        <is>
          <t>Datos del cliente</t>
        </is>
      </c>
      <c r="C11" s="15"/>
      <c r="D11" s="15"/>
      <c r="E11" s="15"/>
      <c r="F11" s="15"/>
      <c r="H11" s="16" t="inlineStr">
        <is>
          <t>Alquileres de inmuebles al mes (tabla)</t>
        </is>
      </c>
      <c r="I11" s="16"/>
      <c r="J11" s="16"/>
      <c r="K11" s="16"/>
      <c r="L11" s="16"/>
      <c r="M11" s="22">
        <f>SUM($F$97:$O$97)</f>
        <v>1100</v>
      </c>
      <c r="N11" s="16"/>
      <c r="O11" s="16"/>
      <c r="Q11" s="16" t="inlineStr">
        <is>
          <t>Cuota mensual de la hipoteca</t>
        </is>
      </c>
      <c r="R11" s="16"/>
      <c r="S11" s="16"/>
      <c r="T11" s="17">
        <v>1200</v>
      </c>
      <c r="U11" s="33" t="inlineStr">
        <is>
          <t>USD</t>
        </is>
      </c>
      <c r="V11" s="22">
        <f>IF(U11="CRC",T11/$F$7,T11)</f>
        <v>1200</v>
      </c>
      <c r="W11" s="34">
        <v>15</v>
      </c>
      <c r="Y11" s="16" t="inlineStr">
        <is>
          <t>Venta de la empresa (tabla)</t>
        </is>
      </c>
      <c r="Z11" s="16"/>
      <c r="AA11" s="16"/>
      <c r="AB11" s="16"/>
      <c r="AC11" s="16"/>
      <c r="AD11" s="22">
        <f>SUMPRODUCT(($F$87:$O$87=2)*$F$86:$O$86)</f>
        <v>0</v>
      </c>
      <c r="AF11" s="23" t="inlineStr">
        <is>
          <t>Flujo neto</t>
        </is>
      </c>
      <c r="AG11" s="23"/>
      <c r="AH11" s="23"/>
      <c r="AI11" s="23">
        <f>SUM(X21:X70)</f>
        <v>-5720310</v>
      </c>
      <c r="AK11" s="16" t="inlineStr">
        <is>
          <t>Rendimientos del portafolio</t>
        </is>
      </c>
      <c r="AL11" s="16"/>
      <c r="AM11" s="16"/>
      <c r="AN11" s="22">
        <f>SUM(AJ21:AJ70)</f>
        <v>1817319</v>
      </c>
    </row>
    <row r="12" ht="20" customHeight="1">
      <c r="B12" s="16" t="inlineStr">
        <is>
          <t>Años hasta la independencia</t>
        </is>
      </c>
      <c r="C12" s="16"/>
      <c r="D12" s="16"/>
      <c r="E12" s="16"/>
      <c r="F12" s="19">
        <v>14</v>
      </c>
      <c r="H12" s="16" t="inlineStr">
        <is>
          <t>Pensión del ROP</t>
        </is>
      </c>
      <c r="I12" s="16"/>
      <c r="J12" s="16"/>
      <c r="K12" s="26" t="inlineStr">
        <is>
          <t>Hoja «Fondos de pensión»</t>
        </is>
      </c>
      <c r="L12" s="26"/>
      <c r="M12" s="26"/>
      <c r="N12" s="16"/>
      <c r="O12" s="16"/>
      <c r="Q12" s="16" t="inlineStr">
        <is>
          <t>Cuotas mensuales de deudas (tabla)</t>
        </is>
      </c>
      <c r="R12" s="16"/>
      <c r="S12" s="16"/>
      <c r="T12" s="16"/>
      <c r="U12" s="16"/>
      <c r="V12" s="22">
        <f>SUM($F$120:$O$120)</f>
        <v>500</v>
      </c>
      <c r="W12" s="16"/>
      <c r="Y12" s="16" t="inlineStr">
        <is>
          <t>Venta de otros activos (tabla)</t>
        </is>
      </c>
      <c r="Z12" s="16"/>
      <c r="AA12" s="16"/>
      <c r="AB12" s="16"/>
      <c r="AC12" s="16"/>
      <c r="AD12" s="22">
        <f>SUMPRODUCT(($F$87:$O$87=3)*$F$86:$O$86)</f>
        <v>150000</v>
      </c>
      <c r="AF12" s="15" t="inlineStr">
        <is>
          <t>Resultado</t>
        </is>
      </c>
      <c r="AG12" s="15"/>
      <c r="AH12" s="15"/>
      <c r="AI12" s="15"/>
      <c r="AK12" s="16" t="inlineStr">
        <is>
          <t>Gasto no cubierto por el portafolio</t>
        </is>
      </c>
      <c r="AL12" s="16"/>
      <c r="AM12" s="16"/>
      <c r="AN12" s="22">
        <f>SUM(AK21:AK70)</f>
        <v>3347953</v>
      </c>
    </row>
    <row r="13" ht="20" customHeight="1">
      <c r="B13" s="16" t="inlineStr">
        <is>
          <t>Edad de inicio de la pensión</t>
        </is>
      </c>
      <c r="C13" s="16"/>
      <c r="D13" s="16"/>
      <c r="E13" s="16"/>
      <c r="F13" s="19">
        <v>65</v>
      </c>
      <c r="H13" s="15" t="inlineStr">
        <is>
          <t>Ingresos extraordinarios · valor de hoy</t>
        </is>
      </c>
      <c r="I13" s="15"/>
      <c r="J13" s="15"/>
      <c r="K13" s="15"/>
      <c r="L13" s="15"/>
      <c r="M13" s="15"/>
      <c r="N13" s="15"/>
      <c r="O13" s="15"/>
      <c r="Q13" s="15" t="inlineStr">
        <is>
          <t>Gastos extraordinarios · valor de hoy</t>
        </is>
      </c>
      <c r="R13" s="15"/>
      <c r="S13" s="15"/>
      <c r="T13" s="15"/>
      <c r="U13" s="15"/>
      <c r="V13" s="15"/>
      <c r="W13" s="15"/>
      <c r="Y13" s="15" t="inlineStr">
        <is>
          <t>Retiros del portafolio · valor de hoy</t>
        </is>
      </c>
      <c r="Z13" s="15"/>
      <c r="AA13" s="15"/>
      <c r="AB13" s="15"/>
      <c r="AC13" s="15"/>
      <c r="AD13" s="15"/>
      <c r="AF13" s="16" t="inlineStr">
        <is>
          <t>Herencia deseada (US$ de hoy)</t>
        </is>
      </c>
      <c r="AG13" s="16"/>
      <c r="AH13" s="16"/>
      <c r="AI13" s="22">
        <v>0</v>
      </c>
      <c r="AK13" s="23" t="inlineStr">
        <is>
          <t>Saldo final nominal</t>
        </is>
      </c>
      <c r="AL13" s="23"/>
      <c r="AM13" s="23"/>
      <c r="AN13" s="23">
        <f>AN7+AN8+AN9+AN10+AN11+AN12</f>
        <v>0</v>
      </c>
    </row>
    <row r="14" ht="18" customHeight="1">
      <c r="H14" s="16" t="inlineStr">
        <is>
          <t>Ingresos extraordinarios (tabla)</t>
        </is>
      </c>
      <c r="I14" s="16"/>
      <c r="J14" s="16"/>
      <c r="K14" s="16"/>
      <c r="L14" s="16"/>
      <c r="M14" s="22">
        <f>SUM($F$81:$O$81)</f>
        <v>160000</v>
      </c>
      <c r="N14" s="16"/>
      <c r="O14" s="16"/>
      <c r="Q14" s="16" t="inlineStr">
        <is>
          <t>Gastos extraordinarios (tabla)</t>
        </is>
      </c>
      <c r="R14" s="16"/>
      <c r="S14" s="16"/>
      <c r="T14" s="16"/>
      <c r="U14" s="16"/>
      <c r="V14" s="22">
        <f>SUM($F$114:$O$114)</f>
        <v>41000</v>
      </c>
      <c r="W14" s="16"/>
      <c r="Y14" s="16" t="inlineStr">
        <is>
          <t>Metas pagadas con el portafolio (tabla)</t>
        </is>
      </c>
      <c r="Z14" s="16"/>
      <c r="AA14" s="16"/>
      <c r="AB14" s="16"/>
      <c r="AC14" s="16"/>
      <c r="AD14" s="22">
        <f>SUM($F$103:$O$103)</f>
        <v>40000</v>
      </c>
      <c r="AF14" s="16" t="inlineStr">
        <is>
          <t>Edad a la que se agota el portafolio</t>
        </is>
      </c>
      <c r="AG14" s="16"/>
      <c r="AH14" s="16"/>
      <c r="AI14" s="25">
        <f>IF(AN15&gt;0,SUMPRODUCT(MIN((AK21:AK70&gt;0)*C21:C70+(AK21:AK70&lt;=0)*1000)),"No se agota")</f>
        <v>82</v>
      </c>
      <c r="AK14" s="23" t="inlineStr">
        <is>
          <t>Saldo final en dólares de hoy</t>
        </is>
      </c>
      <c r="AL14" s="23"/>
      <c r="AM14" s="23"/>
      <c r="AN14" s="23">
        <f>AM70</f>
        <v>0</v>
      </c>
    </row>
    <row r="15" ht="18" customHeight="1">
      <c r="H15" s="16" t="inlineStr">
        <is>
          <t>Traslado de FCL y pensión voluntaria</t>
        </is>
      </c>
      <c r="I15" s="16"/>
      <c r="J15" s="16"/>
      <c r="K15" s="26" t="inlineStr">
        <is>
          <t>Hoja «Fondos de pensión»</t>
        </is>
      </c>
      <c r="L15" s="26"/>
      <c r="M15" s="26"/>
      <c r="N15" s="16"/>
      <c r="O15" s="16"/>
      <c r="Y15" s="16" t="inlineStr">
        <is>
          <t>Primer retiro (tabla)</t>
        </is>
      </c>
      <c r="Z15" s="16"/>
      <c r="AA15" s="16"/>
      <c r="AB15" s="16"/>
      <c r="AC15" s="16"/>
      <c r="AD15" s="22">
        <f>$F$108</f>
        <v>50000</v>
      </c>
      <c r="AF15" s="23" t="inlineStr">
        <is>
          <t>¿Alcanza el plan?</t>
        </is>
      </c>
      <c r="AG15" s="23"/>
      <c r="AH15" s="23"/>
      <c r="AI15" s="23" t="str">
        <f>IF(AND(AN15&lt;=0,AN14&gt;=AI13),"Sí alcanza","No alcanza")</f>
        <v>No alcanza</v>
      </c>
      <c r="AK15" s="16" t="inlineStr">
        <is>
          <t>Gasto no cubierto, en dólares de hoy</t>
        </is>
      </c>
      <c r="AL15" s="16"/>
      <c r="AM15" s="16"/>
      <c r="AN15" s="22">
        <f>SUMPRODUCT(AK21:AK70/(1+$F$8)^D21:D70)</f>
        <v>615673</v>
      </c>
    </row>
    <row r="16" ht="18" customHeight="1">
      <c r="AK16" s="16" t="inlineStr">
        <is>
          <t>Saldo del ROP al final (fuera del portafolio)</t>
        </is>
      </c>
      <c r="AL16" s="16"/>
      <c r="AM16" s="16"/>
      <c r="AN16" s="22">
        <f>'Fondos de pensión'!H68</f>
        <v>54278</v>
      </c>
    </row>
    <row r="18" ht="22" customHeight="1">
      <c r="B18" s="13" t="inlineStr">
        <is>
          <t>Proyección anual · dólares nominales</t>
        </is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</row>
    <row r="19" ht="30" customHeight="1">
      <c r="B19" s="14" t="inlineStr">
        <is>
          <t>Período</t>
        </is>
      </c>
      <c r="C19" s="14"/>
      <c r="D19" s="14"/>
      <c r="E19" s="14"/>
      <c r="F19" s="14" t="inlineStr">
        <is>
          <t>Ingresos ordinarios</t>
        </is>
      </c>
      <c r="G19" s="14"/>
      <c r="H19" s="14"/>
      <c r="I19" s="14"/>
      <c r="J19" s="14"/>
      <c r="K19" s="14"/>
      <c r="L19" s="14"/>
      <c r="M19" s="14" t="inlineStr">
        <is>
          <t>Ingresos extraordinarios</t>
        </is>
      </c>
      <c r="N19" s="14"/>
      <c r="O19" s="14"/>
      <c r="P19" s="14" t="inlineStr">
        <is>
          <t>Ingresos totales</t>
        </is>
      </c>
      <c r="Q19" s="14" t="inlineStr">
        <is>
          <t>Gastos ordinarios</t>
        </is>
      </c>
      <c r="R19" s="14"/>
      <c r="S19" s="14"/>
      <c r="T19" s="14"/>
      <c r="U19" s="14"/>
      <c r="V19" s="14" t="inlineStr">
        <is>
          <t>Gastos extraordinarios</t>
        </is>
      </c>
      <c r="W19" s="14" t="inlineStr">
        <is>
          <t>Gastos totales</t>
        </is>
      </c>
      <c r="X19" s="14" t="inlineStr">
        <is>
          <t>Flujo neto</t>
        </is>
      </c>
      <c r="Y19" s="14" t="inlineStr">
        <is>
          <t>Inversiones</t>
        </is>
      </c>
      <c r="Z19" s="14"/>
      <c r="AA19" s="14" t="inlineStr">
        <is>
          <t>Desinversiones</t>
        </is>
      </c>
      <c r="AB19" s="14"/>
      <c r="AC19" s="14"/>
      <c r="AD19" s="14"/>
      <c r="AE19" s="14" t="inlineStr">
        <is>
          <t>Retiros del portafolio</t>
        </is>
      </c>
      <c r="AF19" s="14"/>
      <c r="AG19" s="14"/>
      <c r="AH19" s="14"/>
      <c r="AI19" s="14" t="inlineStr">
        <is>
          <t>Portafolio</t>
        </is>
      </c>
      <c r="AJ19" s="14"/>
      <c r="AK19" s="14"/>
      <c r="AL19" s="14"/>
      <c r="AM19" s="14"/>
      <c r="AN19" s="14"/>
    </row>
    <row r="20" ht="44" customHeight="1">
      <c r="B20" s="21" t="inlineStr">
        <is>
          <t>Año</t>
        </is>
      </c>
      <c r="C20" s="21" t="inlineStr">
        <is>
          <t>Edad</t>
        </is>
      </c>
      <c r="D20" s="21" t="inlineStr">
        <is>
          <t>Período</t>
        </is>
      </c>
      <c r="E20" s="21" t="inlineStr">
        <is>
          <t>Fase</t>
        </is>
      </c>
      <c r="F20" s="21" t="inlineStr">
        <is>
          <t>Ingreso total (actividad)</t>
        </is>
      </c>
      <c r="G20" s="21" t="inlineStr">
        <is>
          <t>Ingreso de la pareja</t>
        </is>
      </c>
      <c r="H20" s="21" t="inlineStr">
        <is>
          <t>Otros ingresos recurrentes</t>
        </is>
      </c>
      <c r="I20" s="21" t="inlineStr">
        <is>
          <t>Alquileres de inmuebles</t>
        </is>
      </c>
      <c r="J20" s="21" t="inlineStr">
        <is>
          <t>Pensión</t>
        </is>
      </c>
      <c r="K20" s="21" t="inlineStr">
        <is>
          <t>Pensión del ROP</t>
        </is>
      </c>
      <c r="L20" s="21" t="inlineStr">
        <is>
          <t>Total ingresos ordinarios</t>
        </is>
      </c>
      <c r="M20" s="21" t="inlineStr">
        <is>
          <t>Ingresos extraordinarios</t>
        </is>
      </c>
      <c r="N20" s="21" t="inlineStr">
        <is>
          <t>Traslado de FCL y pensión voluntaria</t>
        </is>
      </c>
      <c r="O20" s="21" t="inlineStr">
        <is>
          <t>Total ingresos extraordinarios</t>
        </is>
      </c>
      <c r="P20" s="21" t="inlineStr">
        <is>
          <t>Total ingresos</t>
        </is>
      </c>
      <c r="Q20" s="21" t="inlineStr">
        <is>
          <t>Gasto familiar</t>
        </is>
      </c>
      <c r="R20" s="21" t="inlineStr">
        <is>
          <t>Gastos de dependientes</t>
        </is>
      </c>
      <c r="S20" s="21" t="inlineStr">
        <is>
          <t>Donaciones</t>
        </is>
      </c>
      <c r="T20" s="21" t="inlineStr">
        <is>
          <t>Cuotas de hipoteca y deudas</t>
        </is>
      </c>
      <c r="U20" s="21" t="inlineStr">
        <is>
          <t>Total gastos ordinarios</t>
        </is>
      </c>
      <c r="V20" s="21" t="inlineStr">
        <is>
          <t>Total gastos extraordinarios</t>
        </is>
      </c>
      <c r="W20" s="21" t="inlineStr">
        <is>
          <t>Total gastos</t>
        </is>
      </c>
      <c r="X20" s="21" t="inlineStr">
        <is>
          <t>Flujo neto (ingresos − gastos)</t>
        </is>
      </c>
      <c r="Y20" s="21" t="inlineStr">
        <is>
          <t>Superávit invertido en el portafolio</t>
        </is>
      </c>
      <c r="Z20" s="21" t="inlineStr">
        <is>
          <t>Total inversiones</t>
        </is>
      </c>
      <c r="AA20" s="21" t="inlineStr">
        <is>
          <t>Venta de inmuebles</t>
        </is>
      </c>
      <c r="AB20" s="21" t="inlineStr">
        <is>
          <t>Venta de la empresa</t>
        </is>
      </c>
      <c r="AC20" s="21" t="inlineStr">
        <is>
          <t>Venta de otros activos</t>
        </is>
      </c>
      <c r="AD20" s="21" t="inlineStr">
        <is>
          <t>Total desinversiones</t>
        </is>
      </c>
      <c r="AE20" s="21" t="inlineStr">
        <is>
          <t>Retiro para cubrir el déficit</t>
        </is>
      </c>
      <c r="AF20" s="21" t="inlineStr">
        <is>
          <t>Metas pagadas con el portafolio</t>
        </is>
      </c>
      <c r="AG20" s="21" t="inlineStr">
        <is>
          <t>Primer retiro</t>
        </is>
      </c>
      <c r="AH20" s="21" t="inlineStr">
        <is>
          <t>Total retiros del portafolio</t>
        </is>
      </c>
      <c r="AI20" s="21" t="inlineStr">
        <is>
          <t>Portafolio inicial</t>
        </is>
      </c>
      <c r="AJ20" s="21" t="inlineStr">
        <is>
          <t>Rendimiento</t>
        </is>
      </c>
      <c r="AK20" s="21" t="inlineStr">
        <is>
          <t>Gasto no cubierto</t>
        </is>
      </c>
      <c r="AL20" s="21" t="inlineStr">
        <is>
          <t>Portafolio final nominal</t>
        </is>
      </c>
      <c r="AM20" s="21" t="inlineStr">
        <is>
          <t>Portafolio en términos reales</t>
        </is>
      </c>
      <c r="AN20" s="21" t="inlineStr">
        <is>
          <t>Tasa de retiro (% del portafolio)</t>
        </is>
      </c>
    </row>
    <row r="21">
      <c r="B21" s="25">
        <v>2026</v>
      </c>
      <c r="C21" s="25">
        <v>46</v>
      </c>
      <c r="D21" s="25">
        <v>1</v>
      </c>
      <c r="E21" s="26" t="str">
        <f>IF(D21&lt;=$F$12,"Acumulación","Retiro")</f>
        <v>Acumulación</v>
      </c>
      <c r="F21" s="22">
        <f>IF(D21&lt;=$O$7,$M$7*12*(1+$F$8)^(D21-1),0)</f>
        <v>72000</v>
      </c>
      <c r="G21" s="22">
        <f>IF(D21&lt;=$O$8,$M$8*12*(1+$F$8)^(D21-1),0)</f>
        <v>0</v>
      </c>
      <c r="H21" s="22">
        <f>IF(AND($M$9&gt;0,D21&gt;=$N$9,D21&lt;=$O$9),$M$9*12*(1+$F$8)^(D21-1),0)</f>
        <v>0</v>
      </c>
      <c r="I21" s="22">
        <f>SUMPRODUCT(($F$98:$O$98&gt;=B21)*$F$97:$O$97)*12*(1+$F$8)^(D21-1)</f>
        <v>13200</v>
      </c>
      <c r="J21" s="22">
        <f>IF(AND($M$10&gt;0,D21&gt;=$N$10),$M$10*12*(1+$F$8)^($N$10-1)*(1+$F$9)^(D21-$N$10),0)</f>
        <v>0</v>
      </c>
      <c r="K21" s="22">
        <f>'Fondos de pensión'!T19</f>
        <v>0</v>
      </c>
      <c r="L21" s="23">
        <f>SUM(F21:K21)</f>
        <v>85200</v>
      </c>
      <c r="M21" s="22">
        <f>SUMIF($F$78:$O$78,B21,$F$81:$O$81)*(1+$F$8)^(D21-1)</f>
        <v>0</v>
      </c>
      <c r="N21" s="22">
        <f>'Fondos de pensión'!S19</f>
        <v>0</v>
      </c>
      <c r="O21" s="23">
        <f>SUM(M21:N21)</f>
        <v>0</v>
      </c>
      <c r="P21" s="23">
        <f>L21+O21</f>
        <v>85200</v>
      </c>
      <c r="Q21" s="22">
        <f>$V$7*12*(1+$F$8)^(D21-1)*IF(D21&gt;$F$12,$V$8,1)</f>
        <v>66000</v>
      </c>
      <c r="R21" s="22">
        <f>SUMPRODUCT(($F$89:$O$89&lt;=B21)*($F$89:$O$89+$F$90:$O$90&gt;B21)*$F$93:$O$93)*(1+$F$8)^(D21-1)</f>
        <v>0</v>
      </c>
      <c r="S21" s="22">
        <f>$V$10*(1+$F$8)^(D21-1)</f>
        <v>3000</v>
      </c>
      <c r="T21" s="22">
        <f>IF(D21&lt;=$W$11,$V$11*12,0)+SUMPRODUCT(($F$123:$O$123&gt;=B21)*$F$120:$O$120)*12</f>
        <v>20400</v>
      </c>
      <c r="U21" s="23">
        <f>SUM(Q21:T21)</f>
        <v>89400</v>
      </c>
      <c r="V21" s="23">
        <f>(SUMPRODUCT(($F$111:$O$111=1)*($F$115:$O$115=B21)*$F$114:$O$114)+SUMPRODUCT(($F$111:$O$111=2)*($F$115:$O$115&lt;=B21)*$F$114:$O$114))*(1+$F$8)^(D21-1)</f>
        <v>0</v>
      </c>
      <c r="W21" s="23">
        <f>U21+V21</f>
        <v>89400</v>
      </c>
      <c r="X21" s="23">
        <f>P21-W21</f>
        <v>-4200</v>
      </c>
      <c r="Y21" s="22">
        <f>MAX(0,X21)</f>
        <v>0</v>
      </c>
      <c r="Z21" s="23">
        <f>Y21</f>
        <v>0</v>
      </c>
      <c r="AA21" s="22">
        <f>SUMPRODUCT(($F$83:$O$83=B21)*($F$87:$O$87=1)*$F$86:$O$86)*(1+$F$8)^(D21-1)</f>
        <v>0</v>
      </c>
      <c r="AB21" s="22">
        <f>SUMPRODUCT(($F$83:$O$83=B21)*($F$87:$O$87=2)*$F$86:$O$86)*(1+$F$8)^(D21-1)</f>
        <v>0</v>
      </c>
      <c r="AC21" s="22">
        <f>SUMPRODUCT(($F$83:$O$83=B21)*($F$87:$O$87=3)*$F$86:$O$86)*(1+$F$8)^(D21-1)</f>
        <v>0</v>
      </c>
      <c r="AD21" s="23">
        <f>SUM(AA21:AC21)</f>
        <v>0</v>
      </c>
      <c r="AE21" s="22">
        <f>MIN(0,X21)</f>
        <v>-4200</v>
      </c>
      <c r="AF21" s="22">
        <f>-SUMIF($F$100:$O$100,B21,$F$103:$O$103)*(1+$F$8)^(D21-1)</f>
        <v>0</v>
      </c>
      <c r="AG21" s="22">
        <f>IF(B21=$F$105,-$F$108*(1+$F$8)^(D21-1),0)</f>
        <v>0</v>
      </c>
      <c r="AH21" s="23">
        <f>SUM(AE21:AG21)</f>
        <v>-4200</v>
      </c>
      <c r="AI21" s="22">
        <f>$AD$7</f>
        <v>250000</v>
      </c>
      <c r="AJ21" s="22">
        <f>AI21*$F$10</f>
        <v>15000</v>
      </c>
      <c r="AK21" s="22">
        <f>MAX(0,-(AI21+AJ21+Z21+AD21+AH21))</f>
        <v>0</v>
      </c>
      <c r="AL21" s="23">
        <f>AI21+AJ21+Z21+AD21+AH21+AK21</f>
        <v>260800</v>
      </c>
      <c r="AM21" s="22">
        <f>AL21/(1+$F$8)^D21</f>
        <v>251011</v>
      </c>
      <c r="AN21" s="24">
        <f>IF(AI21&lt;=0,0,-AH21/AI21)</f>
        <v>0.0168</v>
      </c>
    </row>
    <row r="22">
      <c r="B22" s="25">
        <f>B21+1</f>
        <v>2027</v>
      </c>
      <c r="C22" s="25">
        <f>C21+1</f>
        <v>47</v>
      </c>
      <c r="D22" s="25">
        <f>D21+1</f>
        <v>2</v>
      </c>
      <c r="E22" s="26" t="str">
        <f>IF(D22&lt;=$F$12,"Acumulación","Retiro")</f>
        <v>Acumulación</v>
      </c>
      <c r="F22" s="22">
        <f>IF(D22&lt;=$O$7,$M$7*12*(1+$F$8)^(D22-1),0)</f>
        <v>74808</v>
      </c>
      <c r="G22" s="22">
        <f>IF(D22&lt;=$O$8,$M$8*12*(1+$F$8)^(D22-1),0)</f>
        <v>0</v>
      </c>
      <c r="H22" s="22">
        <f>IF(AND($M$9&gt;0,D22&gt;=$N$9,D22&lt;=$O$9),$M$9*12*(1+$F$8)^(D22-1),0)</f>
        <v>0</v>
      </c>
      <c r="I22" s="22">
        <f>SUMPRODUCT(($F$98:$O$98&gt;=B22)*$F$97:$O$97)*12*(1+$F$8)^(D22-1)</f>
        <v>13715</v>
      </c>
      <c r="J22" s="22">
        <f>IF(AND($M$10&gt;0,D22&gt;=$N$10),$M$10*12*(1+$F$8)^($N$10-1)*(1+$F$9)^(D22-$N$10),0)</f>
        <v>0</v>
      </c>
      <c r="K22" s="22">
        <f>'Fondos de pensión'!T20</f>
        <v>0</v>
      </c>
      <c r="L22" s="23">
        <f>SUM(F22:K22)</f>
        <v>88523</v>
      </c>
      <c r="M22" s="22">
        <f>SUMIF($F$78:$O$78,B22,$F$81:$O$81)*(1+$F$8)^(D22-1)</f>
        <v>0</v>
      </c>
      <c r="N22" s="22">
        <f>'Fondos de pensión'!S20</f>
        <v>0</v>
      </c>
      <c r="O22" s="23">
        <f>SUM(M22:N22)</f>
        <v>0</v>
      </c>
      <c r="P22" s="23">
        <f>L22+O22</f>
        <v>88523</v>
      </c>
      <c r="Q22" s="22">
        <f>$V$7*12*(1+$F$8)^(D22-1)*IF(D22&gt;$F$12,$V$8,1)</f>
        <v>68574</v>
      </c>
      <c r="R22" s="22">
        <f>SUMPRODUCT(($F$89:$O$89&lt;=B22)*($F$89:$O$89+$F$90:$O$90&gt;B22)*$F$93:$O$93)*(1+$F$8)^(D22-1)</f>
        <v>0</v>
      </c>
      <c r="S22" s="22">
        <f>$V$10*(1+$F$8)^(D22-1)</f>
        <v>3117</v>
      </c>
      <c r="T22" s="22">
        <f>IF(D22&lt;=$W$11,$V$11*12,0)+SUMPRODUCT(($F$123:$O$123&gt;=B22)*$F$120:$O$120)*12</f>
        <v>20400</v>
      </c>
      <c r="U22" s="23">
        <f>SUM(Q22:T22)</f>
        <v>92091</v>
      </c>
      <c r="V22" s="23">
        <f>(SUMPRODUCT(($F$111:$O$111=1)*($F$115:$O$115=B22)*$F$114:$O$114)+SUMPRODUCT(($F$111:$O$111=2)*($F$115:$O$115&lt;=B22)*$F$114:$O$114))*(1+$F$8)^(D22-1)</f>
        <v>6234</v>
      </c>
      <c r="W22" s="23">
        <f>U22+V22</f>
        <v>98325</v>
      </c>
      <c r="X22" s="23">
        <f>P22-W22</f>
        <v>-9802</v>
      </c>
      <c r="Y22" s="22">
        <f>MAX(0,X22)</f>
        <v>0</v>
      </c>
      <c r="Z22" s="23">
        <f>Y22</f>
        <v>0</v>
      </c>
      <c r="AA22" s="22">
        <f>SUMPRODUCT(($F$83:$O$83=B22)*($F$87:$O$87=1)*$F$86:$O$86)*(1+$F$8)^(D22-1)</f>
        <v>0</v>
      </c>
      <c r="AB22" s="22">
        <f>SUMPRODUCT(($F$83:$O$83=B22)*($F$87:$O$87=2)*$F$86:$O$86)*(1+$F$8)^(D22-1)</f>
        <v>0</v>
      </c>
      <c r="AC22" s="22">
        <f>SUMPRODUCT(($F$83:$O$83=B22)*($F$87:$O$87=3)*$F$86:$O$86)*(1+$F$8)^(D22-1)</f>
        <v>0</v>
      </c>
      <c r="AD22" s="23">
        <f>SUM(AA22:AC22)</f>
        <v>0</v>
      </c>
      <c r="AE22" s="22">
        <f>MIN(0,X22)</f>
        <v>-9802</v>
      </c>
      <c r="AF22" s="22">
        <f>-SUMIF($F$100:$O$100,B22,$F$103:$O$103)*(1+$F$8)^(D22-1)</f>
        <v>0</v>
      </c>
      <c r="AG22" s="22">
        <f>IF(B22=$F$105,-$F$108*(1+$F$8)^(D22-1),0)</f>
        <v>0</v>
      </c>
      <c r="AH22" s="23">
        <f>SUM(AE22:AG22)</f>
        <v>-9802</v>
      </c>
      <c r="AI22" s="22">
        <f>AL21</f>
        <v>260800</v>
      </c>
      <c r="AJ22" s="22">
        <f>AI22*$F$10</f>
        <v>15648</v>
      </c>
      <c r="AK22" s="22">
        <f>MAX(0,-(AI22+AJ22+Z22+AD22+AH22))</f>
        <v>0</v>
      </c>
      <c r="AL22" s="23">
        <f>AI22+AJ22+Z22+AD22+AH22+AK22</f>
        <v>266646</v>
      </c>
      <c r="AM22" s="22">
        <f>AL22/(1+$F$8)^D22</f>
        <v>247004</v>
      </c>
      <c r="AN22" s="24">
        <f>IF(AI22&lt;=0,0,-AH22/AI22)</f>
        <v>0.03758512269938649</v>
      </c>
    </row>
    <row r="23">
      <c r="B23" s="25">
        <f>B22+1</f>
        <v>2028</v>
      </c>
      <c r="C23" s="25">
        <f>C22+1</f>
        <v>48</v>
      </c>
      <c r="D23" s="25">
        <f>D22+1</f>
        <v>3</v>
      </c>
      <c r="E23" s="26" t="str">
        <f>IF(D23&lt;=$F$12,"Acumulación","Retiro")</f>
        <v>Acumulación</v>
      </c>
      <c r="F23" s="22">
        <f>IF(D23&lt;=$O$7,$M$7*12*(1+$F$8)^(D23-1),0)</f>
        <v>77726</v>
      </c>
      <c r="G23" s="22">
        <f>IF(D23&lt;=$O$8,$M$8*12*(1+$F$8)^(D23-1),0)</f>
        <v>0</v>
      </c>
      <c r="H23" s="22">
        <f>IF(AND($M$9&gt;0,D23&gt;=$N$9,D23&lt;=$O$9),$M$9*12*(1+$F$8)^(D23-1),0)</f>
        <v>0</v>
      </c>
      <c r="I23" s="22">
        <f>SUMPRODUCT(($F$98:$O$98&gt;=B23)*$F$97:$O$97)*12*(1+$F$8)^(D23-1)</f>
        <v>14250</v>
      </c>
      <c r="J23" s="22">
        <f>IF(AND($M$10&gt;0,D23&gt;=$N$10),$M$10*12*(1+$F$8)^($N$10-1)*(1+$F$9)^(D23-$N$10),0)</f>
        <v>0</v>
      </c>
      <c r="K23" s="22">
        <f>'Fondos de pensión'!T21</f>
        <v>0</v>
      </c>
      <c r="L23" s="23">
        <f>SUM(F23:K23)</f>
        <v>91975</v>
      </c>
      <c r="M23" s="22">
        <f>SUMIF($F$78:$O$78,B23,$F$81:$O$81)*(1+$F$8)^(D23-1)</f>
        <v>43181</v>
      </c>
      <c r="N23" s="22">
        <f>'Fondos de pensión'!S21</f>
        <v>0</v>
      </c>
      <c r="O23" s="23">
        <f>SUM(M23:N23)</f>
        <v>43181</v>
      </c>
      <c r="P23" s="23">
        <f>L23+O23</f>
        <v>135156</v>
      </c>
      <c r="Q23" s="22">
        <f>$V$7*12*(1+$F$8)^(D23-1)*IF(D23&gt;$F$12,$V$8,1)</f>
        <v>71248</v>
      </c>
      <c r="R23" s="22">
        <f>SUMPRODUCT(($F$89:$O$89&lt;=B23)*($F$89:$O$89+$F$90:$O$90&gt;B23)*$F$93:$O$93)*(1+$F$8)^(D23-1)</f>
        <v>0</v>
      </c>
      <c r="S23" s="22">
        <f>$V$10*(1+$F$8)^(D23-1)</f>
        <v>3239</v>
      </c>
      <c r="T23" s="22">
        <f>IF(D23&lt;=$W$11,$V$11*12,0)+SUMPRODUCT(($F$123:$O$123&gt;=B23)*$F$120:$O$120)*12</f>
        <v>18600</v>
      </c>
      <c r="U23" s="23">
        <f>SUM(Q23:T23)</f>
        <v>93087</v>
      </c>
      <c r="V23" s="23">
        <f>(SUMPRODUCT(($F$111:$O$111=1)*($F$115:$O$115=B23)*$F$114:$O$114)+SUMPRODUCT(($F$111:$O$111=2)*($F$115:$O$115&lt;=B23)*$F$114:$O$114))*(1+$F$8)^(D23-1)</f>
        <v>6477</v>
      </c>
      <c r="W23" s="23">
        <f>U23+V23</f>
        <v>99564</v>
      </c>
      <c r="X23" s="23">
        <f>P23-W23</f>
        <v>35592</v>
      </c>
      <c r="Y23" s="22">
        <f>MAX(0,X23)</f>
        <v>35592</v>
      </c>
      <c r="Z23" s="23">
        <f>Y23</f>
        <v>35592</v>
      </c>
      <c r="AA23" s="22">
        <f>SUMPRODUCT(($F$83:$O$83=B23)*($F$87:$O$87=1)*$F$86:$O$86)*(1+$F$8)^(D23-1)</f>
        <v>0</v>
      </c>
      <c r="AB23" s="22">
        <f>SUMPRODUCT(($F$83:$O$83=B23)*($F$87:$O$87=2)*$F$86:$O$86)*(1+$F$8)^(D23-1)</f>
        <v>0</v>
      </c>
      <c r="AC23" s="22">
        <f>SUMPRODUCT(($F$83:$O$83=B23)*($F$87:$O$87=3)*$F$86:$O$86)*(1+$F$8)^(D23-1)</f>
        <v>0</v>
      </c>
      <c r="AD23" s="23">
        <f>SUM(AA23:AC23)</f>
        <v>0</v>
      </c>
      <c r="AE23" s="22">
        <f>MIN(0,X23)</f>
        <v>0</v>
      </c>
      <c r="AF23" s="22">
        <f>-SUMIF($F$100:$O$100,B23,$F$103:$O$103)*(1+$F$8)^(D23-1)</f>
        <v>0</v>
      </c>
      <c r="AG23" s="22">
        <f>IF(B23=$F$105,-$F$108*(1+$F$8)^(D23-1),0)</f>
        <v>0</v>
      </c>
      <c r="AH23" s="23">
        <f>SUM(AE23:AG23)</f>
        <v>0</v>
      </c>
      <c r="AI23" s="22">
        <f>AL22</f>
        <v>266646</v>
      </c>
      <c r="AJ23" s="22">
        <f>AI23*$F$10</f>
        <v>15999</v>
      </c>
      <c r="AK23" s="22">
        <f>MAX(0,-(AI23+AJ23+Z23+AD23+AH23))</f>
        <v>0</v>
      </c>
      <c r="AL23" s="23">
        <f>AI23+AJ23+Z23+AD23+AH23+AK23</f>
        <v>318237</v>
      </c>
      <c r="AM23" s="22">
        <f>AL23/(1+$F$8)^D23</f>
        <v>283729</v>
      </c>
      <c r="AN23" s="24">
        <f>IF(AI23&lt;=0,0,-AH23/AI23)</f>
        <v>0</v>
      </c>
    </row>
    <row r="24">
      <c r="B24" s="25">
        <f>B23+1</f>
        <v>2029</v>
      </c>
      <c r="C24" s="25">
        <f>C23+1</f>
        <v>49</v>
      </c>
      <c r="D24" s="25">
        <f>D23+1</f>
        <v>4</v>
      </c>
      <c r="E24" s="26" t="str">
        <f>IF(D24&lt;=$F$12,"Acumulación","Retiro")</f>
        <v>Acumulación</v>
      </c>
      <c r="F24" s="22">
        <f>IF(D24&lt;=$O$7,$M$7*12*(1+$F$8)^(D24-1),0)</f>
        <v>80757</v>
      </c>
      <c r="G24" s="22">
        <f>IF(D24&lt;=$O$8,$M$8*12*(1+$F$8)^(D24-1),0)</f>
        <v>0</v>
      </c>
      <c r="H24" s="22">
        <f>IF(AND($M$9&gt;0,D24&gt;=$N$9,D24&lt;=$O$9),$M$9*12*(1+$F$8)^(D24-1),0)</f>
        <v>0</v>
      </c>
      <c r="I24" s="22">
        <f>SUMPRODUCT(($F$98:$O$98&gt;=B24)*$F$97:$O$97)*12*(1+$F$8)^(D24-1)</f>
        <v>14805</v>
      </c>
      <c r="J24" s="22">
        <f>IF(AND($M$10&gt;0,D24&gt;=$N$10),$M$10*12*(1+$F$8)^($N$10-1)*(1+$F$9)^(D24-$N$10),0)</f>
        <v>0</v>
      </c>
      <c r="K24" s="22">
        <f>'Fondos de pensión'!T22</f>
        <v>0</v>
      </c>
      <c r="L24" s="23">
        <f>SUM(F24:K24)</f>
        <v>95562</v>
      </c>
      <c r="M24" s="22">
        <f>SUMIF($F$78:$O$78,B24,$F$81:$O$81)*(1+$F$8)^(D24-1)</f>
        <v>0</v>
      </c>
      <c r="N24" s="22">
        <f>'Fondos de pensión'!S22</f>
        <v>0</v>
      </c>
      <c r="O24" s="23">
        <f>SUM(M24:N24)</f>
        <v>0</v>
      </c>
      <c r="P24" s="23">
        <f>L24+O24</f>
        <v>95562</v>
      </c>
      <c r="Q24" s="22">
        <f>$V$7*12*(1+$F$8)^(D24-1)*IF(D24&gt;$F$12,$V$8,1)</f>
        <v>74027</v>
      </c>
      <c r="R24" s="22">
        <f>SUMPRODUCT(($F$89:$O$89&lt;=B24)*($F$89:$O$89+$F$90:$O$90&gt;B24)*$F$93:$O$93)*(1+$F$8)^(D24-1)</f>
        <v>0</v>
      </c>
      <c r="S24" s="22">
        <f>$V$10*(1+$F$8)^(D24-1)</f>
        <v>3365</v>
      </c>
      <c r="T24" s="22">
        <f>IF(D24&lt;=$W$11,$V$11*12,0)+SUMPRODUCT(($F$123:$O$123&gt;=B24)*$F$120:$O$120)*12</f>
        <v>18600</v>
      </c>
      <c r="U24" s="23">
        <f>SUM(Q24:T24)</f>
        <v>95992</v>
      </c>
      <c r="V24" s="23">
        <f>(SUMPRODUCT(($F$111:$O$111=1)*($F$115:$O$115=B24)*$F$114:$O$114)+SUMPRODUCT(($F$111:$O$111=2)*($F$115:$O$115&lt;=B24)*$F$114:$O$114))*(1+$F$8)^(D24-1)</f>
        <v>6730</v>
      </c>
      <c r="W24" s="23">
        <f>U24+V24</f>
        <v>102722</v>
      </c>
      <c r="X24" s="23">
        <f>P24-W24</f>
        <v>-7159</v>
      </c>
      <c r="Y24" s="22">
        <f>MAX(0,X24)</f>
        <v>0</v>
      </c>
      <c r="Z24" s="23">
        <f>Y24</f>
        <v>0</v>
      </c>
      <c r="AA24" s="22">
        <f>SUMPRODUCT(($F$83:$O$83=B24)*($F$87:$O$87=1)*$F$86:$O$86)*(1+$F$8)^(D24-1)</f>
        <v>0</v>
      </c>
      <c r="AB24" s="22">
        <f>SUMPRODUCT(($F$83:$O$83=B24)*($F$87:$O$87=2)*$F$86:$O$86)*(1+$F$8)^(D24-1)</f>
        <v>0</v>
      </c>
      <c r="AC24" s="22">
        <f>SUMPRODUCT(($F$83:$O$83=B24)*($F$87:$O$87=3)*$F$86:$O$86)*(1+$F$8)^(D24-1)</f>
        <v>0</v>
      </c>
      <c r="AD24" s="23">
        <f>SUM(AA24:AC24)</f>
        <v>0</v>
      </c>
      <c r="AE24" s="22">
        <f>MIN(0,X24)</f>
        <v>-7159</v>
      </c>
      <c r="AF24" s="22">
        <f>-SUMIF($F$100:$O$100,B24,$F$103:$O$103)*(1+$F$8)^(D24-1)</f>
        <v>0</v>
      </c>
      <c r="AG24" s="22">
        <f>IF(B24=$F$105,-$F$108*(1+$F$8)^(D24-1),0)</f>
        <v>0</v>
      </c>
      <c r="AH24" s="23">
        <f>SUM(AE24:AG24)</f>
        <v>-7159</v>
      </c>
      <c r="AI24" s="22">
        <f>AL23</f>
        <v>318237</v>
      </c>
      <c r="AJ24" s="22">
        <f>AI24*$F$10</f>
        <v>19094</v>
      </c>
      <c r="AK24" s="22">
        <f>MAX(0,-(AI24+AJ24+Z24+AD24+AH24))</f>
        <v>0</v>
      </c>
      <c r="AL24" s="23">
        <f>AI24+AJ24+Z24+AD24+AH24+AK24</f>
        <v>330171</v>
      </c>
      <c r="AM24" s="22">
        <f>AL24/(1+$F$8)^D24</f>
        <v>283320</v>
      </c>
      <c r="AN24" s="24">
        <f>IF(AI24&lt;=0,0,-AH24/AI24)</f>
        <v>0.022497269473193724</v>
      </c>
    </row>
    <row r="25">
      <c r="B25" s="25">
        <f>B24+1</f>
        <v>2030</v>
      </c>
      <c r="C25" s="25">
        <f>C24+1</f>
        <v>50</v>
      </c>
      <c r="D25" s="25">
        <f>D24+1</f>
        <v>5</v>
      </c>
      <c r="E25" s="26" t="str">
        <f>IF(D25&lt;=$F$12,"Acumulación","Retiro")</f>
        <v>Acumulación</v>
      </c>
      <c r="F25" s="22">
        <f>IF(D25&lt;=$O$7,$M$7*12*(1+$F$8)^(D25-1),0)</f>
        <v>83906</v>
      </c>
      <c r="G25" s="22">
        <f>IF(D25&lt;=$O$8,$M$8*12*(1+$F$8)^(D25-1),0)</f>
        <v>0</v>
      </c>
      <c r="H25" s="22">
        <f>IF(AND($M$9&gt;0,D25&gt;=$N$9,D25&lt;=$O$9),$M$9*12*(1+$F$8)^(D25-1),0)</f>
        <v>15538</v>
      </c>
      <c r="I25" s="22">
        <f>SUMPRODUCT(($F$98:$O$98&gt;=B25)*$F$97:$O$97)*12*(1+$F$8)^(D25-1)</f>
        <v>15383</v>
      </c>
      <c r="J25" s="22">
        <f>IF(AND($M$10&gt;0,D25&gt;=$N$10),$M$10*12*(1+$F$8)^($N$10-1)*(1+$F$9)^(D25-$N$10),0)</f>
        <v>0</v>
      </c>
      <c r="K25" s="22">
        <f>'Fondos de pensión'!T23</f>
        <v>0</v>
      </c>
      <c r="L25" s="23">
        <f>SUM(F25:K25)</f>
        <v>114827</v>
      </c>
      <c r="M25" s="22">
        <f>SUMIF($F$78:$O$78,B25,$F$81:$O$81)*(1+$F$8)^(D25-1)</f>
        <v>0</v>
      </c>
      <c r="N25" s="22">
        <f>'Fondos de pensión'!S23</f>
        <v>0</v>
      </c>
      <c r="O25" s="23">
        <f>SUM(M25:N25)</f>
        <v>0</v>
      </c>
      <c r="P25" s="23">
        <f>L25+O25</f>
        <v>114827</v>
      </c>
      <c r="Q25" s="22">
        <f>$V$7*12*(1+$F$8)^(D25-1)*IF(D25&gt;$F$12,$V$8,1)</f>
        <v>76914</v>
      </c>
      <c r="R25" s="22">
        <f>SUMPRODUCT(($F$89:$O$89&lt;=B25)*($F$89:$O$89+$F$90:$O$90&gt;B25)*$F$93:$O$93)*(1+$F$8)^(D25-1)</f>
        <v>13984</v>
      </c>
      <c r="S25" s="22">
        <f>$V$10*(1+$F$8)^(D25-1)</f>
        <v>3496</v>
      </c>
      <c r="T25" s="22">
        <f>IF(D25&lt;=$W$11,$V$11*12,0)+SUMPRODUCT(($F$123:$O$123&gt;=B25)*$F$120:$O$120)*12</f>
        <v>14400</v>
      </c>
      <c r="U25" s="23">
        <f>SUM(Q25:T25)</f>
        <v>108795</v>
      </c>
      <c r="V25" s="23">
        <f>(SUMPRODUCT(($F$111:$O$111=1)*($F$115:$O$115=B25)*$F$114:$O$114)+SUMPRODUCT(($F$111:$O$111=2)*($F$115:$O$115&lt;=B25)*$F$114:$O$114))*(1+$F$8)^(D25-1)</f>
        <v>47780</v>
      </c>
      <c r="W25" s="23">
        <f>U25+V25</f>
        <v>156575</v>
      </c>
      <c r="X25" s="23">
        <f>P25-W25</f>
        <v>-41747</v>
      </c>
      <c r="Y25" s="22">
        <f>MAX(0,X25)</f>
        <v>0</v>
      </c>
      <c r="Z25" s="23">
        <f>Y25</f>
        <v>0</v>
      </c>
      <c r="AA25" s="22">
        <f>SUMPRODUCT(($F$83:$O$83=B25)*($F$87:$O$87=1)*$F$86:$O$86)*(1+$F$8)^(D25-1)</f>
        <v>0</v>
      </c>
      <c r="AB25" s="22">
        <f>SUMPRODUCT(($F$83:$O$83=B25)*($F$87:$O$87=2)*$F$86:$O$86)*(1+$F$8)^(D25-1)</f>
        <v>0</v>
      </c>
      <c r="AC25" s="22">
        <f>SUMPRODUCT(($F$83:$O$83=B25)*($F$87:$O$87=3)*$F$86:$O$86)*(1+$F$8)^(D25-1)</f>
        <v>0</v>
      </c>
      <c r="AD25" s="23">
        <f>SUM(AA25:AC25)</f>
        <v>0</v>
      </c>
      <c r="AE25" s="22">
        <f>MIN(0,X25)</f>
        <v>-41747</v>
      </c>
      <c r="AF25" s="22">
        <f>-SUMIF($F$100:$O$100,B25,$F$103:$O$103)*(1+$F$8)^(D25-1)</f>
        <v>0</v>
      </c>
      <c r="AG25" s="22">
        <f>IF(B25=$F$105,-$F$108*(1+$F$8)^(D25-1),0)</f>
        <v>0</v>
      </c>
      <c r="AH25" s="23">
        <f>SUM(AE25:AG25)</f>
        <v>-41747</v>
      </c>
      <c r="AI25" s="22">
        <f>AL24</f>
        <v>330171</v>
      </c>
      <c r="AJ25" s="22">
        <f>AI25*$F$10</f>
        <v>19810</v>
      </c>
      <c r="AK25" s="22">
        <f>MAX(0,-(AI25+AJ25+Z25+AD25+AH25))</f>
        <v>0</v>
      </c>
      <c r="AL25" s="23">
        <f>AI25+AJ25+Z25+AD25+AH25+AK25</f>
        <v>308234</v>
      </c>
      <c r="AM25" s="22">
        <f>AL25/(1+$F$8)^D25</f>
        <v>254568</v>
      </c>
      <c r="AN25" s="24">
        <f>IF(AI25&lt;=0,0,-AH25/AI25)</f>
        <v>0.1264411940725392</v>
      </c>
    </row>
    <row r="26">
      <c r="B26" s="25">
        <f>B25+1</f>
        <v>2031</v>
      </c>
      <c r="C26" s="25">
        <f>C25+1</f>
        <v>51</v>
      </c>
      <c r="D26" s="25">
        <f>D25+1</f>
        <v>6</v>
      </c>
      <c r="E26" s="26" t="str">
        <f>IF(D26&lt;=$F$12,"Acumulación","Retiro")</f>
        <v>Acumulación</v>
      </c>
      <c r="F26" s="22">
        <f>IF(D26&lt;=$O$7,$M$7*12*(1+$F$8)^(D26-1),0)</f>
        <v>87179</v>
      </c>
      <c r="G26" s="22">
        <f>IF(D26&lt;=$O$8,$M$8*12*(1+$F$8)^(D26-1),0)</f>
        <v>0</v>
      </c>
      <c r="H26" s="22">
        <f>IF(AND($M$9&gt;0,D26&gt;=$N$9,D26&lt;=$O$9),$M$9*12*(1+$F$8)^(D26-1),0)</f>
        <v>16144</v>
      </c>
      <c r="I26" s="22">
        <f>SUMPRODUCT(($F$98:$O$98&gt;=B26)*$F$97:$O$97)*12*(1+$F$8)^(D26-1)</f>
        <v>0</v>
      </c>
      <c r="J26" s="22">
        <f>IF(AND($M$10&gt;0,D26&gt;=$N$10),$M$10*12*(1+$F$8)^($N$10-1)*(1+$F$9)^(D26-$N$10),0)</f>
        <v>0</v>
      </c>
      <c r="K26" s="22">
        <f>'Fondos de pensión'!T24</f>
        <v>0</v>
      </c>
      <c r="L26" s="23">
        <f>SUM(F26:K26)</f>
        <v>103323</v>
      </c>
      <c r="M26" s="22">
        <f>SUMIF($F$78:$O$78,B26,$F$81:$O$81)*(1+$F$8)^(D26-1)</f>
        <v>0</v>
      </c>
      <c r="N26" s="22">
        <f>'Fondos de pensión'!S24</f>
        <v>0</v>
      </c>
      <c r="O26" s="23">
        <f>SUM(M26:N26)</f>
        <v>0</v>
      </c>
      <c r="P26" s="23">
        <f>L26+O26</f>
        <v>103323</v>
      </c>
      <c r="Q26" s="22">
        <f>$V$7*12*(1+$F$8)^(D26-1)*IF(D26&gt;$F$12,$V$8,1)</f>
        <v>79914</v>
      </c>
      <c r="R26" s="22">
        <f>SUMPRODUCT(($F$89:$O$89&lt;=B26)*($F$89:$O$89+$F$90:$O$90&gt;B26)*$F$93:$O$93)*(1+$F$8)^(D26-1)</f>
        <v>14530</v>
      </c>
      <c r="S26" s="22">
        <f>$V$10*(1+$F$8)^(D26-1)</f>
        <v>3632</v>
      </c>
      <c r="T26" s="22">
        <f>IF(D26&lt;=$W$11,$V$11*12,0)+SUMPRODUCT(($F$123:$O$123&gt;=B26)*$F$120:$O$120)*12</f>
        <v>14400</v>
      </c>
      <c r="U26" s="23">
        <f>SUM(Q26:T26)</f>
        <v>112476</v>
      </c>
      <c r="V26" s="23">
        <f>(SUMPRODUCT(($F$111:$O$111=1)*($F$115:$O$115=B26)*$F$114:$O$114)+SUMPRODUCT(($F$111:$O$111=2)*($F$115:$O$115&lt;=B26)*$F$114:$O$114))*(1+$F$8)^(D26-1)</f>
        <v>7265</v>
      </c>
      <c r="W26" s="23">
        <f>U26+V26</f>
        <v>119741</v>
      </c>
      <c r="X26" s="23">
        <f>P26-W26</f>
        <v>-16418</v>
      </c>
      <c r="Y26" s="22">
        <f>MAX(0,X26)</f>
        <v>0</v>
      </c>
      <c r="Z26" s="23">
        <f>Y26</f>
        <v>0</v>
      </c>
      <c r="AA26" s="22">
        <f>SUMPRODUCT(($F$83:$O$83=B26)*($F$87:$O$87=1)*$F$86:$O$86)*(1+$F$8)^(D26-1)</f>
        <v>217947</v>
      </c>
      <c r="AB26" s="22">
        <f>SUMPRODUCT(($F$83:$O$83=B26)*($F$87:$O$87=2)*$F$86:$O$86)*(1+$F$8)^(D26-1)</f>
        <v>0</v>
      </c>
      <c r="AC26" s="22">
        <f>SUMPRODUCT(($F$83:$O$83=B26)*($F$87:$O$87=3)*$F$86:$O$86)*(1+$F$8)^(D26-1)</f>
        <v>0</v>
      </c>
      <c r="AD26" s="23">
        <f>SUM(AA26:AC26)</f>
        <v>217947</v>
      </c>
      <c r="AE26" s="22">
        <f>MIN(0,X26)</f>
        <v>-16418</v>
      </c>
      <c r="AF26" s="22">
        <f>-SUMIF($F$100:$O$100,B26,$F$103:$O$103)*(1+$F$8)^(D26-1)</f>
        <v>-48433</v>
      </c>
      <c r="AG26" s="22">
        <f>IF(B26=$F$105,-$F$108*(1+$F$8)^(D26-1),0)</f>
        <v>-60541</v>
      </c>
      <c r="AH26" s="23">
        <f>SUM(AE26:AG26)</f>
        <v>-125391</v>
      </c>
      <c r="AI26" s="22">
        <f>AL25</f>
        <v>308234</v>
      </c>
      <c r="AJ26" s="22">
        <f>AI26*$F$10</f>
        <v>18494</v>
      </c>
      <c r="AK26" s="22">
        <f>MAX(0,-(AI26+AJ26+Z26+AD26+AH26))</f>
        <v>0</v>
      </c>
      <c r="AL26" s="23">
        <f>AI26+AJ26+Z26+AD26+AH26+AK26</f>
        <v>419284</v>
      </c>
      <c r="AM26" s="22">
        <f>AL26/(1+$F$8)^D26</f>
        <v>333284</v>
      </c>
      <c r="AN26" s="24">
        <f>IF(AI26&lt;=0,0,-AH26/AI26)</f>
        <v>0.40680538735390914</v>
      </c>
    </row>
    <row r="27">
      <c r="B27" s="25">
        <f>B26+1</f>
        <v>2032</v>
      </c>
      <c r="C27" s="25">
        <f>C26+1</f>
        <v>52</v>
      </c>
      <c r="D27" s="25">
        <f>D26+1</f>
        <v>7</v>
      </c>
      <c r="E27" s="26" t="str">
        <f>IF(D27&lt;=$F$12,"Acumulación","Retiro")</f>
        <v>Acumulación</v>
      </c>
      <c r="F27" s="22">
        <f>IF(D27&lt;=$O$7,$M$7*12*(1+$F$8)^(D27-1),0)</f>
        <v>90579</v>
      </c>
      <c r="G27" s="22">
        <f>IF(D27&lt;=$O$8,$M$8*12*(1+$F$8)^(D27-1),0)</f>
        <v>0</v>
      </c>
      <c r="H27" s="22">
        <f>IF(AND($M$9&gt;0,D27&gt;=$N$9,D27&lt;=$O$9),$M$9*12*(1+$F$8)^(D27-1),0)</f>
        <v>16774</v>
      </c>
      <c r="I27" s="22">
        <f>SUMPRODUCT(($F$98:$O$98&gt;=B27)*$F$97:$O$97)*12*(1+$F$8)^(D27-1)</f>
        <v>0</v>
      </c>
      <c r="J27" s="22">
        <f>IF(AND($M$10&gt;0,D27&gt;=$N$10),$M$10*12*(1+$F$8)^($N$10-1)*(1+$F$9)^(D27-$N$10),0)</f>
        <v>0</v>
      </c>
      <c r="K27" s="22">
        <f>'Fondos de pensión'!T25</f>
        <v>0</v>
      </c>
      <c r="L27" s="23">
        <f>SUM(F27:K27)</f>
        <v>107352</v>
      </c>
      <c r="M27" s="22">
        <f>SUMIF($F$78:$O$78,B27,$F$81:$O$81)*(1+$F$8)^(D27-1)</f>
        <v>150964</v>
      </c>
      <c r="N27" s="22">
        <f>'Fondos de pensión'!S25</f>
        <v>0</v>
      </c>
      <c r="O27" s="23">
        <f>SUM(M27:N27)</f>
        <v>150964</v>
      </c>
      <c r="P27" s="23">
        <f>L27+O27</f>
        <v>258317</v>
      </c>
      <c r="Q27" s="22">
        <f>$V$7*12*(1+$F$8)^(D27-1)*IF(D27&gt;$F$12,$V$8,1)</f>
        <v>83030</v>
      </c>
      <c r="R27" s="22">
        <f>SUMPRODUCT(($F$89:$O$89&lt;=B27)*($F$89:$O$89+$F$90:$O$90&gt;B27)*$F$93:$O$93)*(1+$F$8)^(D27-1)</f>
        <v>15096</v>
      </c>
      <c r="S27" s="22">
        <f>$V$10*(1+$F$8)^(D27-1)</f>
        <v>3774</v>
      </c>
      <c r="T27" s="22">
        <f>IF(D27&lt;=$W$11,$V$11*12,0)+SUMPRODUCT(($F$123:$O$123&gt;=B27)*$F$120:$O$120)*12</f>
        <v>14400</v>
      </c>
      <c r="U27" s="23">
        <f>SUM(Q27:T27)</f>
        <v>116301</v>
      </c>
      <c r="V27" s="23">
        <f>(SUMPRODUCT(($F$111:$O$111=1)*($F$115:$O$115=B27)*$F$114:$O$114)+SUMPRODUCT(($F$111:$O$111=2)*($F$115:$O$115&lt;=B27)*$F$114:$O$114))*(1+$F$8)^(D27-1)</f>
        <v>7548</v>
      </c>
      <c r="W27" s="23">
        <f>U27+V27</f>
        <v>123849</v>
      </c>
      <c r="X27" s="23">
        <f>P27-W27</f>
        <v>134468</v>
      </c>
      <c r="Y27" s="22">
        <f>MAX(0,X27)</f>
        <v>134468</v>
      </c>
      <c r="Z27" s="23">
        <f>Y27</f>
        <v>134468</v>
      </c>
      <c r="AA27" s="22">
        <f>SUMPRODUCT(($F$83:$O$83=B27)*($F$87:$O$87=1)*$F$86:$O$86)*(1+$F$8)^(D27-1)</f>
        <v>0</v>
      </c>
      <c r="AB27" s="22">
        <f>SUMPRODUCT(($F$83:$O$83=B27)*($F$87:$O$87=2)*$F$86:$O$86)*(1+$F$8)^(D27-1)</f>
        <v>0</v>
      </c>
      <c r="AC27" s="22">
        <f>SUMPRODUCT(($F$83:$O$83=B27)*($F$87:$O$87=3)*$F$86:$O$86)*(1+$F$8)^(D27-1)</f>
        <v>0</v>
      </c>
      <c r="AD27" s="23">
        <f>SUM(AA27:AC27)</f>
        <v>0</v>
      </c>
      <c r="AE27" s="22">
        <f>MIN(0,X27)</f>
        <v>0</v>
      </c>
      <c r="AF27" s="22">
        <f>-SUMIF($F$100:$O$100,B27,$F$103:$O$103)*(1+$F$8)^(D27-1)</f>
        <v>0</v>
      </c>
      <c r="AG27" s="22">
        <f>IF(B27=$F$105,-$F$108*(1+$F$8)^(D27-1),0)</f>
        <v>0</v>
      </c>
      <c r="AH27" s="23">
        <f>SUM(AE27:AG27)</f>
        <v>0</v>
      </c>
      <c r="AI27" s="22">
        <f>AL26</f>
        <v>419284</v>
      </c>
      <c r="AJ27" s="22">
        <f>AI27*$F$10</f>
        <v>25157</v>
      </c>
      <c r="AK27" s="22">
        <f>MAX(0,-(AI27+AJ27+Z27+AD27+AH27))</f>
        <v>0</v>
      </c>
      <c r="AL27" s="23">
        <f>AI27+AJ27+Z27+AD27+AH27+AK27</f>
        <v>578908</v>
      </c>
      <c r="AM27" s="22">
        <f>AL27/(1+$F$8)^D27</f>
        <v>442895</v>
      </c>
      <c r="AN27" s="24">
        <f>IF(AI27&lt;=0,0,-AH27/AI27)</f>
        <v>0</v>
      </c>
    </row>
    <row r="28">
      <c r="B28" s="25">
        <f>B27+1</f>
        <v>2033</v>
      </c>
      <c r="C28" s="25">
        <f>C27+1</f>
        <v>53</v>
      </c>
      <c r="D28" s="25">
        <f>D27+1</f>
        <v>8</v>
      </c>
      <c r="E28" s="26" t="str">
        <f>IF(D28&lt;=$F$12,"Acumulación","Retiro")</f>
        <v>Acumulación</v>
      </c>
      <c r="F28" s="22">
        <f>IF(D28&lt;=$O$7,$M$7*12*(1+$F$8)^(D28-1),0)</f>
        <v>94111</v>
      </c>
      <c r="G28" s="22">
        <f>IF(D28&lt;=$O$8,$M$8*12*(1+$F$8)^(D28-1),0)</f>
        <v>0</v>
      </c>
      <c r="H28" s="22">
        <f>IF(AND($M$9&gt;0,D28&gt;=$N$9,D28&lt;=$O$9),$M$9*12*(1+$F$8)^(D28-1),0)</f>
        <v>17428</v>
      </c>
      <c r="I28" s="22">
        <f>SUMPRODUCT(($F$98:$O$98&gt;=B28)*$F$97:$O$97)*12*(1+$F$8)^(D28-1)</f>
        <v>0</v>
      </c>
      <c r="J28" s="22">
        <f>IF(AND($M$10&gt;0,D28&gt;=$N$10),$M$10*12*(1+$F$8)^($N$10-1)*(1+$F$9)^(D28-$N$10),0)</f>
        <v>0</v>
      </c>
      <c r="K28" s="22">
        <f>'Fondos de pensión'!T26</f>
        <v>0</v>
      </c>
      <c r="L28" s="23">
        <f>SUM(F28:K28)</f>
        <v>111539</v>
      </c>
      <c r="M28" s="22">
        <f>SUMIF($F$78:$O$78,B28,$F$81:$O$81)*(1+$F$8)^(D28-1)</f>
        <v>0</v>
      </c>
      <c r="N28" s="22">
        <f>'Fondos de pensión'!S26</f>
        <v>0</v>
      </c>
      <c r="O28" s="23">
        <f>SUM(M28:N28)</f>
        <v>0</v>
      </c>
      <c r="P28" s="23">
        <f>L28+O28</f>
        <v>111539</v>
      </c>
      <c r="Q28" s="22">
        <f>$V$7*12*(1+$F$8)^(D28-1)*IF(D28&gt;$F$12,$V$8,1)</f>
        <v>86269</v>
      </c>
      <c r="R28" s="22">
        <f>SUMPRODUCT(($F$89:$O$89&lt;=B28)*($F$89:$O$89+$F$90:$O$90&gt;B28)*$F$93:$O$93)*(1+$F$8)^(D28-1)</f>
        <v>15685</v>
      </c>
      <c r="S28" s="22">
        <f>$V$10*(1+$F$8)^(D28-1)</f>
        <v>3921</v>
      </c>
      <c r="T28" s="22">
        <f>IF(D28&lt;=$W$11,$V$11*12,0)+SUMPRODUCT(($F$123:$O$123&gt;=B28)*$F$120:$O$120)*12</f>
        <v>14400</v>
      </c>
      <c r="U28" s="23">
        <f>SUM(Q28:T28)</f>
        <v>120275</v>
      </c>
      <c r="V28" s="23">
        <f>(SUMPRODUCT(($F$111:$O$111=1)*($F$115:$O$115=B28)*$F$114:$O$114)+SUMPRODUCT(($F$111:$O$111=2)*($F$115:$O$115&lt;=B28)*$F$114:$O$114))*(1+$F$8)^(D28-1)</f>
        <v>7843</v>
      </c>
      <c r="W28" s="23">
        <f>U28+V28</f>
        <v>128118</v>
      </c>
      <c r="X28" s="23">
        <f>P28-W28</f>
        <v>-16579</v>
      </c>
      <c r="Y28" s="22">
        <f>MAX(0,X28)</f>
        <v>0</v>
      </c>
      <c r="Z28" s="23">
        <f>Y28</f>
        <v>0</v>
      </c>
      <c r="AA28" s="22">
        <f>SUMPRODUCT(($F$83:$O$83=B28)*($F$87:$O$87=1)*$F$86:$O$86)*(1+$F$8)^(D28-1)</f>
        <v>0</v>
      </c>
      <c r="AB28" s="22">
        <f>SUMPRODUCT(($F$83:$O$83=B28)*($F$87:$O$87=2)*$F$86:$O$86)*(1+$F$8)^(D28-1)</f>
        <v>0</v>
      </c>
      <c r="AC28" s="22">
        <f>SUMPRODUCT(($F$83:$O$83=B28)*($F$87:$O$87=3)*$F$86:$O$86)*(1+$F$8)^(D28-1)</f>
        <v>196065</v>
      </c>
      <c r="AD28" s="23">
        <f>SUM(AA28:AC28)</f>
        <v>196065</v>
      </c>
      <c r="AE28" s="22">
        <f>MIN(0,X28)</f>
        <v>-16579</v>
      </c>
      <c r="AF28" s="22">
        <f>-SUMIF($F$100:$O$100,B28,$F$103:$O$103)*(1+$F$8)^(D28-1)</f>
        <v>0</v>
      </c>
      <c r="AG28" s="22">
        <f>IF(B28=$F$105,-$F$108*(1+$F$8)^(D28-1),0)</f>
        <v>0</v>
      </c>
      <c r="AH28" s="23">
        <f>SUM(AE28:AG28)</f>
        <v>-16579</v>
      </c>
      <c r="AI28" s="22">
        <f>AL27</f>
        <v>578908</v>
      </c>
      <c r="AJ28" s="22">
        <f>AI28*$F$10</f>
        <v>34734</v>
      </c>
      <c r="AK28" s="22">
        <f>MAX(0,-(AI28+AJ28+Z28+AD28+AH28))</f>
        <v>0</v>
      </c>
      <c r="AL28" s="23">
        <f>AI28+AJ28+Z28+AD28+AH28+AK28</f>
        <v>793129</v>
      </c>
      <c r="AM28" s="22">
        <f>AL28/(1+$F$8)^D28</f>
        <v>584009</v>
      </c>
      <c r="AN28" s="24">
        <f>IF(AI28&lt;=0,0,-AH28/AI28)</f>
        <v>0.028637522499597154</v>
      </c>
    </row>
    <row r="29">
      <c r="B29" s="25">
        <f>B28+1</f>
        <v>2034</v>
      </c>
      <c r="C29" s="25">
        <f>C28+1</f>
        <v>54</v>
      </c>
      <c r="D29" s="25">
        <f>D28+1</f>
        <v>9</v>
      </c>
      <c r="E29" s="26" t="str">
        <f>IF(D29&lt;=$F$12,"Acumulación","Retiro")</f>
        <v>Acumulación</v>
      </c>
      <c r="F29" s="22">
        <f>IF(D29&lt;=$O$7,$M$7*12*(1+$F$8)^(D29-1),0)</f>
        <v>97782</v>
      </c>
      <c r="G29" s="22">
        <f>IF(D29&lt;=$O$8,$M$8*12*(1+$F$8)^(D29-1),0)</f>
        <v>0</v>
      </c>
      <c r="H29" s="22">
        <f>IF(AND($M$9&gt;0,D29&gt;=$N$9,D29&lt;=$O$9),$M$9*12*(1+$F$8)^(D29-1),0)</f>
        <v>18108</v>
      </c>
      <c r="I29" s="22">
        <f>SUMPRODUCT(($F$98:$O$98&gt;=B29)*$F$97:$O$97)*12*(1+$F$8)^(D29-1)</f>
        <v>0</v>
      </c>
      <c r="J29" s="22">
        <f>IF(AND($M$10&gt;0,D29&gt;=$N$10),$M$10*12*(1+$F$8)^($N$10-1)*(1+$F$9)^(D29-$N$10),0)</f>
        <v>0</v>
      </c>
      <c r="K29" s="22">
        <f>'Fondos de pensión'!T27</f>
        <v>0</v>
      </c>
      <c r="L29" s="23">
        <f>SUM(F29:K29)</f>
        <v>115889</v>
      </c>
      <c r="M29" s="22">
        <f>SUMIF($F$78:$O$78,B29,$F$81:$O$81)*(1+$F$8)^(D29-1)</f>
        <v>0</v>
      </c>
      <c r="N29" s="22">
        <f>'Fondos de pensión'!S27</f>
        <v>0</v>
      </c>
      <c r="O29" s="23">
        <f>SUM(M29:N29)</f>
        <v>0</v>
      </c>
      <c r="P29" s="23">
        <f>L29+O29</f>
        <v>115889</v>
      </c>
      <c r="Q29" s="22">
        <f>$V$7*12*(1+$F$8)^(D29-1)*IF(D29&gt;$F$12,$V$8,1)</f>
        <v>89633</v>
      </c>
      <c r="R29" s="22">
        <f>SUMPRODUCT(($F$89:$O$89&lt;=B29)*($F$89:$O$89+$F$90:$O$90&gt;B29)*$F$93:$O$93)*(1+$F$8)^(D29-1)</f>
        <v>16297</v>
      </c>
      <c r="S29" s="22">
        <f>$V$10*(1+$F$8)^(D29-1)</f>
        <v>4074</v>
      </c>
      <c r="T29" s="22">
        <f>IF(D29&lt;=$W$11,$V$11*12,0)+SUMPRODUCT(($F$123:$O$123&gt;=B29)*$F$120:$O$120)*12</f>
        <v>14400</v>
      </c>
      <c r="U29" s="23">
        <f>SUM(Q29:T29)</f>
        <v>124404</v>
      </c>
      <c r="V29" s="23">
        <f>(SUMPRODUCT(($F$111:$O$111=1)*($F$115:$O$115=B29)*$F$114:$O$114)+SUMPRODUCT(($F$111:$O$111=2)*($F$115:$O$115&lt;=B29)*$F$114:$O$114))*(1+$F$8)^(D29-1)</f>
        <v>8148</v>
      </c>
      <c r="W29" s="23">
        <f>U29+V29</f>
        <v>132553</v>
      </c>
      <c r="X29" s="23">
        <f>P29-W29</f>
        <v>-16663</v>
      </c>
      <c r="Y29" s="22">
        <f>MAX(0,X29)</f>
        <v>0</v>
      </c>
      <c r="Z29" s="23">
        <f>Y29</f>
        <v>0</v>
      </c>
      <c r="AA29" s="22">
        <f>SUMPRODUCT(($F$83:$O$83=B29)*($F$87:$O$87=1)*$F$86:$O$86)*(1+$F$8)^(D29-1)</f>
        <v>0</v>
      </c>
      <c r="AB29" s="22">
        <f>SUMPRODUCT(($F$83:$O$83=B29)*($F$87:$O$87=2)*$F$86:$O$86)*(1+$F$8)^(D29-1)</f>
        <v>0</v>
      </c>
      <c r="AC29" s="22">
        <f>SUMPRODUCT(($F$83:$O$83=B29)*($F$87:$O$87=3)*$F$86:$O$86)*(1+$F$8)^(D29-1)</f>
        <v>0</v>
      </c>
      <c r="AD29" s="23">
        <f>SUM(AA29:AC29)</f>
        <v>0</v>
      </c>
      <c r="AE29" s="22">
        <f>MIN(0,X29)</f>
        <v>-16663</v>
      </c>
      <c r="AF29" s="22">
        <f>-SUMIF($F$100:$O$100,B29,$F$103:$O$103)*(1+$F$8)^(D29-1)</f>
        <v>0</v>
      </c>
      <c r="AG29" s="22">
        <f>IF(B29=$F$105,-$F$108*(1+$F$8)^(D29-1),0)</f>
        <v>0</v>
      </c>
      <c r="AH29" s="23">
        <f>SUM(AE29:AG29)</f>
        <v>-16663</v>
      </c>
      <c r="AI29" s="22">
        <f>AL28</f>
        <v>793129</v>
      </c>
      <c r="AJ29" s="22">
        <f>AI29*$F$10</f>
        <v>47588</v>
      </c>
      <c r="AK29" s="22">
        <f>MAX(0,-(AI29+AJ29+Z29+AD29+AH29))</f>
        <v>0</v>
      </c>
      <c r="AL29" s="23">
        <f>AI29+AJ29+Z29+AD29+AH29+AK29</f>
        <v>824054</v>
      </c>
      <c r="AM29" s="22">
        <f>AL29/(1+$F$8)^D29</f>
        <v>584004</v>
      </c>
      <c r="AN29" s="24">
        <f>IF(AI29&lt;=0,0,-AH29/AI29)</f>
        <v>0.021009765973704596</v>
      </c>
    </row>
    <row r="30">
      <c r="B30" s="25">
        <f>B29+1</f>
        <v>2035</v>
      </c>
      <c r="C30" s="25">
        <f>C29+1</f>
        <v>55</v>
      </c>
      <c r="D30" s="25">
        <f>D29+1</f>
        <v>10</v>
      </c>
      <c r="E30" s="26" t="str">
        <f>IF(D30&lt;=$F$12,"Acumulación","Retiro")</f>
        <v>Acumulación</v>
      </c>
      <c r="F30" s="22">
        <f>IF(D30&lt;=$O$7,$M$7*12*(1+$F$8)^(D30-1),0)</f>
        <v>101595</v>
      </c>
      <c r="G30" s="22">
        <f>IF(D30&lt;=$O$8,$M$8*12*(1+$F$8)^(D30-1),0)</f>
        <v>0</v>
      </c>
      <c r="H30" s="22">
        <f>IF(AND($M$9&gt;0,D30&gt;=$N$9,D30&lt;=$O$9),$M$9*12*(1+$F$8)^(D30-1),0)</f>
        <v>18814</v>
      </c>
      <c r="I30" s="22">
        <f>SUMPRODUCT(($F$98:$O$98&gt;=B30)*$F$97:$O$97)*12*(1+$F$8)^(D30-1)</f>
        <v>0</v>
      </c>
      <c r="J30" s="22">
        <f>IF(AND($M$10&gt;0,D30&gt;=$N$10),$M$10*12*(1+$F$8)^($N$10-1)*(1+$F$9)^(D30-$N$10),0)</f>
        <v>0</v>
      </c>
      <c r="K30" s="22">
        <f>'Fondos de pensión'!T28</f>
        <v>0</v>
      </c>
      <c r="L30" s="23">
        <f>SUM(F30:K30)</f>
        <v>120409</v>
      </c>
      <c r="M30" s="22">
        <f>SUMIF($F$78:$O$78,B30,$F$81:$O$81)*(1+$F$8)^(D30-1)</f>
        <v>0</v>
      </c>
      <c r="N30" s="22">
        <f>'Fondos de pensión'!S28</f>
        <v>0</v>
      </c>
      <c r="O30" s="23">
        <f>SUM(M30:N30)</f>
        <v>0</v>
      </c>
      <c r="P30" s="23">
        <f>L30+O30</f>
        <v>120409</v>
      </c>
      <c r="Q30" s="22">
        <f>$V$7*12*(1+$F$8)^(D30-1)*IF(D30&gt;$F$12,$V$8,1)</f>
        <v>93129</v>
      </c>
      <c r="R30" s="22">
        <f>SUMPRODUCT(($F$89:$O$89&lt;=B30)*($F$89:$O$89+$F$90:$O$90&gt;B30)*$F$93:$O$93)*(1+$F$8)^(D30-1)</f>
        <v>0</v>
      </c>
      <c r="S30" s="22">
        <f>$V$10*(1+$F$8)^(D30-1)</f>
        <v>4233</v>
      </c>
      <c r="T30" s="22">
        <f>IF(D30&lt;=$W$11,$V$11*12,0)+SUMPRODUCT(($F$123:$O$123&gt;=B30)*$F$120:$O$120)*12</f>
        <v>14400</v>
      </c>
      <c r="U30" s="23">
        <f>SUM(Q30:T30)</f>
        <v>111762</v>
      </c>
      <c r="V30" s="23">
        <f>(SUMPRODUCT(($F$111:$O$111=1)*($F$115:$O$115=B30)*$F$114:$O$114)+SUMPRODUCT(($F$111:$O$111=2)*($F$115:$O$115&lt;=B30)*$F$114:$O$114))*(1+$F$8)^(D30-1)</f>
        <v>8466</v>
      </c>
      <c r="W30" s="23">
        <f>U30+V30</f>
        <v>120228</v>
      </c>
      <c r="X30" s="23">
        <f>P30-W30</f>
        <v>181</v>
      </c>
      <c r="Y30" s="22">
        <f>MAX(0,X30)</f>
        <v>181</v>
      </c>
      <c r="Z30" s="23">
        <f>Y30</f>
        <v>181</v>
      </c>
      <c r="AA30" s="22">
        <f>SUMPRODUCT(($F$83:$O$83=B30)*($F$87:$O$87=1)*$F$86:$O$86)*(1+$F$8)^(D30-1)</f>
        <v>0</v>
      </c>
      <c r="AB30" s="22">
        <f>SUMPRODUCT(($F$83:$O$83=B30)*($F$87:$O$87=2)*$F$86:$O$86)*(1+$F$8)^(D30-1)</f>
        <v>0</v>
      </c>
      <c r="AC30" s="22">
        <f>SUMPRODUCT(($F$83:$O$83=B30)*($F$87:$O$87=3)*$F$86:$O$86)*(1+$F$8)^(D30-1)</f>
        <v>0</v>
      </c>
      <c r="AD30" s="23">
        <f>SUM(AA30:AC30)</f>
        <v>0</v>
      </c>
      <c r="AE30" s="22">
        <f>MIN(0,X30)</f>
        <v>0</v>
      </c>
      <c r="AF30" s="22">
        <f>-SUMIF($F$100:$O$100,B30,$F$103:$O$103)*(1+$F$8)^(D30-1)</f>
        <v>0</v>
      </c>
      <c r="AG30" s="22">
        <f>IF(B30=$F$105,-$F$108*(1+$F$8)^(D30-1),0)</f>
        <v>0</v>
      </c>
      <c r="AH30" s="23">
        <f>SUM(AE30:AG30)</f>
        <v>0</v>
      </c>
      <c r="AI30" s="22">
        <f>AL29</f>
        <v>824054</v>
      </c>
      <c r="AJ30" s="22">
        <f>AI30*$F$10</f>
        <v>49443</v>
      </c>
      <c r="AK30" s="22">
        <f>MAX(0,-(AI30+AJ30+Z30+AD30+AH30))</f>
        <v>0</v>
      </c>
      <c r="AL30" s="23">
        <f>AI30+AJ30+Z30+AD30+AH30+AK30</f>
        <v>873678</v>
      </c>
      <c r="AM30" s="22">
        <f>AL30/(1+$F$8)^D30</f>
        <v>595931</v>
      </c>
      <c r="AN30" s="24">
        <f>IF(AI30&lt;=0,0,-AH30/AI30)</f>
        <v>0</v>
      </c>
    </row>
    <row r="31">
      <c r="B31" s="25">
        <f>B30+1</f>
        <v>2036</v>
      </c>
      <c r="C31" s="25">
        <f>C30+1</f>
        <v>56</v>
      </c>
      <c r="D31" s="25">
        <f>D30+1</f>
        <v>11</v>
      </c>
      <c r="E31" s="26" t="str">
        <f>IF(D31&lt;=$F$12,"Acumulación","Retiro")</f>
        <v>Acumulación</v>
      </c>
      <c r="F31" s="22">
        <f>IF(D31&lt;=$O$7,$M$7*12*(1+$F$8)^(D31-1),0)</f>
        <v>105557</v>
      </c>
      <c r="G31" s="22">
        <f>IF(D31&lt;=$O$8,$M$8*12*(1+$F$8)^(D31-1),0)</f>
        <v>0</v>
      </c>
      <c r="H31" s="22">
        <f>IF(AND($M$9&gt;0,D31&gt;=$N$9,D31&lt;=$O$9),$M$9*12*(1+$F$8)^(D31-1),0)</f>
        <v>19548</v>
      </c>
      <c r="I31" s="22">
        <f>SUMPRODUCT(($F$98:$O$98&gt;=B31)*$F$97:$O$97)*12*(1+$F$8)^(D31-1)</f>
        <v>0</v>
      </c>
      <c r="J31" s="22">
        <f>IF(AND($M$10&gt;0,D31&gt;=$N$10),$M$10*12*(1+$F$8)^($N$10-1)*(1+$F$9)^(D31-$N$10),0)</f>
        <v>0</v>
      </c>
      <c r="K31" s="22">
        <f>'Fondos de pensión'!T29</f>
        <v>0</v>
      </c>
      <c r="L31" s="23">
        <f>SUM(F31:K31)</f>
        <v>125105</v>
      </c>
      <c r="M31" s="22">
        <f>SUMIF($F$78:$O$78,B31,$F$81:$O$81)*(1+$F$8)^(D31-1)</f>
        <v>0</v>
      </c>
      <c r="N31" s="22">
        <f>'Fondos de pensión'!S29</f>
        <v>0</v>
      </c>
      <c r="O31" s="23">
        <f>SUM(M31:N31)</f>
        <v>0</v>
      </c>
      <c r="P31" s="23">
        <f>L31+O31</f>
        <v>125105</v>
      </c>
      <c r="Q31" s="22">
        <f>$V$7*12*(1+$F$8)^(D31-1)*IF(D31&gt;$F$12,$V$8,1)</f>
        <v>96761</v>
      </c>
      <c r="R31" s="22">
        <f>SUMPRODUCT(($F$89:$O$89&lt;=B31)*($F$89:$O$89+$F$90:$O$90&gt;B31)*$F$93:$O$93)*(1+$F$8)^(D31-1)</f>
        <v>0</v>
      </c>
      <c r="S31" s="22">
        <f>$V$10*(1+$F$8)^(D31-1)</f>
        <v>4398</v>
      </c>
      <c r="T31" s="22">
        <f>IF(D31&lt;=$W$11,$V$11*12,0)+SUMPRODUCT(($F$123:$O$123&gt;=B31)*$F$120:$O$120)*12</f>
        <v>14400</v>
      </c>
      <c r="U31" s="23">
        <f>SUM(Q31:T31)</f>
        <v>115559</v>
      </c>
      <c r="V31" s="23">
        <f>(SUMPRODUCT(($F$111:$O$111=1)*($F$115:$O$115=B31)*$F$114:$O$114)+SUMPRODUCT(($F$111:$O$111=2)*($F$115:$O$115&lt;=B31)*$F$114:$O$114))*(1+$F$8)^(D31-1)</f>
        <v>8796</v>
      </c>
      <c r="W31" s="23">
        <f>U31+V31</f>
        <v>124355</v>
      </c>
      <c r="X31" s="23">
        <f>P31-W31</f>
        <v>749</v>
      </c>
      <c r="Y31" s="22">
        <f>MAX(0,X31)</f>
        <v>749</v>
      </c>
      <c r="Z31" s="23">
        <f>Y31</f>
        <v>749</v>
      </c>
      <c r="AA31" s="22">
        <f>SUMPRODUCT(($F$83:$O$83=B31)*($F$87:$O$87=1)*$F$86:$O$86)*(1+$F$8)^(D31-1)</f>
        <v>0</v>
      </c>
      <c r="AB31" s="22">
        <f>SUMPRODUCT(($F$83:$O$83=B31)*($F$87:$O$87=2)*$F$86:$O$86)*(1+$F$8)^(D31-1)</f>
        <v>0</v>
      </c>
      <c r="AC31" s="22">
        <f>SUMPRODUCT(($F$83:$O$83=B31)*($F$87:$O$87=3)*$F$86:$O$86)*(1+$F$8)^(D31-1)</f>
        <v>0</v>
      </c>
      <c r="AD31" s="23">
        <f>SUM(AA31:AC31)</f>
        <v>0</v>
      </c>
      <c r="AE31" s="22">
        <f>MIN(0,X31)</f>
        <v>0</v>
      </c>
      <c r="AF31" s="22">
        <f>-SUMIF($F$100:$O$100,B31,$F$103:$O$103)*(1+$F$8)^(D31-1)</f>
        <v>0</v>
      </c>
      <c r="AG31" s="22">
        <f>IF(B31=$F$105,-$F$108*(1+$F$8)^(D31-1),0)</f>
        <v>0</v>
      </c>
      <c r="AH31" s="23">
        <f>SUM(AE31:AG31)</f>
        <v>0</v>
      </c>
      <c r="AI31" s="22">
        <f>AL30</f>
        <v>873678</v>
      </c>
      <c r="AJ31" s="22">
        <f>AI31*$F$10</f>
        <v>52421</v>
      </c>
      <c r="AK31" s="22">
        <f>MAX(0,-(AI31+AJ31+Z31+AD31+AH31))</f>
        <v>0</v>
      </c>
      <c r="AL31" s="23">
        <f>AI31+AJ31+Z31+AD31+AH31+AK31</f>
        <v>926848</v>
      </c>
      <c r="AM31" s="22">
        <f>AL31/(1+$F$8)^D31</f>
        <v>608467</v>
      </c>
      <c r="AN31" s="24">
        <f>IF(AI31&lt;=0,0,-AH31/AI31)</f>
        <v>0</v>
      </c>
    </row>
    <row r="32">
      <c r="B32" s="25">
        <f>B31+1</f>
        <v>2037</v>
      </c>
      <c r="C32" s="25">
        <f>C31+1</f>
        <v>57</v>
      </c>
      <c r="D32" s="25">
        <f>D31+1</f>
        <v>12</v>
      </c>
      <c r="E32" s="26" t="str">
        <f>IF(D32&lt;=$F$12,"Acumulación","Retiro")</f>
        <v>Acumulación</v>
      </c>
      <c r="F32" s="22">
        <f>IF(D32&lt;=$O$7,$M$7*12*(1+$F$8)^(D32-1),0)</f>
        <v>109674</v>
      </c>
      <c r="G32" s="22">
        <f>IF(D32&lt;=$O$8,$M$8*12*(1+$F$8)^(D32-1),0)</f>
        <v>0</v>
      </c>
      <c r="H32" s="22">
        <f>IF(AND($M$9&gt;0,D32&gt;=$N$9,D32&lt;=$O$9),$M$9*12*(1+$F$8)^(D32-1),0)</f>
        <v>20310</v>
      </c>
      <c r="I32" s="22">
        <f>SUMPRODUCT(($F$98:$O$98&gt;=B32)*$F$97:$O$97)*12*(1+$F$8)^(D32-1)</f>
        <v>0</v>
      </c>
      <c r="J32" s="22">
        <f>IF(AND($M$10&gt;0,D32&gt;=$N$10),$M$10*12*(1+$F$8)^($N$10-1)*(1+$F$9)^(D32-$N$10),0)</f>
        <v>0</v>
      </c>
      <c r="K32" s="22">
        <f>'Fondos de pensión'!T30</f>
        <v>0</v>
      </c>
      <c r="L32" s="23">
        <f>SUM(F32:K32)</f>
        <v>129984</v>
      </c>
      <c r="M32" s="22">
        <f>SUMIF($F$78:$O$78,B32,$F$81:$O$81)*(1+$F$8)^(D32-1)</f>
        <v>0</v>
      </c>
      <c r="N32" s="22">
        <f>'Fondos de pensión'!S30</f>
        <v>135476</v>
      </c>
      <c r="O32" s="23">
        <f>SUM(M32:N32)</f>
        <v>135476</v>
      </c>
      <c r="P32" s="23">
        <f>L32+O32</f>
        <v>265460</v>
      </c>
      <c r="Q32" s="22">
        <f>$V$7*12*(1+$F$8)^(D32-1)*IF(D32&gt;$F$12,$V$8,1)</f>
        <v>100534</v>
      </c>
      <c r="R32" s="22">
        <f>SUMPRODUCT(($F$89:$O$89&lt;=B32)*($F$89:$O$89+$F$90:$O$90&gt;B32)*$F$93:$O$93)*(1+$F$8)^(D32-1)</f>
        <v>0</v>
      </c>
      <c r="S32" s="22">
        <f>$V$10*(1+$F$8)^(D32-1)</f>
        <v>4570</v>
      </c>
      <c r="T32" s="22">
        <f>IF(D32&lt;=$W$11,$V$11*12,0)+SUMPRODUCT(($F$123:$O$123&gt;=B32)*$F$120:$O$120)*12</f>
        <v>14400</v>
      </c>
      <c r="U32" s="23">
        <f>SUM(Q32:T32)</f>
        <v>119504</v>
      </c>
      <c r="V32" s="23">
        <f>(SUMPRODUCT(($F$111:$O$111=1)*($F$115:$O$115=B32)*$F$114:$O$114)+SUMPRODUCT(($F$111:$O$111=2)*($F$115:$O$115&lt;=B32)*$F$114:$O$114))*(1+$F$8)^(D32-1)</f>
        <v>9139</v>
      </c>
      <c r="W32" s="23">
        <f>U32+V32</f>
        <v>128644</v>
      </c>
      <c r="X32" s="23">
        <f>P32-W32</f>
        <v>136816</v>
      </c>
      <c r="Y32" s="22">
        <f>MAX(0,X32)</f>
        <v>136816</v>
      </c>
      <c r="Z32" s="23">
        <f>Y32</f>
        <v>136816</v>
      </c>
      <c r="AA32" s="22">
        <f>SUMPRODUCT(($F$83:$O$83=B32)*($F$87:$O$87=1)*$F$86:$O$86)*(1+$F$8)^(D32-1)</f>
        <v>0</v>
      </c>
      <c r="AB32" s="22">
        <f>SUMPRODUCT(($F$83:$O$83=B32)*($F$87:$O$87=2)*$F$86:$O$86)*(1+$F$8)^(D32-1)</f>
        <v>0</v>
      </c>
      <c r="AC32" s="22">
        <f>SUMPRODUCT(($F$83:$O$83=B32)*($F$87:$O$87=3)*$F$86:$O$86)*(1+$F$8)^(D32-1)</f>
        <v>0</v>
      </c>
      <c r="AD32" s="23">
        <f>SUM(AA32:AC32)</f>
        <v>0</v>
      </c>
      <c r="AE32" s="22">
        <f>MIN(0,X32)</f>
        <v>0</v>
      </c>
      <c r="AF32" s="22">
        <f>-SUMIF($F$100:$O$100,B32,$F$103:$O$103)*(1+$F$8)^(D32-1)</f>
        <v>0</v>
      </c>
      <c r="AG32" s="22">
        <f>IF(B32=$F$105,-$F$108*(1+$F$8)^(D32-1),0)</f>
        <v>0</v>
      </c>
      <c r="AH32" s="23">
        <f>SUM(AE32:AG32)</f>
        <v>0</v>
      </c>
      <c r="AI32" s="22">
        <f>AL31</f>
        <v>926848</v>
      </c>
      <c r="AJ32" s="22">
        <f>AI32*$F$10</f>
        <v>55611</v>
      </c>
      <c r="AK32" s="22">
        <f>MAX(0,-(AI32+AJ32+Z32+AD32+AH32))</f>
        <v>0</v>
      </c>
      <c r="AL32" s="23">
        <f>AI32+AJ32+Z32+AD32+AH32+AK32</f>
        <v>1119275</v>
      </c>
      <c r="AM32" s="22">
        <f>AL32/(1+$F$8)^D32</f>
        <v>707213</v>
      </c>
      <c r="AN32" s="24">
        <f>IF(AI32&lt;=0,0,-AH32/AI32)</f>
        <v>0</v>
      </c>
    </row>
    <row r="33">
      <c r="B33" s="25">
        <f>B32+1</f>
        <v>2038</v>
      </c>
      <c r="C33" s="25">
        <f>C32+1</f>
        <v>58</v>
      </c>
      <c r="D33" s="25">
        <f>D32+1</f>
        <v>13</v>
      </c>
      <c r="E33" s="26" t="str">
        <f>IF(D33&lt;=$F$12,"Acumulación","Retiro")</f>
        <v>Acumulación</v>
      </c>
      <c r="F33" s="22">
        <f>IF(D33&lt;=$O$7,$M$7*12*(1+$F$8)^(D33-1),0)</f>
        <v>113951</v>
      </c>
      <c r="G33" s="22">
        <f>IF(D33&lt;=$O$8,$M$8*12*(1+$F$8)^(D33-1),0)</f>
        <v>0</v>
      </c>
      <c r="H33" s="22">
        <f>IF(AND($M$9&gt;0,D33&gt;=$N$9,D33&lt;=$O$9),$M$9*12*(1+$F$8)^(D33-1),0)</f>
        <v>21102</v>
      </c>
      <c r="I33" s="22">
        <f>SUMPRODUCT(($F$98:$O$98&gt;=B33)*$F$97:$O$97)*12*(1+$F$8)^(D33-1)</f>
        <v>0</v>
      </c>
      <c r="J33" s="22">
        <f>IF(AND($M$10&gt;0,D33&gt;=$N$10),$M$10*12*(1+$F$8)^($N$10-1)*(1+$F$9)^(D33-$N$10),0)</f>
        <v>0</v>
      </c>
      <c r="K33" s="22">
        <f>'Fondos de pensión'!T31</f>
        <v>0</v>
      </c>
      <c r="L33" s="23">
        <f>SUM(F33:K33)</f>
        <v>135053</v>
      </c>
      <c r="M33" s="22">
        <f>SUMIF($F$78:$O$78,B33,$F$81:$O$81)*(1+$F$8)^(D33-1)</f>
        <v>0</v>
      </c>
      <c r="N33" s="22">
        <f>'Fondos de pensión'!S31</f>
        <v>0</v>
      </c>
      <c r="O33" s="23">
        <f>SUM(M33:N33)</f>
        <v>0</v>
      </c>
      <c r="P33" s="23">
        <f>L33+O33</f>
        <v>135053</v>
      </c>
      <c r="Q33" s="22">
        <f>$V$7*12*(1+$F$8)^(D33-1)*IF(D33&gt;$F$12,$V$8,1)</f>
        <v>104455</v>
      </c>
      <c r="R33" s="22">
        <f>SUMPRODUCT(($F$89:$O$89&lt;=B33)*($F$89:$O$89+$F$90:$O$90&gt;B33)*$F$93:$O$93)*(1+$F$8)^(D33-1)</f>
        <v>0</v>
      </c>
      <c r="S33" s="22">
        <f>$V$10*(1+$F$8)^(D33-1)</f>
        <v>4748</v>
      </c>
      <c r="T33" s="22">
        <f>IF(D33&lt;=$W$11,$V$11*12,0)+SUMPRODUCT(($F$123:$O$123&gt;=B33)*$F$120:$O$120)*12</f>
        <v>14400</v>
      </c>
      <c r="U33" s="23">
        <f>SUM(Q33:T33)</f>
        <v>123603</v>
      </c>
      <c r="V33" s="23">
        <f>(SUMPRODUCT(($F$111:$O$111=1)*($F$115:$O$115=B33)*$F$114:$O$114)+SUMPRODUCT(($F$111:$O$111=2)*($F$115:$O$115&lt;=B33)*$F$114:$O$114))*(1+$F$8)^(D33-1)</f>
        <v>9496</v>
      </c>
      <c r="W33" s="23">
        <f>U33+V33</f>
        <v>133099</v>
      </c>
      <c r="X33" s="23">
        <f>P33-W33</f>
        <v>1954</v>
      </c>
      <c r="Y33" s="22">
        <f>MAX(0,X33)</f>
        <v>1954</v>
      </c>
      <c r="Z33" s="23">
        <f>Y33</f>
        <v>1954</v>
      </c>
      <c r="AA33" s="22">
        <f>SUMPRODUCT(($F$83:$O$83=B33)*($F$87:$O$87=1)*$F$86:$O$86)*(1+$F$8)^(D33-1)</f>
        <v>0</v>
      </c>
      <c r="AB33" s="22">
        <f>SUMPRODUCT(($F$83:$O$83=B33)*($F$87:$O$87=2)*$F$86:$O$86)*(1+$F$8)^(D33-1)</f>
        <v>0</v>
      </c>
      <c r="AC33" s="22">
        <f>SUMPRODUCT(($F$83:$O$83=B33)*($F$87:$O$87=3)*$F$86:$O$86)*(1+$F$8)^(D33-1)</f>
        <v>0</v>
      </c>
      <c r="AD33" s="23">
        <f>SUM(AA33:AC33)</f>
        <v>0</v>
      </c>
      <c r="AE33" s="22">
        <f>MIN(0,X33)</f>
        <v>0</v>
      </c>
      <c r="AF33" s="22">
        <f>-SUMIF($F$100:$O$100,B33,$F$103:$O$103)*(1+$F$8)^(D33-1)</f>
        <v>0</v>
      </c>
      <c r="AG33" s="22">
        <f>IF(B33=$F$105,-$F$108*(1+$F$8)^(D33-1),0)</f>
        <v>0</v>
      </c>
      <c r="AH33" s="23">
        <f>SUM(AE33:AG33)</f>
        <v>0</v>
      </c>
      <c r="AI33" s="22">
        <f>AL32</f>
        <v>1119275</v>
      </c>
      <c r="AJ33" s="22">
        <f>AI33*$F$10</f>
        <v>67156</v>
      </c>
      <c r="AK33" s="22">
        <f>MAX(0,-(AI33+AJ33+Z33+AD33+AH33))</f>
        <v>0</v>
      </c>
      <c r="AL33" s="23">
        <f>AI33+AJ33+Z33+AD33+AH33+AK33</f>
        <v>1188385</v>
      </c>
      <c r="AM33" s="22">
        <f>AL33/(1+$F$8)^D33</f>
        <v>722695</v>
      </c>
      <c r="AN33" s="24">
        <f>IF(AI33&lt;=0,0,-AH33/AI33)</f>
        <v>0</v>
      </c>
    </row>
    <row r="34">
      <c r="B34" s="25">
        <f>B33+1</f>
        <v>2039</v>
      </c>
      <c r="C34" s="25">
        <f>C33+1</f>
        <v>59</v>
      </c>
      <c r="D34" s="25">
        <f>D33+1</f>
        <v>14</v>
      </c>
      <c r="E34" s="26" t="str">
        <f>IF(D34&lt;=$F$12,"Acumulación","Retiro")</f>
        <v>Acumulación</v>
      </c>
      <c r="F34" s="22">
        <f>IF(D34&lt;=$O$7,$M$7*12*(1+$F$8)^(D34-1),0)</f>
        <v>118395</v>
      </c>
      <c r="G34" s="22">
        <f>IF(D34&lt;=$O$8,$M$8*12*(1+$F$8)^(D34-1),0)</f>
        <v>0</v>
      </c>
      <c r="H34" s="22">
        <f>IF(AND($M$9&gt;0,D34&gt;=$N$9,D34&lt;=$O$9),$M$9*12*(1+$F$8)^(D34-1),0)</f>
        <v>21925</v>
      </c>
      <c r="I34" s="22">
        <f>SUMPRODUCT(($F$98:$O$98&gt;=B34)*$F$97:$O$97)*12*(1+$F$8)^(D34-1)</f>
        <v>0</v>
      </c>
      <c r="J34" s="22">
        <f>IF(AND($M$10&gt;0,D34&gt;=$N$10),$M$10*12*(1+$F$8)^($N$10-1)*(1+$F$9)^(D34-$N$10),0)</f>
        <v>0</v>
      </c>
      <c r="K34" s="22">
        <f>'Fondos de pensión'!T32</f>
        <v>0</v>
      </c>
      <c r="L34" s="23">
        <f>SUM(F34:K34)</f>
        <v>140320</v>
      </c>
      <c r="M34" s="22">
        <f>SUMIF($F$78:$O$78,B34,$F$81:$O$81)*(1+$F$8)^(D34-1)</f>
        <v>0</v>
      </c>
      <c r="N34" s="22">
        <f>'Fondos de pensión'!S32</f>
        <v>0</v>
      </c>
      <c r="O34" s="23">
        <f>SUM(M34:N34)</f>
        <v>0</v>
      </c>
      <c r="P34" s="23">
        <f>L34+O34</f>
        <v>140320</v>
      </c>
      <c r="Q34" s="22">
        <f>$V$7*12*(1+$F$8)^(D34-1)*IF(D34&gt;$F$12,$V$8,1)</f>
        <v>108529</v>
      </c>
      <c r="R34" s="22">
        <f>SUMPRODUCT(($F$89:$O$89&lt;=B34)*($F$89:$O$89+$F$90:$O$90&gt;B34)*$F$93:$O$93)*(1+$F$8)^(D34-1)</f>
        <v>0</v>
      </c>
      <c r="S34" s="22">
        <f>$V$10*(1+$F$8)^(D34-1)</f>
        <v>4933</v>
      </c>
      <c r="T34" s="22">
        <f>IF(D34&lt;=$W$11,$V$11*12,0)+SUMPRODUCT(($F$123:$O$123&gt;=B34)*$F$120:$O$120)*12</f>
        <v>14400</v>
      </c>
      <c r="U34" s="23">
        <f>SUM(Q34:T34)</f>
        <v>127862</v>
      </c>
      <c r="V34" s="23">
        <f>(SUMPRODUCT(($F$111:$O$111=1)*($F$115:$O$115=B34)*$F$114:$O$114)+SUMPRODUCT(($F$111:$O$111=2)*($F$115:$O$115&lt;=B34)*$F$114:$O$114))*(1+$F$8)^(D34-1)</f>
        <v>9866</v>
      </c>
      <c r="W34" s="23">
        <f>U34+V34</f>
        <v>137728</v>
      </c>
      <c r="X34" s="23">
        <f>P34-W34</f>
        <v>2592</v>
      </c>
      <c r="Y34" s="22">
        <f>MAX(0,X34)</f>
        <v>2592</v>
      </c>
      <c r="Z34" s="23">
        <f>Y34</f>
        <v>2592</v>
      </c>
      <c r="AA34" s="22">
        <f>SUMPRODUCT(($F$83:$O$83=B34)*($F$87:$O$87=1)*$F$86:$O$86)*(1+$F$8)^(D34-1)</f>
        <v>0</v>
      </c>
      <c r="AB34" s="22">
        <f>SUMPRODUCT(($F$83:$O$83=B34)*($F$87:$O$87=2)*$F$86:$O$86)*(1+$F$8)^(D34-1)</f>
        <v>0</v>
      </c>
      <c r="AC34" s="22">
        <f>SUMPRODUCT(($F$83:$O$83=B34)*($F$87:$O$87=3)*$F$86:$O$86)*(1+$F$8)^(D34-1)</f>
        <v>0</v>
      </c>
      <c r="AD34" s="23">
        <f>SUM(AA34:AC34)</f>
        <v>0</v>
      </c>
      <c r="AE34" s="22">
        <f>MIN(0,X34)</f>
        <v>0</v>
      </c>
      <c r="AF34" s="22">
        <f>-SUMIF($F$100:$O$100,B34,$F$103:$O$103)*(1+$F$8)^(D34-1)</f>
        <v>0</v>
      </c>
      <c r="AG34" s="22">
        <f>IF(B34=$F$105,-$F$108*(1+$F$8)^(D34-1),0)</f>
        <v>0</v>
      </c>
      <c r="AH34" s="23">
        <f>SUM(AE34:AG34)</f>
        <v>0</v>
      </c>
      <c r="AI34" s="22">
        <f>AL33</f>
        <v>1188385</v>
      </c>
      <c r="AJ34" s="22">
        <f>AI34*$F$10</f>
        <v>71303</v>
      </c>
      <c r="AK34" s="22">
        <f>MAX(0,-(AI34+AJ34+Z34+AD34+AH34))</f>
        <v>0</v>
      </c>
      <c r="AL34" s="23">
        <f>AI34+AJ34+Z34+AD34+AH34+AK34</f>
        <v>1262280</v>
      </c>
      <c r="AM34" s="22">
        <f>AL34/(1+$F$8)^D34</f>
        <v>738819</v>
      </c>
      <c r="AN34" s="24">
        <f>IF(AI34&lt;=0,0,-AH34/AI34)</f>
        <v>0</v>
      </c>
    </row>
    <row r="35">
      <c r="B35" s="25">
        <f>B34+1</f>
        <v>2040</v>
      </c>
      <c r="C35" s="25">
        <f>C34+1</f>
        <v>60</v>
      </c>
      <c r="D35" s="25">
        <f>D34+1</f>
        <v>15</v>
      </c>
      <c r="E35" s="26" t="str">
        <f>IF(D35&lt;=$F$12,"Acumulación","Retiro")</f>
        <v>Retiro</v>
      </c>
      <c r="F35" s="22">
        <f>IF(D35&lt;=$O$7,$M$7*12*(1+$F$8)^(D35-1),0)</f>
        <v>0</v>
      </c>
      <c r="G35" s="22">
        <f>IF(D35&lt;=$O$8,$M$8*12*(1+$F$8)^(D35-1),0)</f>
        <v>0</v>
      </c>
      <c r="H35" s="22">
        <f>IF(AND($M$9&gt;0,D35&gt;=$N$9,D35&lt;=$O$9),$M$9*12*(1+$F$8)^(D35-1),0)</f>
        <v>22780</v>
      </c>
      <c r="I35" s="22">
        <f>SUMPRODUCT(($F$98:$O$98&gt;=B35)*$F$97:$O$97)*12*(1+$F$8)^(D35-1)</f>
        <v>0</v>
      </c>
      <c r="J35" s="22">
        <f>IF(AND($M$10&gt;0,D35&gt;=$N$10),$M$10*12*(1+$F$8)^($N$10-1)*(1+$F$9)^(D35-$N$10),0)</f>
        <v>0</v>
      </c>
      <c r="K35" s="22">
        <f>'Fondos de pensión'!T33</f>
        <v>0</v>
      </c>
      <c r="L35" s="23">
        <f>SUM(F35:K35)</f>
        <v>22780</v>
      </c>
      <c r="M35" s="22">
        <f>SUMIF($F$78:$O$78,B35,$F$81:$O$81)*(1+$F$8)^(D35-1)</f>
        <v>0</v>
      </c>
      <c r="N35" s="22">
        <f>'Fondos de pensión'!S33</f>
        <v>108107</v>
      </c>
      <c r="O35" s="23">
        <f>SUM(M35:N35)</f>
        <v>108107</v>
      </c>
      <c r="P35" s="23">
        <f>L35+O35</f>
        <v>130887</v>
      </c>
      <c r="Q35" s="22">
        <f>$V$7*12*(1+$F$8)^(D35-1)*IF(D35&gt;$F$12,$V$8,1)</f>
        <v>112762</v>
      </c>
      <c r="R35" s="22">
        <f>SUMPRODUCT(($F$89:$O$89&lt;=B35)*($F$89:$O$89+$F$90:$O$90&gt;B35)*$F$93:$O$93)*(1+$F$8)^(D35-1)</f>
        <v>0</v>
      </c>
      <c r="S35" s="22">
        <f>$V$10*(1+$F$8)^(D35-1)</f>
        <v>5126</v>
      </c>
      <c r="T35" s="22">
        <f>IF(D35&lt;=$W$11,$V$11*12,0)+SUMPRODUCT(($F$123:$O$123&gt;=B35)*$F$120:$O$120)*12</f>
        <v>14400</v>
      </c>
      <c r="U35" s="23">
        <f>SUM(Q35:T35)</f>
        <v>132287</v>
      </c>
      <c r="V35" s="23">
        <f>(SUMPRODUCT(($F$111:$O$111=1)*($F$115:$O$115=B35)*$F$114:$O$114)+SUMPRODUCT(($F$111:$O$111=2)*($F$115:$O$115&lt;=B35)*$F$114:$O$114))*(1+$F$8)^(D35-1)</f>
        <v>10251</v>
      </c>
      <c r="W35" s="23">
        <f>U35+V35</f>
        <v>142538</v>
      </c>
      <c r="X35" s="23">
        <f>P35-W35</f>
        <v>-11651</v>
      </c>
      <c r="Y35" s="22">
        <f>MAX(0,X35)</f>
        <v>0</v>
      </c>
      <c r="Z35" s="23">
        <f>Y35</f>
        <v>0</v>
      </c>
      <c r="AA35" s="22">
        <f>SUMPRODUCT(($F$83:$O$83=B35)*($F$87:$O$87=1)*$F$86:$O$86)*(1+$F$8)^(D35-1)</f>
        <v>0</v>
      </c>
      <c r="AB35" s="22">
        <f>SUMPRODUCT(($F$83:$O$83=B35)*($F$87:$O$87=2)*$F$86:$O$86)*(1+$F$8)^(D35-1)</f>
        <v>0</v>
      </c>
      <c r="AC35" s="22">
        <f>SUMPRODUCT(($F$83:$O$83=B35)*($F$87:$O$87=3)*$F$86:$O$86)*(1+$F$8)^(D35-1)</f>
        <v>0</v>
      </c>
      <c r="AD35" s="23">
        <f>SUM(AA35:AC35)</f>
        <v>0</v>
      </c>
      <c r="AE35" s="22">
        <f>MIN(0,X35)</f>
        <v>-11651</v>
      </c>
      <c r="AF35" s="22">
        <f>-SUMIF($F$100:$O$100,B35,$F$103:$O$103)*(1+$F$8)^(D35-1)</f>
        <v>0</v>
      </c>
      <c r="AG35" s="22">
        <f>IF(B35=$F$105,-$F$108*(1+$F$8)^(D35-1),0)</f>
        <v>0</v>
      </c>
      <c r="AH35" s="23">
        <f>SUM(AE35:AG35)</f>
        <v>-11651</v>
      </c>
      <c r="AI35" s="22">
        <f>AL34</f>
        <v>1262280</v>
      </c>
      <c r="AJ35" s="22">
        <f>AI35*$F$10</f>
        <v>75737</v>
      </c>
      <c r="AK35" s="22">
        <f>MAX(0,-(AI35+AJ35+Z35+AD35+AH35))</f>
        <v>0</v>
      </c>
      <c r="AL35" s="23">
        <f>AI35+AJ35+Z35+AD35+AH35+AK35</f>
        <v>1326366</v>
      </c>
      <c r="AM35" s="22">
        <f>AL35/(1+$F$8)^D35</f>
        <v>747188</v>
      </c>
      <c r="AN35" s="24">
        <f>IF(AI35&lt;=0,0,-AH35/AI35)</f>
        <v>0.009230391754371303</v>
      </c>
    </row>
    <row r="36">
      <c r="B36" s="25">
        <f>B35+1</f>
        <v>2041</v>
      </c>
      <c r="C36" s="25">
        <f>C35+1</f>
        <v>61</v>
      </c>
      <c r="D36" s="25">
        <f>D35+1</f>
        <v>16</v>
      </c>
      <c r="E36" s="26" t="str">
        <f>IF(D36&lt;=$F$12,"Acumulación","Retiro")</f>
        <v>Retiro</v>
      </c>
      <c r="F36" s="22">
        <f>IF(D36&lt;=$O$7,$M$7*12*(1+$F$8)^(D36-1),0)</f>
        <v>0</v>
      </c>
      <c r="G36" s="22">
        <f>IF(D36&lt;=$O$8,$M$8*12*(1+$F$8)^(D36-1),0)</f>
        <v>0</v>
      </c>
      <c r="H36" s="22">
        <f>IF(AND($M$9&gt;0,D36&gt;=$N$9,D36&lt;=$O$9),$M$9*12*(1+$F$8)^(D36-1),0)</f>
        <v>23669</v>
      </c>
      <c r="I36" s="22">
        <f>SUMPRODUCT(($F$98:$O$98&gt;=B36)*$F$97:$O$97)*12*(1+$F$8)^(D36-1)</f>
        <v>0</v>
      </c>
      <c r="J36" s="22">
        <f>IF(AND($M$10&gt;0,D36&gt;=$N$10),$M$10*12*(1+$F$8)^($N$10-1)*(1+$F$9)^(D36-$N$10),0)</f>
        <v>0</v>
      </c>
      <c r="K36" s="22">
        <f>'Fondos de pensión'!T34</f>
        <v>0</v>
      </c>
      <c r="L36" s="23">
        <f>SUM(F36:K36)</f>
        <v>23669</v>
      </c>
      <c r="M36" s="22">
        <f>SUMIF($F$78:$O$78,B36,$F$81:$O$81)*(1+$F$8)^(D36-1)</f>
        <v>0</v>
      </c>
      <c r="N36" s="22">
        <f>'Fondos de pensión'!S34</f>
        <v>0</v>
      </c>
      <c r="O36" s="23">
        <f>SUM(M36:N36)</f>
        <v>0</v>
      </c>
      <c r="P36" s="23">
        <f>L36+O36</f>
        <v>23669</v>
      </c>
      <c r="Q36" s="22">
        <f>$V$7*12*(1+$F$8)^(D36-1)*IF(D36&gt;$F$12,$V$8,1)</f>
        <v>117159</v>
      </c>
      <c r="R36" s="22">
        <f>SUMPRODUCT(($F$89:$O$89&lt;=B36)*($F$89:$O$89+$F$90:$O$90&gt;B36)*$F$93:$O$93)*(1+$F$8)^(D36-1)</f>
        <v>0</v>
      </c>
      <c r="S36" s="22">
        <f>$V$10*(1+$F$8)^(D36-1)</f>
        <v>5325</v>
      </c>
      <c r="T36" s="22">
        <f>IF(D36&lt;=$W$11,$V$11*12,0)+SUMPRODUCT(($F$123:$O$123&gt;=B36)*$F$120:$O$120)*12</f>
        <v>0</v>
      </c>
      <c r="U36" s="23">
        <f>SUM(Q36:T36)</f>
        <v>122485</v>
      </c>
      <c r="V36" s="23">
        <f>(SUMPRODUCT(($F$111:$O$111=1)*($F$115:$O$115=B36)*$F$114:$O$114)+SUMPRODUCT(($F$111:$O$111=2)*($F$115:$O$115&lt;=B36)*$F$114:$O$114))*(1+$F$8)^(D36-1)</f>
        <v>10651</v>
      </c>
      <c r="W36" s="23">
        <f>U36+V36</f>
        <v>133136</v>
      </c>
      <c r="X36" s="23">
        <f>P36-W36</f>
        <v>-109467</v>
      </c>
      <c r="Y36" s="22">
        <f>MAX(0,X36)</f>
        <v>0</v>
      </c>
      <c r="Z36" s="23">
        <f>Y36</f>
        <v>0</v>
      </c>
      <c r="AA36" s="22">
        <f>SUMPRODUCT(($F$83:$O$83=B36)*($F$87:$O$87=1)*$F$86:$O$86)*(1+$F$8)^(D36-1)</f>
        <v>0</v>
      </c>
      <c r="AB36" s="22">
        <f>SUMPRODUCT(($F$83:$O$83=B36)*($F$87:$O$87=2)*$F$86:$O$86)*(1+$F$8)^(D36-1)</f>
        <v>0</v>
      </c>
      <c r="AC36" s="22">
        <f>SUMPRODUCT(($F$83:$O$83=B36)*($F$87:$O$87=3)*$F$86:$O$86)*(1+$F$8)^(D36-1)</f>
        <v>0</v>
      </c>
      <c r="AD36" s="23">
        <f>SUM(AA36:AC36)</f>
        <v>0</v>
      </c>
      <c r="AE36" s="22">
        <f>MIN(0,X36)</f>
        <v>-109467</v>
      </c>
      <c r="AF36" s="22">
        <f>-SUMIF($F$100:$O$100,B36,$F$103:$O$103)*(1+$F$8)^(D36-1)</f>
        <v>0</v>
      </c>
      <c r="AG36" s="22">
        <f>IF(B36=$F$105,-$F$108*(1+$F$8)^(D36-1),0)</f>
        <v>0</v>
      </c>
      <c r="AH36" s="23">
        <f>SUM(AE36:AG36)</f>
        <v>-109467</v>
      </c>
      <c r="AI36" s="22">
        <f>AL35</f>
        <v>1326366</v>
      </c>
      <c r="AJ36" s="22">
        <f>AI36*$F$10</f>
        <v>79582</v>
      </c>
      <c r="AK36" s="22">
        <f>MAX(0,-(AI36+AJ36+Z36+AD36+AH36))</f>
        <v>0</v>
      </c>
      <c r="AL36" s="23">
        <f>AI36+AJ36+Z36+AD36+AH36+AK36</f>
        <v>1296480</v>
      </c>
      <c r="AM36" s="22">
        <f>AL36/(1+$F$8)^D36</f>
        <v>702938</v>
      </c>
      <c r="AN36" s="24">
        <f>IF(AI36&lt;=0,0,-AH36/AI36)</f>
        <v>0.08253162919269363</v>
      </c>
    </row>
    <row r="37">
      <c r="B37" s="25">
        <f>B36+1</f>
        <v>2042</v>
      </c>
      <c r="C37" s="25">
        <f>C36+1</f>
        <v>62</v>
      </c>
      <c r="D37" s="25">
        <f>D36+1</f>
        <v>17</v>
      </c>
      <c r="E37" s="26" t="str">
        <f>IF(D37&lt;=$F$12,"Acumulación","Retiro")</f>
        <v>Retiro</v>
      </c>
      <c r="F37" s="22">
        <f>IF(D37&lt;=$O$7,$M$7*12*(1+$F$8)^(D37-1),0)</f>
        <v>0</v>
      </c>
      <c r="G37" s="22">
        <f>IF(D37&lt;=$O$8,$M$8*12*(1+$F$8)^(D37-1),0)</f>
        <v>0</v>
      </c>
      <c r="H37" s="22">
        <f>IF(AND($M$9&gt;0,D37&gt;=$N$9,D37&lt;=$O$9),$M$9*12*(1+$F$8)^(D37-1),0)</f>
        <v>24592</v>
      </c>
      <c r="I37" s="22">
        <f>SUMPRODUCT(($F$98:$O$98&gt;=B37)*$F$97:$O$97)*12*(1+$F$8)^(D37-1)</f>
        <v>0</v>
      </c>
      <c r="J37" s="22">
        <f>IF(AND($M$10&gt;0,D37&gt;=$N$10),$M$10*12*(1+$F$8)^($N$10-1)*(1+$F$9)^(D37-$N$10),0)</f>
        <v>0</v>
      </c>
      <c r="K37" s="22">
        <f>'Fondos de pensión'!T35</f>
        <v>0</v>
      </c>
      <c r="L37" s="23">
        <f>SUM(F37:K37)</f>
        <v>24592</v>
      </c>
      <c r="M37" s="22">
        <f>SUMIF($F$78:$O$78,B37,$F$81:$O$81)*(1+$F$8)^(D37-1)</f>
        <v>0</v>
      </c>
      <c r="N37" s="22">
        <f>'Fondos de pensión'!S35</f>
        <v>0</v>
      </c>
      <c r="O37" s="23">
        <f>SUM(M37:N37)</f>
        <v>0</v>
      </c>
      <c r="P37" s="23">
        <f>L37+O37</f>
        <v>24592</v>
      </c>
      <c r="Q37" s="22">
        <f>$V$7*12*(1+$F$8)^(D37-1)*IF(D37&gt;$F$12,$V$8,1)</f>
        <v>121729</v>
      </c>
      <c r="R37" s="22">
        <f>SUMPRODUCT(($F$89:$O$89&lt;=B37)*($F$89:$O$89+$F$90:$O$90&gt;B37)*$F$93:$O$93)*(1+$F$8)^(D37-1)</f>
        <v>0</v>
      </c>
      <c r="S37" s="22">
        <f>$V$10*(1+$F$8)^(D37-1)</f>
        <v>5533</v>
      </c>
      <c r="T37" s="22">
        <f>IF(D37&lt;=$W$11,$V$11*12,0)+SUMPRODUCT(($F$123:$O$123&gt;=B37)*$F$120:$O$120)*12</f>
        <v>0</v>
      </c>
      <c r="U37" s="23">
        <f>SUM(Q37:T37)</f>
        <v>127262</v>
      </c>
      <c r="V37" s="23">
        <f>(SUMPRODUCT(($F$111:$O$111=1)*($F$115:$O$115=B37)*$F$114:$O$114)+SUMPRODUCT(($F$111:$O$111=2)*($F$115:$O$115&lt;=B37)*$F$114:$O$114))*(1+$F$8)^(D37-1)</f>
        <v>11066</v>
      </c>
      <c r="W37" s="23">
        <f>U37+V37</f>
        <v>138328</v>
      </c>
      <c r="X37" s="23">
        <f>P37-W37</f>
        <v>-113736</v>
      </c>
      <c r="Y37" s="22">
        <f>MAX(0,X37)</f>
        <v>0</v>
      </c>
      <c r="Z37" s="23">
        <f>Y37</f>
        <v>0</v>
      </c>
      <c r="AA37" s="22">
        <f>SUMPRODUCT(($F$83:$O$83=B37)*($F$87:$O$87=1)*$F$86:$O$86)*(1+$F$8)^(D37-1)</f>
        <v>0</v>
      </c>
      <c r="AB37" s="22">
        <f>SUMPRODUCT(($F$83:$O$83=B37)*($F$87:$O$87=2)*$F$86:$O$86)*(1+$F$8)^(D37-1)</f>
        <v>0</v>
      </c>
      <c r="AC37" s="22">
        <f>SUMPRODUCT(($F$83:$O$83=B37)*($F$87:$O$87=3)*$F$86:$O$86)*(1+$F$8)^(D37-1)</f>
        <v>0</v>
      </c>
      <c r="AD37" s="23">
        <f>SUM(AA37:AC37)</f>
        <v>0</v>
      </c>
      <c r="AE37" s="22">
        <f>MIN(0,X37)</f>
        <v>-113736</v>
      </c>
      <c r="AF37" s="22">
        <f>-SUMIF($F$100:$O$100,B37,$F$103:$O$103)*(1+$F$8)^(D37-1)</f>
        <v>0</v>
      </c>
      <c r="AG37" s="22">
        <f>IF(B37=$F$105,-$F$108*(1+$F$8)^(D37-1),0)</f>
        <v>0</v>
      </c>
      <c r="AH37" s="23">
        <f>SUM(AE37:AG37)</f>
        <v>-113736</v>
      </c>
      <c r="AI37" s="22">
        <f>AL36</f>
        <v>1296480</v>
      </c>
      <c r="AJ37" s="22">
        <f>AI37*$F$10</f>
        <v>77789</v>
      </c>
      <c r="AK37" s="22">
        <f>MAX(0,-(AI37+AJ37+Z37+AD37+AH37))</f>
        <v>0</v>
      </c>
      <c r="AL37" s="23">
        <f>AI37+AJ37+Z37+AD37+AH37+AK37</f>
        <v>1260533</v>
      </c>
      <c r="AM37" s="22">
        <f>AL37/(1+$F$8)^D37</f>
        <v>657794</v>
      </c>
      <c r="AN37" s="24">
        <f>IF(AI37&lt;=0,0,-AH37/AI37)</f>
        <v>0.08772699484934342</v>
      </c>
    </row>
    <row r="38">
      <c r="B38" s="25">
        <f>B37+1</f>
        <v>2043</v>
      </c>
      <c r="C38" s="25">
        <f>C37+1</f>
        <v>63</v>
      </c>
      <c r="D38" s="25">
        <f>D37+1</f>
        <v>18</v>
      </c>
      <c r="E38" s="26" t="str">
        <f>IF(D38&lt;=$F$12,"Acumulación","Retiro")</f>
        <v>Retiro</v>
      </c>
      <c r="F38" s="22">
        <f>IF(D38&lt;=$O$7,$M$7*12*(1+$F$8)^(D38-1),0)</f>
        <v>0</v>
      </c>
      <c r="G38" s="22">
        <f>IF(D38&lt;=$O$8,$M$8*12*(1+$F$8)^(D38-1),0)</f>
        <v>0</v>
      </c>
      <c r="H38" s="22">
        <f>IF(AND($M$9&gt;0,D38&gt;=$N$9,D38&lt;=$O$9),$M$9*12*(1+$F$8)^(D38-1),0)</f>
        <v>25551</v>
      </c>
      <c r="I38" s="22">
        <f>SUMPRODUCT(($F$98:$O$98&gt;=B38)*$F$97:$O$97)*12*(1+$F$8)^(D38-1)</f>
        <v>0</v>
      </c>
      <c r="J38" s="22">
        <f>IF(AND($M$10&gt;0,D38&gt;=$N$10),$M$10*12*(1+$F$8)^($N$10-1)*(1+$F$9)^(D38-$N$10),0)</f>
        <v>0</v>
      </c>
      <c r="K38" s="22">
        <f>'Fondos de pensión'!T36</f>
        <v>0</v>
      </c>
      <c r="L38" s="23">
        <f>SUM(F38:K38)</f>
        <v>25551</v>
      </c>
      <c r="M38" s="22">
        <f>SUMIF($F$78:$O$78,B38,$F$81:$O$81)*(1+$F$8)^(D38-1)</f>
        <v>0</v>
      </c>
      <c r="N38" s="22">
        <f>'Fondos de pensión'!S36</f>
        <v>0</v>
      </c>
      <c r="O38" s="23">
        <f>SUM(M38:N38)</f>
        <v>0</v>
      </c>
      <c r="P38" s="23">
        <f>L38+O38</f>
        <v>25551</v>
      </c>
      <c r="Q38" s="22">
        <f>$V$7*12*(1+$F$8)^(D38-1)*IF(D38&gt;$F$12,$V$8,1)</f>
        <v>126476</v>
      </c>
      <c r="R38" s="22">
        <f>SUMPRODUCT(($F$89:$O$89&lt;=B38)*($F$89:$O$89+$F$90:$O$90&gt;B38)*$F$93:$O$93)*(1+$F$8)^(D38-1)</f>
        <v>0</v>
      </c>
      <c r="S38" s="22">
        <f>$V$10*(1+$F$8)^(D38-1)</f>
        <v>5749</v>
      </c>
      <c r="T38" s="22">
        <f>IF(D38&lt;=$W$11,$V$11*12,0)+SUMPRODUCT(($F$123:$O$123&gt;=B38)*$F$120:$O$120)*12</f>
        <v>0</v>
      </c>
      <c r="U38" s="23">
        <f>SUM(Q38:T38)</f>
        <v>132225</v>
      </c>
      <c r="V38" s="23">
        <f>(SUMPRODUCT(($F$111:$O$111=1)*($F$115:$O$115=B38)*$F$114:$O$114)+SUMPRODUCT(($F$111:$O$111=2)*($F$115:$O$115&lt;=B38)*$F$114:$O$114))*(1+$F$8)^(D38-1)</f>
        <v>11498</v>
      </c>
      <c r="W38" s="23">
        <f>U38+V38</f>
        <v>143723</v>
      </c>
      <c r="X38" s="23">
        <f>P38-W38</f>
        <v>-118172</v>
      </c>
      <c r="Y38" s="22">
        <f>MAX(0,X38)</f>
        <v>0</v>
      </c>
      <c r="Z38" s="23">
        <f>Y38</f>
        <v>0</v>
      </c>
      <c r="AA38" s="22">
        <f>SUMPRODUCT(($F$83:$O$83=B38)*($F$87:$O$87=1)*$F$86:$O$86)*(1+$F$8)^(D38-1)</f>
        <v>0</v>
      </c>
      <c r="AB38" s="22">
        <f>SUMPRODUCT(($F$83:$O$83=B38)*($F$87:$O$87=2)*$F$86:$O$86)*(1+$F$8)^(D38-1)</f>
        <v>0</v>
      </c>
      <c r="AC38" s="22">
        <f>SUMPRODUCT(($F$83:$O$83=B38)*($F$87:$O$87=3)*$F$86:$O$86)*(1+$F$8)^(D38-1)</f>
        <v>0</v>
      </c>
      <c r="AD38" s="23">
        <f>SUM(AA38:AC38)</f>
        <v>0</v>
      </c>
      <c r="AE38" s="22">
        <f>MIN(0,X38)</f>
        <v>-118172</v>
      </c>
      <c r="AF38" s="22">
        <f>-SUMIF($F$100:$O$100,B38,$F$103:$O$103)*(1+$F$8)^(D38-1)</f>
        <v>0</v>
      </c>
      <c r="AG38" s="22">
        <f>IF(B38=$F$105,-$F$108*(1+$F$8)^(D38-1),0)</f>
        <v>0</v>
      </c>
      <c r="AH38" s="23">
        <f>SUM(AE38:AG38)</f>
        <v>-118172</v>
      </c>
      <c r="AI38" s="22">
        <f>AL37</f>
        <v>1260533</v>
      </c>
      <c r="AJ38" s="22">
        <f>AI38*$F$10</f>
        <v>75632</v>
      </c>
      <c r="AK38" s="22">
        <f>MAX(0,-(AI38+AJ38+Z38+AD38+AH38))</f>
        <v>0</v>
      </c>
      <c r="AL38" s="23">
        <f>AI38+AJ38+Z38+AD38+AH38+AK38</f>
        <v>1217993</v>
      </c>
      <c r="AM38" s="22">
        <f>AL38/(1+$F$8)^D38</f>
        <v>611737</v>
      </c>
      <c r="AN38" s="24">
        <f>IF(AI38&lt;=0,0,-AH38/AI38)</f>
        <v>0.09374768934816213</v>
      </c>
    </row>
    <row r="39">
      <c r="B39" s="25">
        <f>B38+1</f>
        <v>2044</v>
      </c>
      <c r="C39" s="25">
        <f>C38+1</f>
        <v>64</v>
      </c>
      <c r="D39" s="25">
        <f>D38+1</f>
        <v>19</v>
      </c>
      <c r="E39" s="26" t="str">
        <f>IF(D39&lt;=$F$12,"Acumulación","Retiro")</f>
        <v>Retiro</v>
      </c>
      <c r="F39" s="22">
        <f>IF(D39&lt;=$O$7,$M$7*12*(1+$F$8)^(D39-1),0)</f>
        <v>0</v>
      </c>
      <c r="G39" s="22">
        <f>IF(D39&lt;=$O$8,$M$8*12*(1+$F$8)^(D39-1),0)</f>
        <v>0</v>
      </c>
      <c r="H39" s="22">
        <f>IF(AND($M$9&gt;0,D39&gt;=$N$9,D39&lt;=$O$9),$M$9*12*(1+$F$8)^(D39-1),0)</f>
        <v>26547</v>
      </c>
      <c r="I39" s="22">
        <f>SUMPRODUCT(($F$98:$O$98&gt;=B39)*$F$97:$O$97)*12*(1+$F$8)^(D39-1)</f>
        <v>0</v>
      </c>
      <c r="J39" s="22">
        <f>IF(AND($M$10&gt;0,D39&gt;=$N$10),$M$10*12*(1+$F$8)^($N$10-1)*(1+$F$9)^(D39-$N$10),0)</f>
        <v>0</v>
      </c>
      <c r="K39" s="22">
        <f>'Fondos de pensión'!T37</f>
        <v>0</v>
      </c>
      <c r="L39" s="23">
        <f>SUM(F39:K39)</f>
        <v>26547</v>
      </c>
      <c r="M39" s="22">
        <f>SUMIF($F$78:$O$78,B39,$F$81:$O$81)*(1+$F$8)^(D39-1)</f>
        <v>0</v>
      </c>
      <c r="N39" s="22">
        <f>'Fondos de pensión'!S37</f>
        <v>0</v>
      </c>
      <c r="O39" s="23">
        <f>SUM(M39:N39)</f>
        <v>0</v>
      </c>
      <c r="P39" s="23">
        <f>L39+O39</f>
        <v>26547</v>
      </c>
      <c r="Q39" s="22">
        <f>$V$7*12*(1+$F$8)^(D39-1)*IF(D39&gt;$F$12,$V$8,1)</f>
        <v>131409</v>
      </c>
      <c r="R39" s="22">
        <f>SUMPRODUCT(($F$89:$O$89&lt;=B39)*($F$89:$O$89+$F$90:$O$90&gt;B39)*$F$93:$O$93)*(1+$F$8)^(D39-1)</f>
        <v>0</v>
      </c>
      <c r="S39" s="22">
        <f>$V$10*(1+$F$8)^(D39-1)</f>
        <v>5973</v>
      </c>
      <c r="T39" s="22">
        <f>IF(D39&lt;=$W$11,$V$11*12,0)+SUMPRODUCT(($F$123:$O$123&gt;=B39)*$F$120:$O$120)*12</f>
        <v>0</v>
      </c>
      <c r="U39" s="23">
        <f>SUM(Q39:T39)</f>
        <v>137382</v>
      </c>
      <c r="V39" s="23">
        <f>(SUMPRODUCT(($F$111:$O$111=1)*($F$115:$O$115=B39)*$F$114:$O$114)+SUMPRODUCT(($F$111:$O$111=2)*($F$115:$O$115&lt;=B39)*$F$114:$O$114))*(1+$F$8)^(D39-1)</f>
        <v>11946</v>
      </c>
      <c r="W39" s="23">
        <f>U39+V39</f>
        <v>149328</v>
      </c>
      <c r="X39" s="23">
        <f>P39-W39</f>
        <v>-122781</v>
      </c>
      <c r="Y39" s="22">
        <f>MAX(0,X39)</f>
        <v>0</v>
      </c>
      <c r="Z39" s="23">
        <f>Y39</f>
        <v>0</v>
      </c>
      <c r="AA39" s="22">
        <f>SUMPRODUCT(($F$83:$O$83=B39)*($F$87:$O$87=1)*$F$86:$O$86)*(1+$F$8)^(D39-1)</f>
        <v>0</v>
      </c>
      <c r="AB39" s="22">
        <f>SUMPRODUCT(($F$83:$O$83=B39)*($F$87:$O$87=2)*$F$86:$O$86)*(1+$F$8)^(D39-1)</f>
        <v>0</v>
      </c>
      <c r="AC39" s="22">
        <f>SUMPRODUCT(($F$83:$O$83=B39)*($F$87:$O$87=3)*$F$86:$O$86)*(1+$F$8)^(D39-1)</f>
        <v>0</v>
      </c>
      <c r="AD39" s="23">
        <f>SUM(AA39:AC39)</f>
        <v>0</v>
      </c>
      <c r="AE39" s="22">
        <f>MIN(0,X39)</f>
        <v>-122781</v>
      </c>
      <c r="AF39" s="22">
        <f>-SUMIF($F$100:$O$100,B39,$F$103:$O$103)*(1+$F$8)^(D39-1)</f>
        <v>0</v>
      </c>
      <c r="AG39" s="22">
        <f>IF(B39=$F$105,-$F$108*(1+$F$8)^(D39-1),0)</f>
        <v>0</v>
      </c>
      <c r="AH39" s="23">
        <f>SUM(AE39:AG39)</f>
        <v>-122781</v>
      </c>
      <c r="AI39" s="22">
        <f>AL38</f>
        <v>1217993</v>
      </c>
      <c r="AJ39" s="22">
        <f>AI39*$F$10</f>
        <v>73080</v>
      </c>
      <c r="AK39" s="22">
        <f>MAX(0,-(AI39+AJ39+Z39+AD39+AH39))</f>
        <v>0</v>
      </c>
      <c r="AL39" s="23">
        <f>AI39+AJ39+Z39+AD39+AH39+AK39</f>
        <v>1168292</v>
      </c>
      <c r="AM39" s="22">
        <f>AL39/(1+$F$8)^D39</f>
        <v>564750</v>
      </c>
      <c r="AN39" s="24">
        <f>IF(AI39&lt;=0,0,-AH39/AI39)</f>
        <v>0.10080581247669297</v>
      </c>
    </row>
    <row r="40">
      <c r="B40" s="25">
        <f>B39+1</f>
        <v>2045</v>
      </c>
      <c r="C40" s="25">
        <f>C39+1</f>
        <v>65</v>
      </c>
      <c r="D40" s="25">
        <f>D39+1</f>
        <v>20</v>
      </c>
      <c r="E40" s="26" t="str">
        <f>IF(D40&lt;=$F$12,"Acumulación","Retiro")</f>
        <v>Retiro</v>
      </c>
      <c r="F40" s="22">
        <f>IF(D40&lt;=$O$7,$M$7*12*(1+$F$8)^(D40-1),0)</f>
        <v>0</v>
      </c>
      <c r="G40" s="22">
        <f>IF(D40&lt;=$O$8,$M$8*12*(1+$F$8)^(D40-1),0)</f>
        <v>0</v>
      </c>
      <c r="H40" s="22">
        <f>IF(AND($M$9&gt;0,D40&gt;=$N$9,D40&lt;=$O$9),$M$9*12*(1+$F$8)^(D40-1),0)</f>
        <v>27583</v>
      </c>
      <c r="I40" s="22">
        <f>SUMPRODUCT(($F$98:$O$98&gt;=B40)*$F$97:$O$97)*12*(1+$F$8)^(D40-1)</f>
        <v>0</v>
      </c>
      <c r="J40" s="22">
        <f>IF(AND($M$10&gt;0,D40&gt;=$N$10),$M$10*12*(1+$F$8)^($N$10-1)*(1+$F$9)^(D40-$N$10),0)</f>
        <v>44132</v>
      </c>
      <c r="K40" s="22">
        <f>'Fondos de pensión'!T38</f>
        <v>12885</v>
      </c>
      <c r="L40" s="23">
        <f>SUM(F40:K40)</f>
        <v>84600</v>
      </c>
      <c r="M40" s="22">
        <f>SUMIF($F$78:$O$78,B40,$F$81:$O$81)*(1+$F$8)^(D40-1)</f>
        <v>0</v>
      </c>
      <c r="N40" s="22">
        <f>'Fondos de pensión'!S38</f>
        <v>0</v>
      </c>
      <c r="O40" s="23">
        <f>SUM(M40:N40)</f>
        <v>0</v>
      </c>
      <c r="P40" s="23">
        <f>L40+O40</f>
        <v>84600</v>
      </c>
      <c r="Q40" s="22">
        <f>$V$7*12*(1+$F$8)^(D40-1)*IF(D40&gt;$F$12,$V$8,1)</f>
        <v>136534</v>
      </c>
      <c r="R40" s="22">
        <f>SUMPRODUCT(($F$89:$O$89&lt;=B40)*($F$89:$O$89+$F$90:$O$90&gt;B40)*$F$93:$O$93)*(1+$F$8)^(D40-1)</f>
        <v>0</v>
      </c>
      <c r="S40" s="22">
        <f>$V$10*(1+$F$8)^(D40-1)</f>
        <v>6206</v>
      </c>
      <c r="T40" s="22">
        <f>IF(D40&lt;=$W$11,$V$11*12,0)+SUMPRODUCT(($F$123:$O$123&gt;=B40)*$F$120:$O$120)*12</f>
        <v>0</v>
      </c>
      <c r="U40" s="23">
        <f>SUM(Q40:T40)</f>
        <v>142740</v>
      </c>
      <c r="V40" s="23">
        <f>(SUMPRODUCT(($F$111:$O$111=1)*($F$115:$O$115=B40)*$F$114:$O$114)+SUMPRODUCT(($F$111:$O$111=2)*($F$115:$O$115&lt;=B40)*$F$114:$O$114))*(1+$F$8)^(D40-1)</f>
        <v>12412</v>
      </c>
      <c r="W40" s="23">
        <f>U40+V40</f>
        <v>155152</v>
      </c>
      <c r="X40" s="23">
        <f>P40-W40</f>
        <v>-70552</v>
      </c>
      <c r="Y40" s="22">
        <f>MAX(0,X40)</f>
        <v>0</v>
      </c>
      <c r="Z40" s="23">
        <f>Y40</f>
        <v>0</v>
      </c>
      <c r="AA40" s="22">
        <f>SUMPRODUCT(($F$83:$O$83=B40)*($F$87:$O$87=1)*$F$86:$O$86)*(1+$F$8)^(D40-1)</f>
        <v>0</v>
      </c>
      <c r="AB40" s="22">
        <f>SUMPRODUCT(($F$83:$O$83=B40)*($F$87:$O$87=2)*$F$86:$O$86)*(1+$F$8)^(D40-1)</f>
        <v>0</v>
      </c>
      <c r="AC40" s="22">
        <f>SUMPRODUCT(($F$83:$O$83=B40)*($F$87:$O$87=3)*$F$86:$O$86)*(1+$F$8)^(D40-1)</f>
        <v>0</v>
      </c>
      <c r="AD40" s="23">
        <f>SUM(AA40:AC40)</f>
        <v>0</v>
      </c>
      <c r="AE40" s="22">
        <f>MIN(0,X40)</f>
        <v>-70552</v>
      </c>
      <c r="AF40" s="22">
        <f>-SUMIF($F$100:$O$100,B40,$F$103:$O$103)*(1+$F$8)^(D40-1)</f>
        <v>0</v>
      </c>
      <c r="AG40" s="22">
        <f>IF(B40=$F$105,-$F$108*(1+$F$8)^(D40-1),0)</f>
        <v>0</v>
      </c>
      <c r="AH40" s="23">
        <f>SUM(AE40:AG40)</f>
        <v>-70552</v>
      </c>
      <c r="AI40" s="22">
        <f>AL39</f>
        <v>1168292</v>
      </c>
      <c r="AJ40" s="22">
        <f>AI40*$F$10</f>
        <v>70098</v>
      </c>
      <c r="AK40" s="22">
        <f>MAX(0,-(AI40+AJ40+Z40+AD40+AH40))</f>
        <v>0</v>
      </c>
      <c r="AL40" s="23">
        <f>AI40+AJ40+Z40+AD40+AH40+AK40</f>
        <v>1167838</v>
      </c>
      <c r="AM40" s="22">
        <f>AL40/(1+$F$8)^D40</f>
        <v>543340</v>
      </c>
      <c r="AN40" s="24">
        <f>IF(AI40&lt;=0,0,-AH40/AI40)</f>
        <v>0.06038874592539385</v>
      </c>
    </row>
    <row r="41">
      <c r="B41" s="25">
        <f>B40+1</f>
        <v>2046</v>
      </c>
      <c r="C41" s="25">
        <f>C40+1</f>
        <v>66</v>
      </c>
      <c r="D41" s="25">
        <f>D40+1</f>
        <v>21</v>
      </c>
      <c r="E41" s="26" t="str">
        <f>IF(D41&lt;=$F$12,"Acumulación","Retiro")</f>
        <v>Retiro</v>
      </c>
      <c r="F41" s="22">
        <f>IF(D41&lt;=$O$7,$M$7*12*(1+$F$8)^(D41-1),0)</f>
        <v>0</v>
      </c>
      <c r="G41" s="22">
        <f>IF(D41&lt;=$O$8,$M$8*12*(1+$F$8)^(D41-1),0)</f>
        <v>0</v>
      </c>
      <c r="H41" s="22">
        <f>IF(AND($M$9&gt;0,D41&gt;=$N$9,D41&lt;=$O$9),$M$9*12*(1+$F$8)^(D41-1),0)</f>
        <v>28658</v>
      </c>
      <c r="I41" s="22">
        <f>SUMPRODUCT(($F$98:$O$98&gt;=B41)*$F$97:$O$97)*12*(1+$F$8)^(D41-1)</f>
        <v>0</v>
      </c>
      <c r="J41" s="22">
        <f>IF(AND($M$10&gt;0,D41&gt;=$N$10),$M$10*12*(1+$F$8)^($N$10-1)*(1+$F$9)^(D41-$N$10),0)</f>
        <v>44573</v>
      </c>
      <c r="K41" s="22">
        <f>'Fondos de pensión'!T39</f>
        <v>12885</v>
      </c>
      <c r="L41" s="23">
        <f>SUM(F41:K41)</f>
        <v>86117</v>
      </c>
      <c r="M41" s="22">
        <f>SUMIF($F$78:$O$78,B41,$F$81:$O$81)*(1+$F$8)^(D41-1)</f>
        <v>0</v>
      </c>
      <c r="N41" s="22">
        <f>'Fondos de pensión'!S39</f>
        <v>0</v>
      </c>
      <c r="O41" s="23">
        <f>SUM(M41:N41)</f>
        <v>0</v>
      </c>
      <c r="P41" s="23">
        <f>L41+O41</f>
        <v>86117</v>
      </c>
      <c r="Q41" s="22">
        <f>$V$7*12*(1+$F$8)^(D41-1)*IF(D41&gt;$F$12,$V$8,1)</f>
        <v>141858</v>
      </c>
      <c r="R41" s="22">
        <f>SUMPRODUCT(($F$89:$O$89&lt;=B41)*($F$89:$O$89+$F$90:$O$90&gt;B41)*$F$93:$O$93)*(1+$F$8)^(D41-1)</f>
        <v>0</v>
      </c>
      <c r="S41" s="22">
        <f>$V$10*(1+$F$8)^(D41-1)</f>
        <v>6448</v>
      </c>
      <c r="T41" s="22">
        <f>IF(D41&lt;=$W$11,$V$11*12,0)+SUMPRODUCT(($F$123:$O$123&gt;=B41)*$F$120:$O$120)*12</f>
        <v>0</v>
      </c>
      <c r="U41" s="23">
        <f>SUM(Q41:T41)</f>
        <v>148306</v>
      </c>
      <c r="V41" s="23">
        <f>(SUMPRODUCT(($F$111:$O$111=1)*($F$115:$O$115=B41)*$F$114:$O$114)+SUMPRODUCT(($F$111:$O$111=2)*($F$115:$O$115&lt;=B41)*$F$114:$O$114))*(1+$F$8)^(D41-1)</f>
        <v>12896</v>
      </c>
      <c r="W41" s="23">
        <f>U41+V41</f>
        <v>161203</v>
      </c>
      <c r="X41" s="23">
        <f>P41-W41</f>
        <v>-75086</v>
      </c>
      <c r="Y41" s="22">
        <f>MAX(0,X41)</f>
        <v>0</v>
      </c>
      <c r="Z41" s="23">
        <f>Y41</f>
        <v>0</v>
      </c>
      <c r="AA41" s="22">
        <f>SUMPRODUCT(($F$83:$O$83=B41)*($F$87:$O$87=1)*$F$86:$O$86)*(1+$F$8)^(D41-1)</f>
        <v>0</v>
      </c>
      <c r="AB41" s="22">
        <f>SUMPRODUCT(($F$83:$O$83=B41)*($F$87:$O$87=2)*$F$86:$O$86)*(1+$F$8)^(D41-1)</f>
        <v>0</v>
      </c>
      <c r="AC41" s="22">
        <f>SUMPRODUCT(($F$83:$O$83=B41)*($F$87:$O$87=3)*$F$86:$O$86)*(1+$F$8)^(D41-1)</f>
        <v>0</v>
      </c>
      <c r="AD41" s="23">
        <f>SUM(AA41:AC41)</f>
        <v>0</v>
      </c>
      <c r="AE41" s="22">
        <f>MIN(0,X41)</f>
        <v>-75086</v>
      </c>
      <c r="AF41" s="22">
        <f>-SUMIF($F$100:$O$100,B41,$F$103:$O$103)*(1+$F$8)^(D41-1)</f>
        <v>0</v>
      </c>
      <c r="AG41" s="22">
        <f>IF(B41=$F$105,-$F$108*(1+$F$8)^(D41-1),0)</f>
        <v>0</v>
      </c>
      <c r="AH41" s="23">
        <f>SUM(AE41:AG41)</f>
        <v>-75086</v>
      </c>
      <c r="AI41" s="22">
        <f>AL40</f>
        <v>1167838</v>
      </c>
      <c r="AJ41" s="22">
        <f>AI41*$F$10</f>
        <v>70070</v>
      </c>
      <c r="AK41" s="22">
        <f>MAX(0,-(AI41+AJ41+Z41+AD41+AH41))</f>
        <v>0</v>
      </c>
      <c r="AL41" s="23">
        <f>AI41+AJ41+Z41+AD41+AH41+AK41</f>
        <v>1162822</v>
      </c>
      <c r="AM41" s="22">
        <f>AL41/(1+$F$8)^D41</f>
        <v>520699</v>
      </c>
      <c r="AN41" s="24">
        <f>IF(AI41&lt;=0,0,-AH41/AI41)</f>
        <v>0.06429451648229463</v>
      </c>
    </row>
    <row r="42">
      <c r="B42" s="25">
        <f>B41+1</f>
        <v>2047</v>
      </c>
      <c r="C42" s="25">
        <f>C41+1</f>
        <v>67</v>
      </c>
      <c r="D42" s="25">
        <f>D41+1</f>
        <v>22</v>
      </c>
      <c r="E42" s="26" t="str">
        <f>IF(D42&lt;=$F$12,"Acumulación","Retiro")</f>
        <v>Retiro</v>
      </c>
      <c r="F42" s="22">
        <f>IF(D42&lt;=$O$7,$M$7*12*(1+$F$8)^(D42-1),0)</f>
        <v>0</v>
      </c>
      <c r="G42" s="22">
        <f>IF(D42&lt;=$O$8,$M$8*12*(1+$F$8)^(D42-1),0)</f>
        <v>0</v>
      </c>
      <c r="H42" s="22">
        <f>IF(AND($M$9&gt;0,D42&gt;=$N$9,D42&lt;=$O$9),$M$9*12*(1+$F$8)^(D42-1),0)</f>
        <v>29776</v>
      </c>
      <c r="I42" s="22">
        <f>SUMPRODUCT(($F$98:$O$98&gt;=B42)*$F$97:$O$97)*12*(1+$F$8)^(D42-1)</f>
        <v>0</v>
      </c>
      <c r="J42" s="22">
        <f>IF(AND($M$10&gt;0,D42&gt;=$N$10),$M$10*12*(1+$F$8)^($N$10-1)*(1+$F$9)^(D42-$N$10),0)</f>
        <v>45019</v>
      </c>
      <c r="K42" s="22">
        <f>'Fondos de pensión'!T40</f>
        <v>12885</v>
      </c>
      <c r="L42" s="23">
        <f>SUM(F42:K42)</f>
        <v>87681</v>
      </c>
      <c r="M42" s="22">
        <f>SUMIF($F$78:$O$78,B42,$F$81:$O$81)*(1+$F$8)^(D42-1)</f>
        <v>0</v>
      </c>
      <c r="N42" s="22">
        <f>'Fondos de pensión'!S40</f>
        <v>0</v>
      </c>
      <c r="O42" s="23">
        <f>SUM(M42:N42)</f>
        <v>0</v>
      </c>
      <c r="P42" s="23">
        <f>L42+O42</f>
        <v>87681</v>
      </c>
      <c r="Q42" s="22">
        <f>$V$7*12*(1+$F$8)^(D42-1)*IF(D42&gt;$F$12,$V$8,1)</f>
        <v>147391</v>
      </c>
      <c r="R42" s="22">
        <f>SUMPRODUCT(($F$89:$O$89&lt;=B42)*($F$89:$O$89+$F$90:$O$90&gt;B42)*$F$93:$O$93)*(1+$F$8)^(D42-1)</f>
        <v>0</v>
      </c>
      <c r="S42" s="22">
        <f>$V$10*(1+$F$8)^(D42-1)</f>
        <v>6700</v>
      </c>
      <c r="T42" s="22">
        <f>IF(D42&lt;=$W$11,$V$11*12,0)+SUMPRODUCT(($F$123:$O$123&gt;=B42)*$F$120:$O$120)*12</f>
        <v>0</v>
      </c>
      <c r="U42" s="23">
        <f>SUM(Q42:T42)</f>
        <v>154090</v>
      </c>
      <c r="V42" s="23">
        <f>(SUMPRODUCT(($F$111:$O$111=1)*($F$115:$O$115=B42)*$F$114:$O$114)+SUMPRODUCT(($F$111:$O$111=2)*($F$115:$O$115&lt;=B42)*$F$114:$O$114))*(1+$F$8)^(D42-1)</f>
        <v>13399</v>
      </c>
      <c r="W42" s="23">
        <f>U42+V42</f>
        <v>167490</v>
      </c>
      <c r="X42" s="23">
        <f>P42-W42</f>
        <v>-79809</v>
      </c>
      <c r="Y42" s="22">
        <f>MAX(0,X42)</f>
        <v>0</v>
      </c>
      <c r="Z42" s="23">
        <f>Y42</f>
        <v>0</v>
      </c>
      <c r="AA42" s="22">
        <f>SUMPRODUCT(($F$83:$O$83=B42)*($F$87:$O$87=1)*$F$86:$O$86)*(1+$F$8)^(D42-1)</f>
        <v>0</v>
      </c>
      <c r="AB42" s="22">
        <f>SUMPRODUCT(($F$83:$O$83=B42)*($F$87:$O$87=2)*$F$86:$O$86)*(1+$F$8)^(D42-1)</f>
        <v>0</v>
      </c>
      <c r="AC42" s="22">
        <f>SUMPRODUCT(($F$83:$O$83=B42)*($F$87:$O$87=3)*$F$86:$O$86)*(1+$F$8)^(D42-1)</f>
        <v>0</v>
      </c>
      <c r="AD42" s="23">
        <f>SUM(AA42:AC42)</f>
        <v>0</v>
      </c>
      <c r="AE42" s="22">
        <f>MIN(0,X42)</f>
        <v>-79809</v>
      </c>
      <c r="AF42" s="22">
        <f>-SUMIF($F$100:$O$100,B42,$F$103:$O$103)*(1+$F$8)^(D42-1)</f>
        <v>0</v>
      </c>
      <c r="AG42" s="22">
        <f>IF(B42=$F$105,-$F$108*(1+$F$8)^(D42-1),0)</f>
        <v>0</v>
      </c>
      <c r="AH42" s="23">
        <f>SUM(AE42:AG42)</f>
        <v>-79809</v>
      </c>
      <c r="AI42" s="22">
        <f>AL41</f>
        <v>1162822</v>
      </c>
      <c r="AJ42" s="22">
        <f>AI42*$F$10</f>
        <v>69769</v>
      </c>
      <c r="AK42" s="22">
        <f>MAX(0,-(AI42+AJ42+Z42+AD42+AH42))</f>
        <v>0</v>
      </c>
      <c r="AL42" s="23">
        <f>AI42+AJ42+Z42+AD42+AH42+AK42</f>
        <v>1152783</v>
      </c>
      <c r="AM42" s="22">
        <f>AL42/(1+$F$8)^D42</f>
        <v>496827</v>
      </c>
      <c r="AN42" s="24">
        <f>IF(AI42&lt;=0,0,-AH42/AI42)</f>
        <v>0.06863391963486248</v>
      </c>
    </row>
    <row r="43">
      <c r="B43" s="25">
        <f>B42+1</f>
        <v>2048</v>
      </c>
      <c r="C43" s="25">
        <f>C42+1</f>
        <v>68</v>
      </c>
      <c r="D43" s="25">
        <f>D42+1</f>
        <v>23</v>
      </c>
      <c r="E43" s="26" t="str">
        <f>IF(D43&lt;=$F$12,"Acumulación","Retiro")</f>
        <v>Retiro</v>
      </c>
      <c r="F43" s="22">
        <f>IF(D43&lt;=$O$7,$M$7*12*(1+$F$8)^(D43-1),0)</f>
        <v>0</v>
      </c>
      <c r="G43" s="22">
        <f>IF(D43&lt;=$O$8,$M$8*12*(1+$F$8)^(D43-1),0)</f>
        <v>0</v>
      </c>
      <c r="H43" s="22">
        <f>IF(AND($M$9&gt;0,D43&gt;=$N$9,D43&lt;=$O$9),$M$9*12*(1+$F$8)^(D43-1),0)</f>
        <v>30937</v>
      </c>
      <c r="I43" s="22">
        <f>SUMPRODUCT(($F$98:$O$98&gt;=B43)*$F$97:$O$97)*12*(1+$F$8)^(D43-1)</f>
        <v>0</v>
      </c>
      <c r="J43" s="22">
        <f>IF(AND($M$10&gt;0,D43&gt;=$N$10),$M$10*12*(1+$F$8)^($N$10-1)*(1+$F$9)^(D43-$N$10),0)</f>
        <v>45469</v>
      </c>
      <c r="K43" s="22">
        <f>'Fondos de pensión'!T41</f>
        <v>12885</v>
      </c>
      <c r="L43" s="23">
        <f>SUM(F43:K43)</f>
        <v>89292</v>
      </c>
      <c r="M43" s="22">
        <f>SUMIF($F$78:$O$78,B43,$F$81:$O$81)*(1+$F$8)^(D43-1)</f>
        <v>0</v>
      </c>
      <c r="N43" s="22">
        <f>'Fondos de pensión'!S41</f>
        <v>0</v>
      </c>
      <c r="O43" s="23">
        <f>SUM(M43:N43)</f>
        <v>0</v>
      </c>
      <c r="P43" s="23">
        <f>L43+O43</f>
        <v>89292</v>
      </c>
      <c r="Q43" s="22">
        <f>$V$7*12*(1+$F$8)^(D43-1)*IF(D43&gt;$F$12,$V$8,1)</f>
        <v>153139</v>
      </c>
      <c r="R43" s="22">
        <f>SUMPRODUCT(($F$89:$O$89&lt;=B43)*($F$89:$O$89+$F$90:$O$90&gt;B43)*$F$93:$O$93)*(1+$F$8)^(D43-1)</f>
        <v>0</v>
      </c>
      <c r="S43" s="22">
        <f>$V$10*(1+$F$8)^(D43-1)</f>
        <v>6961</v>
      </c>
      <c r="T43" s="22">
        <f>IF(D43&lt;=$W$11,$V$11*12,0)+SUMPRODUCT(($F$123:$O$123&gt;=B43)*$F$120:$O$120)*12</f>
        <v>0</v>
      </c>
      <c r="U43" s="23">
        <f>SUM(Q43:T43)</f>
        <v>160100</v>
      </c>
      <c r="V43" s="23">
        <f>(SUMPRODUCT(($F$111:$O$111=1)*($F$115:$O$115=B43)*$F$114:$O$114)+SUMPRODUCT(($F$111:$O$111=2)*($F$115:$O$115&lt;=B43)*$F$114:$O$114))*(1+$F$8)^(D43-1)</f>
        <v>13922</v>
      </c>
      <c r="W43" s="23">
        <f>U43+V43</f>
        <v>174022</v>
      </c>
      <c r="X43" s="23">
        <f>P43-W43</f>
        <v>-84730</v>
      </c>
      <c r="Y43" s="22">
        <f>MAX(0,X43)</f>
        <v>0</v>
      </c>
      <c r="Z43" s="23">
        <f>Y43</f>
        <v>0</v>
      </c>
      <c r="AA43" s="22">
        <f>SUMPRODUCT(($F$83:$O$83=B43)*($F$87:$O$87=1)*$F$86:$O$86)*(1+$F$8)^(D43-1)</f>
        <v>0</v>
      </c>
      <c r="AB43" s="22">
        <f>SUMPRODUCT(($F$83:$O$83=B43)*($F$87:$O$87=2)*$F$86:$O$86)*(1+$F$8)^(D43-1)</f>
        <v>0</v>
      </c>
      <c r="AC43" s="22">
        <f>SUMPRODUCT(($F$83:$O$83=B43)*($F$87:$O$87=3)*$F$86:$O$86)*(1+$F$8)^(D43-1)</f>
        <v>0</v>
      </c>
      <c r="AD43" s="23">
        <f>SUM(AA43:AC43)</f>
        <v>0</v>
      </c>
      <c r="AE43" s="22">
        <f>MIN(0,X43)</f>
        <v>-84730</v>
      </c>
      <c r="AF43" s="22">
        <f>-SUMIF($F$100:$O$100,B43,$F$103:$O$103)*(1+$F$8)^(D43-1)</f>
        <v>0</v>
      </c>
      <c r="AG43" s="22">
        <f>IF(B43=$F$105,-$F$108*(1+$F$8)^(D43-1),0)</f>
        <v>0</v>
      </c>
      <c r="AH43" s="23">
        <f>SUM(AE43:AG43)</f>
        <v>-84730</v>
      </c>
      <c r="AI43" s="22">
        <f>AL42</f>
        <v>1152783</v>
      </c>
      <c r="AJ43" s="22">
        <f>AI43*$F$10</f>
        <v>69167</v>
      </c>
      <c r="AK43" s="22">
        <f>MAX(0,-(AI43+AJ43+Z43+AD43+AH43))</f>
        <v>0</v>
      </c>
      <c r="AL43" s="23">
        <f>AI43+AJ43+Z43+AD43+AH43+AK43</f>
        <v>1137220</v>
      </c>
      <c r="AM43" s="22">
        <f>AL43/(1+$F$8)^D43</f>
        <v>471723</v>
      </c>
      <c r="AN43" s="24">
        <f>IF(AI43&lt;=0,0,-AH43/AI43)</f>
        <v>0.07350015056526077</v>
      </c>
    </row>
    <row r="44">
      <c r="B44" s="25">
        <f>B43+1</f>
        <v>2049</v>
      </c>
      <c r="C44" s="25">
        <f>C43+1</f>
        <v>69</v>
      </c>
      <c r="D44" s="25">
        <f>D43+1</f>
        <v>24</v>
      </c>
      <c r="E44" s="26" t="str">
        <f>IF(D44&lt;=$F$12,"Acumulación","Retiro")</f>
        <v>Retiro</v>
      </c>
      <c r="F44" s="22">
        <f>IF(D44&lt;=$O$7,$M$7*12*(1+$F$8)^(D44-1),0)</f>
        <v>0</v>
      </c>
      <c r="G44" s="22">
        <f>IF(D44&lt;=$O$8,$M$8*12*(1+$F$8)^(D44-1),0)</f>
        <v>0</v>
      </c>
      <c r="H44" s="22">
        <f>IF(AND($M$9&gt;0,D44&gt;=$N$9,D44&lt;=$O$9),$M$9*12*(1+$F$8)^(D44-1),0)</f>
        <v>32144</v>
      </c>
      <c r="I44" s="22">
        <f>SUMPRODUCT(($F$98:$O$98&gt;=B44)*$F$97:$O$97)*12*(1+$F$8)^(D44-1)</f>
        <v>0</v>
      </c>
      <c r="J44" s="22">
        <f>IF(AND($M$10&gt;0,D44&gt;=$N$10),$M$10*12*(1+$F$8)^($N$10-1)*(1+$F$9)^(D44-$N$10),0)</f>
        <v>45924</v>
      </c>
      <c r="K44" s="22">
        <f>'Fondos de pensión'!T42</f>
        <v>12885</v>
      </c>
      <c r="L44" s="23">
        <f>SUM(F44:K44)</f>
        <v>90953</v>
      </c>
      <c r="M44" s="22">
        <f>SUMIF($F$78:$O$78,B44,$F$81:$O$81)*(1+$F$8)^(D44-1)</f>
        <v>0</v>
      </c>
      <c r="N44" s="22">
        <f>'Fondos de pensión'!S42</f>
        <v>0</v>
      </c>
      <c r="O44" s="23">
        <f>SUM(M44:N44)</f>
        <v>0</v>
      </c>
      <c r="P44" s="23">
        <f>L44+O44</f>
        <v>90953</v>
      </c>
      <c r="Q44" s="22">
        <f>$V$7*12*(1+$F$8)^(D44-1)*IF(D44&gt;$F$12,$V$8,1)</f>
        <v>159111</v>
      </c>
      <c r="R44" s="22">
        <f>SUMPRODUCT(($F$89:$O$89&lt;=B44)*($F$89:$O$89+$F$90:$O$90&gt;B44)*$F$93:$O$93)*(1+$F$8)^(D44-1)</f>
        <v>0</v>
      </c>
      <c r="S44" s="22">
        <f>$V$10*(1+$F$8)^(D44-1)</f>
        <v>7232</v>
      </c>
      <c r="T44" s="22">
        <f>IF(D44&lt;=$W$11,$V$11*12,0)+SUMPRODUCT(($F$123:$O$123&gt;=B44)*$F$120:$O$120)*12</f>
        <v>0</v>
      </c>
      <c r="U44" s="23">
        <f>SUM(Q44:T44)</f>
        <v>166344</v>
      </c>
      <c r="V44" s="23">
        <f>(SUMPRODUCT(($F$111:$O$111=1)*($F$115:$O$115=B44)*$F$114:$O$114)+SUMPRODUCT(($F$111:$O$111=2)*($F$115:$O$115&lt;=B44)*$F$114:$O$114))*(1+$F$8)^(D44-1)</f>
        <v>14465</v>
      </c>
      <c r="W44" s="23">
        <f>U44+V44</f>
        <v>180809</v>
      </c>
      <c r="X44" s="23">
        <f>P44-W44</f>
        <v>-89855</v>
      </c>
      <c r="Y44" s="22">
        <f>MAX(0,X44)</f>
        <v>0</v>
      </c>
      <c r="Z44" s="23">
        <f>Y44</f>
        <v>0</v>
      </c>
      <c r="AA44" s="22">
        <f>SUMPRODUCT(($F$83:$O$83=B44)*($F$87:$O$87=1)*$F$86:$O$86)*(1+$F$8)^(D44-1)</f>
        <v>0</v>
      </c>
      <c r="AB44" s="22">
        <f>SUMPRODUCT(($F$83:$O$83=B44)*($F$87:$O$87=2)*$F$86:$O$86)*(1+$F$8)^(D44-1)</f>
        <v>0</v>
      </c>
      <c r="AC44" s="22">
        <f>SUMPRODUCT(($F$83:$O$83=B44)*($F$87:$O$87=3)*$F$86:$O$86)*(1+$F$8)^(D44-1)</f>
        <v>0</v>
      </c>
      <c r="AD44" s="23">
        <f>SUM(AA44:AC44)</f>
        <v>0</v>
      </c>
      <c r="AE44" s="22">
        <f>MIN(0,X44)</f>
        <v>-89855</v>
      </c>
      <c r="AF44" s="22">
        <f>-SUMIF($F$100:$O$100,B44,$F$103:$O$103)*(1+$F$8)^(D44-1)</f>
        <v>0</v>
      </c>
      <c r="AG44" s="22">
        <f>IF(B44=$F$105,-$F$108*(1+$F$8)^(D44-1),0)</f>
        <v>0</v>
      </c>
      <c r="AH44" s="23">
        <f>SUM(AE44:AG44)</f>
        <v>-89855</v>
      </c>
      <c r="AI44" s="22">
        <f>AL43</f>
        <v>1137220</v>
      </c>
      <c r="AJ44" s="22">
        <f>AI44*$F$10</f>
        <v>68233</v>
      </c>
      <c r="AK44" s="22">
        <f>MAX(0,-(AI44+AJ44+Z44+AD44+AH44))</f>
        <v>0</v>
      </c>
      <c r="AL44" s="23">
        <f>AI44+AJ44+Z44+AD44+AH44+AK44</f>
        <v>1115598</v>
      </c>
      <c r="AM44" s="22">
        <f>AL44/(1+$F$8)^D44</f>
        <v>445384</v>
      </c>
      <c r="AN44" s="24">
        <f>IF(AI44&lt;=0,0,-AH44/AI44)</f>
        <v>0.07901312637280437</v>
      </c>
    </row>
    <row r="45">
      <c r="B45" s="25">
        <f>B44+1</f>
        <v>2050</v>
      </c>
      <c r="C45" s="25">
        <f>C44+1</f>
        <v>70</v>
      </c>
      <c r="D45" s="25">
        <f>D44+1</f>
        <v>25</v>
      </c>
      <c r="E45" s="26" t="str">
        <f>IF(D45&lt;=$F$12,"Acumulación","Retiro")</f>
        <v>Retiro</v>
      </c>
      <c r="F45" s="22">
        <f>IF(D45&lt;=$O$7,$M$7*12*(1+$F$8)^(D45-1),0)</f>
        <v>0</v>
      </c>
      <c r="G45" s="22">
        <f>IF(D45&lt;=$O$8,$M$8*12*(1+$F$8)^(D45-1),0)</f>
        <v>0</v>
      </c>
      <c r="H45" s="22">
        <f>IF(AND($M$9&gt;0,D45&gt;=$N$9,D45&lt;=$O$9),$M$9*12*(1+$F$8)^(D45-1),0)</f>
        <v>33397</v>
      </c>
      <c r="I45" s="22">
        <f>SUMPRODUCT(($F$98:$O$98&gt;=B45)*$F$97:$O$97)*12*(1+$F$8)^(D45-1)</f>
        <v>0</v>
      </c>
      <c r="J45" s="22">
        <f>IF(AND($M$10&gt;0,D45&gt;=$N$10),$M$10*12*(1+$F$8)^($N$10-1)*(1+$F$9)^(D45-$N$10),0)</f>
        <v>46383</v>
      </c>
      <c r="K45" s="22">
        <f>'Fondos de pensión'!T43</f>
        <v>12885</v>
      </c>
      <c r="L45" s="23">
        <f>SUM(F45:K45)</f>
        <v>92666</v>
      </c>
      <c r="M45" s="22">
        <f>SUMIF($F$78:$O$78,B45,$F$81:$O$81)*(1+$F$8)^(D45-1)</f>
        <v>0</v>
      </c>
      <c r="N45" s="22">
        <f>'Fondos de pensión'!S43</f>
        <v>0</v>
      </c>
      <c r="O45" s="23">
        <f>SUM(M45:N45)</f>
        <v>0</v>
      </c>
      <c r="P45" s="23">
        <f>L45+O45</f>
        <v>92666</v>
      </c>
      <c r="Q45" s="22">
        <f>$V$7*12*(1+$F$8)^(D45-1)*IF(D45&gt;$F$12,$V$8,1)</f>
        <v>165317</v>
      </c>
      <c r="R45" s="22">
        <f>SUMPRODUCT(($F$89:$O$89&lt;=B45)*($F$89:$O$89+$F$90:$O$90&gt;B45)*$F$93:$O$93)*(1+$F$8)^(D45-1)</f>
        <v>0</v>
      </c>
      <c r="S45" s="22">
        <f>$V$10*(1+$F$8)^(D45-1)</f>
        <v>7514</v>
      </c>
      <c r="T45" s="22">
        <f>IF(D45&lt;=$W$11,$V$11*12,0)+SUMPRODUCT(($F$123:$O$123&gt;=B45)*$F$120:$O$120)*12</f>
        <v>0</v>
      </c>
      <c r="U45" s="23">
        <f>SUM(Q45:T45)</f>
        <v>172831</v>
      </c>
      <c r="V45" s="23">
        <f>(SUMPRODUCT(($F$111:$O$111=1)*($F$115:$O$115=B45)*$F$114:$O$114)+SUMPRODUCT(($F$111:$O$111=2)*($F$115:$O$115&lt;=B45)*$F$114:$O$114))*(1+$F$8)^(D45-1)</f>
        <v>15029</v>
      </c>
      <c r="W45" s="23">
        <f>U45+V45</f>
        <v>187860</v>
      </c>
      <c r="X45" s="23">
        <f>P45-W45</f>
        <v>-95194</v>
      </c>
      <c r="Y45" s="22">
        <f>MAX(0,X45)</f>
        <v>0</v>
      </c>
      <c r="Z45" s="23">
        <f>Y45</f>
        <v>0</v>
      </c>
      <c r="AA45" s="22">
        <f>SUMPRODUCT(($F$83:$O$83=B45)*($F$87:$O$87=1)*$F$86:$O$86)*(1+$F$8)^(D45-1)</f>
        <v>0</v>
      </c>
      <c r="AB45" s="22">
        <f>SUMPRODUCT(($F$83:$O$83=B45)*($F$87:$O$87=2)*$F$86:$O$86)*(1+$F$8)^(D45-1)</f>
        <v>0</v>
      </c>
      <c r="AC45" s="22">
        <f>SUMPRODUCT(($F$83:$O$83=B45)*($F$87:$O$87=3)*$F$86:$O$86)*(1+$F$8)^(D45-1)</f>
        <v>0</v>
      </c>
      <c r="AD45" s="23">
        <f>SUM(AA45:AC45)</f>
        <v>0</v>
      </c>
      <c r="AE45" s="22">
        <f>MIN(0,X45)</f>
        <v>-95194</v>
      </c>
      <c r="AF45" s="22">
        <f>-SUMIF($F$100:$O$100,B45,$F$103:$O$103)*(1+$F$8)^(D45-1)</f>
        <v>0</v>
      </c>
      <c r="AG45" s="22">
        <f>IF(B45=$F$105,-$F$108*(1+$F$8)^(D45-1),0)</f>
        <v>0</v>
      </c>
      <c r="AH45" s="23">
        <f>SUM(AE45:AG45)</f>
        <v>-95194</v>
      </c>
      <c r="AI45" s="22">
        <f>AL44</f>
        <v>1115598</v>
      </c>
      <c r="AJ45" s="22">
        <f>AI45*$F$10</f>
        <v>66936</v>
      </c>
      <c r="AK45" s="22">
        <f>MAX(0,-(AI45+AJ45+Z45+AD45+AH45))</f>
        <v>0</v>
      </c>
      <c r="AL45" s="23">
        <f>AI45+AJ45+Z45+AD45+AH45+AK45</f>
        <v>1087340</v>
      </c>
      <c r="AM45" s="22">
        <f>AL45/(1+$F$8)^D45</f>
        <v>417808</v>
      </c>
      <c r="AN45" s="24">
        <f>IF(AI45&lt;=0,0,-AH45/AI45)</f>
        <v>0.08533002383027072</v>
      </c>
    </row>
    <row r="46">
      <c r="B46" s="25">
        <f>B45+1</f>
        <v>2051</v>
      </c>
      <c r="C46" s="25">
        <f>C45+1</f>
        <v>71</v>
      </c>
      <c r="D46" s="25">
        <f>D45+1</f>
        <v>26</v>
      </c>
      <c r="E46" s="26" t="str">
        <f>IF(D46&lt;=$F$12,"Acumulación","Retiro")</f>
        <v>Retiro</v>
      </c>
      <c r="F46" s="22">
        <f>IF(D46&lt;=$O$7,$M$7*12*(1+$F$8)^(D46-1),0)</f>
        <v>0</v>
      </c>
      <c r="G46" s="22">
        <f>IF(D46&lt;=$O$8,$M$8*12*(1+$F$8)^(D46-1),0)</f>
        <v>0</v>
      </c>
      <c r="H46" s="22">
        <f>IF(AND($M$9&gt;0,D46&gt;=$N$9,D46&lt;=$O$9),$M$9*12*(1+$F$8)^(D46-1),0)</f>
        <v>34700</v>
      </c>
      <c r="I46" s="22">
        <f>SUMPRODUCT(($F$98:$O$98&gt;=B46)*$F$97:$O$97)*12*(1+$F$8)^(D46-1)</f>
        <v>0</v>
      </c>
      <c r="J46" s="22">
        <f>IF(AND($M$10&gt;0,D46&gt;=$N$10),$M$10*12*(1+$F$8)^($N$10-1)*(1+$F$9)^(D46-$N$10),0)</f>
        <v>46847</v>
      </c>
      <c r="K46" s="22">
        <f>'Fondos de pensión'!T44</f>
        <v>12885</v>
      </c>
      <c r="L46" s="23">
        <f>SUM(F46:K46)</f>
        <v>94432</v>
      </c>
      <c r="M46" s="22">
        <f>SUMIF($F$78:$O$78,B46,$F$81:$O$81)*(1+$F$8)^(D46-1)</f>
        <v>0</v>
      </c>
      <c r="N46" s="22">
        <f>'Fondos de pensión'!S44</f>
        <v>0</v>
      </c>
      <c r="O46" s="23">
        <f>SUM(M46:N46)</f>
        <v>0</v>
      </c>
      <c r="P46" s="23">
        <f>L46+O46</f>
        <v>94432</v>
      </c>
      <c r="Q46" s="22">
        <f>$V$7*12*(1+$F$8)^(D46-1)*IF(D46&gt;$F$12,$V$8,1)</f>
        <v>171764</v>
      </c>
      <c r="R46" s="22">
        <f>SUMPRODUCT(($F$89:$O$89&lt;=B46)*($F$89:$O$89+$F$90:$O$90&gt;B46)*$F$93:$O$93)*(1+$F$8)^(D46-1)</f>
        <v>0</v>
      </c>
      <c r="S46" s="22">
        <f>$V$10*(1+$F$8)^(D46-1)</f>
        <v>7807</v>
      </c>
      <c r="T46" s="22">
        <f>IF(D46&lt;=$W$11,$V$11*12,0)+SUMPRODUCT(($F$123:$O$123&gt;=B46)*$F$120:$O$120)*12</f>
        <v>0</v>
      </c>
      <c r="U46" s="23">
        <f>SUM(Q46:T46)</f>
        <v>179572</v>
      </c>
      <c r="V46" s="23">
        <f>(SUMPRODUCT(($F$111:$O$111=1)*($F$115:$O$115=B46)*$F$114:$O$114)+SUMPRODUCT(($F$111:$O$111=2)*($F$115:$O$115&lt;=B46)*$F$114:$O$114))*(1+$F$8)^(D46-1)</f>
        <v>15615</v>
      </c>
      <c r="W46" s="23">
        <f>U46+V46</f>
        <v>195187</v>
      </c>
      <c r="X46" s="23">
        <f>P46-W46</f>
        <v>-100754</v>
      </c>
      <c r="Y46" s="22">
        <f>MAX(0,X46)</f>
        <v>0</v>
      </c>
      <c r="Z46" s="23">
        <f>Y46</f>
        <v>0</v>
      </c>
      <c r="AA46" s="22">
        <f>SUMPRODUCT(($F$83:$O$83=B46)*($F$87:$O$87=1)*$F$86:$O$86)*(1+$F$8)^(D46-1)</f>
        <v>0</v>
      </c>
      <c r="AB46" s="22">
        <f>SUMPRODUCT(($F$83:$O$83=B46)*($F$87:$O$87=2)*$F$86:$O$86)*(1+$F$8)^(D46-1)</f>
        <v>0</v>
      </c>
      <c r="AC46" s="22">
        <f>SUMPRODUCT(($F$83:$O$83=B46)*($F$87:$O$87=3)*$F$86:$O$86)*(1+$F$8)^(D46-1)</f>
        <v>0</v>
      </c>
      <c r="AD46" s="23">
        <f>SUM(AA46:AC46)</f>
        <v>0</v>
      </c>
      <c r="AE46" s="22">
        <f>MIN(0,X46)</f>
        <v>-100754</v>
      </c>
      <c r="AF46" s="22">
        <f>-SUMIF($F$100:$O$100,B46,$F$103:$O$103)*(1+$F$8)^(D46-1)</f>
        <v>0</v>
      </c>
      <c r="AG46" s="22">
        <f>IF(B46=$F$105,-$F$108*(1+$F$8)^(D46-1),0)</f>
        <v>0</v>
      </c>
      <c r="AH46" s="23">
        <f>SUM(AE46:AG46)</f>
        <v>-100754</v>
      </c>
      <c r="AI46" s="22">
        <f>AL45</f>
        <v>1087340</v>
      </c>
      <c r="AJ46" s="22">
        <f>AI46*$F$10</f>
        <v>65240</v>
      </c>
      <c r="AK46" s="22">
        <f>MAX(0,-(AI46+AJ46+Z46+AD46+AH46))</f>
        <v>0</v>
      </c>
      <c r="AL46" s="23">
        <f>AI46+AJ46+Z46+AD46+AH46+AK46</f>
        <v>1051826</v>
      </c>
      <c r="AM46" s="22">
        <f>AL46/(1+$F$8)^D46</f>
        <v>388991</v>
      </c>
      <c r="AN46" s="24">
        <f>IF(AI46&lt;=0,0,-AH46/AI46)</f>
        <v>0.09266120061403556</v>
      </c>
    </row>
    <row r="47">
      <c r="B47" s="25">
        <f>B46+1</f>
        <v>2052</v>
      </c>
      <c r="C47" s="25">
        <f>C46+1</f>
        <v>72</v>
      </c>
      <c r="D47" s="25">
        <f>D46+1</f>
        <v>27</v>
      </c>
      <c r="E47" s="26" t="str">
        <f>IF(D47&lt;=$F$12,"Acumulación","Retiro")</f>
        <v>Retiro</v>
      </c>
      <c r="F47" s="22">
        <f>IF(D47&lt;=$O$7,$M$7*12*(1+$F$8)^(D47-1),0)</f>
        <v>0</v>
      </c>
      <c r="G47" s="22">
        <f>IF(D47&lt;=$O$8,$M$8*12*(1+$F$8)^(D47-1),0)</f>
        <v>0</v>
      </c>
      <c r="H47" s="22">
        <f>IF(AND($M$9&gt;0,D47&gt;=$N$9,D47&lt;=$O$9),$M$9*12*(1+$F$8)^(D47-1),0)</f>
        <v>36053</v>
      </c>
      <c r="I47" s="22">
        <f>SUMPRODUCT(($F$98:$O$98&gt;=B47)*$F$97:$O$97)*12*(1+$F$8)^(D47-1)</f>
        <v>0</v>
      </c>
      <c r="J47" s="22">
        <f>IF(AND($M$10&gt;0,D47&gt;=$N$10),$M$10*12*(1+$F$8)^($N$10-1)*(1+$F$9)^(D47-$N$10),0)</f>
        <v>47316</v>
      </c>
      <c r="K47" s="22">
        <f>'Fondos de pensión'!T45</f>
        <v>12885</v>
      </c>
      <c r="L47" s="23">
        <f>SUM(F47:K47)</f>
        <v>96254</v>
      </c>
      <c r="M47" s="22">
        <f>SUMIF($F$78:$O$78,B47,$F$81:$O$81)*(1+$F$8)^(D47-1)</f>
        <v>0</v>
      </c>
      <c r="N47" s="22">
        <f>'Fondos de pensión'!S45</f>
        <v>0</v>
      </c>
      <c r="O47" s="23">
        <f>SUM(M47:N47)</f>
        <v>0</v>
      </c>
      <c r="P47" s="23">
        <f>L47+O47</f>
        <v>96254</v>
      </c>
      <c r="Q47" s="22">
        <f>$V$7*12*(1+$F$8)^(D47-1)*IF(D47&gt;$F$12,$V$8,1)</f>
        <v>178463</v>
      </c>
      <c r="R47" s="22">
        <f>SUMPRODUCT(($F$89:$O$89&lt;=B47)*($F$89:$O$89+$F$90:$O$90&gt;B47)*$F$93:$O$93)*(1+$F$8)^(D47-1)</f>
        <v>0</v>
      </c>
      <c r="S47" s="22">
        <f>$V$10*(1+$F$8)^(D47-1)</f>
        <v>8112</v>
      </c>
      <c r="T47" s="22">
        <f>IF(D47&lt;=$W$11,$V$11*12,0)+SUMPRODUCT(($F$123:$O$123&gt;=B47)*$F$120:$O$120)*12</f>
        <v>0</v>
      </c>
      <c r="U47" s="23">
        <f>SUM(Q47:T47)</f>
        <v>186575</v>
      </c>
      <c r="V47" s="23">
        <f>(SUMPRODUCT(($F$111:$O$111=1)*($F$115:$O$115=B47)*$F$114:$O$114)+SUMPRODUCT(($F$111:$O$111=2)*($F$115:$O$115&lt;=B47)*$F$114:$O$114))*(1+$F$8)^(D47-1)</f>
        <v>16224</v>
      </c>
      <c r="W47" s="23">
        <f>U47+V47</f>
        <v>202799</v>
      </c>
      <c r="X47" s="23">
        <f>P47-W47</f>
        <v>-106545</v>
      </c>
      <c r="Y47" s="22">
        <f>MAX(0,X47)</f>
        <v>0</v>
      </c>
      <c r="Z47" s="23">
        <f>Y47</f>
        <v>0</v>
      </c>
      <c r="AA47" s="22">
        <f>SUMPRODUCT(($F$83:$O$83=B47)*($F$87:$O$87=1)*$F$86:$O$86)*(1+$F$8)^(D47-1)</f>
        <v>0</v>
      </c>
      <c r="AB47" s="22">
        <f>SUMPRODUCT(($F$83:$O$83=B47)*($F$87:$O$87=2)*$F$86:$O$86)*(1+$F$8)^(D47-1)</f>
        <v>0</v>
      </c>
      <c r="AC47" s="22">
        <f>SUMPRODUCT(($F$83:$O$83=B47)*($F$87:$O$87=3)*$F$86:$O$86)*(1+$F$8)^(D47-1)</f>
        <v>0</v>
      </c>
      <c r="AD47" s="23">
        <f>SUM(AA47:AC47)</f>
        <v>0</v>
      </c>
      <c r="AE47" s="22">
        <f>MIN(0,X47)</f>
        <v>-106545</v>
      </c>
      <c r="AF47" s="22">
        <f>-SUMIF($F$100:$O$100,B47,$F$103:$O$103)*(1+$F$8)^(D47-1)</f>
        <v>0</v>
      </c>
      <c r="AG47" s="22">
        <f>IF(B47=$F$105,-$F$108*(1+$F$8)^(D47-1),0)</f>
        <v>0</v>
      </c>
      <c r="AH47" s="23">
        <f>SUM(AE47:AG47)</f>
        <v>-106545</v>
      </c>
      <c r="AI47" s="22">
        <f>AL46</f>
        <v>1051826</v>
      </c>
      <c r="AJ47" s="22">
        <f>AI47*$F$10</f>
        <v>63110</v>
      </c>
      <c r="AK47" s="22">
        <f>MAX(0,-(AI47+AJ47+Z47+AD47+AH47))</f>
        <v>0</v>
      </c>
      <c r="AL47" s="23">
        <f>AI47+AJ47+Z47+AD47+AH47+AK47</f>
        <v>1008391</v>
      </c>
      <c r="AM47" s="22">
        <f>AL47/(1+$F$8)^D47</f>
        <v>358929</v>
      </c>
      <c r="AN47" s="24">
        <f>IF(AI47&lt;=0,0,-AH47/AI47)</f>
        <v>0.10129501198423069</v>
      </c>
    </row>
    <row r="48">
      <c r="B48" s="25">
        <f>B47+1</f>
        <v>2053</v>
      </c>
      <c r="C48" s="25">
        <f>C47+1</f>
        <v>73</v>
      </c>
      <c r="D48" s="25">
        <f>D47+1</f>
        <v>28</v>
      </c>
      <c r="E48" s="26" t="str">
        <f>IF(D48&lt;=$F$12,"Acumulación","Retiro")</f>
        <v>Retiro</v>
      </c>
      <c r="F48" s="22">
        <f>IF(D48&lt;=$O$7,$M$7*12*(1+$F$8)^(D48-1),0)</f>
        <v>0</v>
      </c>
      <c r="G48" s="22">
        <f>IF(D48&lt;=$O$8,$M$8*12*(1+$F$8)^(D48-1),0)</f>
        <v>0</v>
      </c>
      <c r="H48" s="22">
        <f>IF(AND($M$9&gt;0,D48&gt;=$N$9,D48&lt;=$O$9),$M$9*12*(1+$F$8)^(D48-1),0)</f>
        <v>37459</v>
      </c>
      <c r="I48" s="22">
        <f>SUMPRODUCT(($F$98:$O$98&gt;=B48)*$F$97:$O$97)*12*(1+$F$8)^(D48-1)</f>
        <v>0</v>
      </c>
      <c r="J48" s="22">
        <f>IF(AND($M$10&gt;0,D48&gt;=$N$10),$M$10*12*(1+$F$8)^($N$10-1)*(1+$F$9)^(D48-$N$10),0)</f>
        <v>47789</v>
      </c>
      <c r="K48" s="22">
        <f>'Fondos de pensión'!T46</f>
        <v>12885</v>
      </c>
      <c r="L48" s="23">
        <f>SUM(F48:K48)</f>
        <v>98133</v>
      </c>
      <c r="M48" s="22">
        <f>SUMIF($F$78:$O$78,B48,$F$81:$O$81)*(1+$F$8)^(D48-1)</f>
        <v>0</v>
      </c>
      <c r="N48" s="22">
        <f>'Fondos de pensión'!S46</f>
        <v>0</v>
      </c>
      <c r="O48" s="23">
        <f>SUM(M48:N48)</f>
        <v>0</v>
      </c>
      <c r="P48" s="23">
        <f>L48+O48</f>
        <v>98133</v>
      </c>
      <c r="Q48" s="22">
        <f>$V$7*12*(1+$F$8)^(D48-1)*IF(D48&gt;$F$12,$V$8,1)</f>
        <v>185423</v>
      </c>
      <c r="R48" s="22">
        <f>SUMPRODUCT(($F$89:$O$89&lt;=B48)*($F$89:$O$89+$F$90:$O$90&gt;B48)*$F$93:$O$93)*(1+$F$8)^(D48-1)</f>
        <v>0</v>
      </c>
      <c r="S48" s="22">
        <f>$V$10*(1+$F$8)^(D48-1)</f>
        <v>8428</v>
      </c>
      <c r="T48" s="22">
        <f>IF(D48&lt;=$W$11,$V$11*12,0)+SUMPRODUCT(($F$123:$O$123&gt;=B48)*$F$120:$O$120)*12</f>
        <v>0</v>
      </c>
      <c r="U48" s="23">
        <f>SUM(Q48:T48)</f>
        <v>193851</v>
      </c>
      <c r="V48" s="23">
        <f>(SUMPRODUCT(($F$111:$O$111=1)*($F$115:$O$115=B48)*$F$114:$O$114)+SUMPRODUCT(($F$111:$O$111=2)*($F$115:$O$115&lt;=B48)*$F$114:$O$114))*(1+$F$8)^(D48-1)</f>
        <v>16857</v>
      </c>
      <c r="W48" s="23">
        <f>U48+V48</f>
        <v>210708</v>
      </c>
      <c r="X48" s="23">
        <f>P48-W48</f>
        <v>-112575</v>
      </c>
      <c r="Y48" s="22">
        <f>MAX(0,X48)</f>
        <v>0</v>
      </c>
      <c r="Z48" s="23">
        <f>Y48</f>
        <v>0</v>
      </c>
      <c r="AA48" s="22">
        <f>SUMPRODUCT(($F$83:$O$83=B48)*($F$87:$O$87=1)*$F$86:$O$86)*(1+$F$8)^(D48-1)</f>
        <v>0</v>
      </c>
      <c r="AB48" s="22">
        <f>SUMPRODUCT(($F$83:$O$83=B48)*($F$87:$O$87=2)*$F$86:$O$86)*(1+$F$8)^(D48-1)</f>
        <v>0</v>
      </c>
      <c r="AC48" s="22">
        <f>SUMPRODUCT(($F$83:$O$83=B48)*($F$87:$O$87=3)*$F$86:$O$86)*(1+$F$8)^(D48-1)</f>
        <v>0</v>
      </c>
      <c r="AD48" s="23">
        <f>SUM(AA48:AC48)</f>
        <v>0</v>
      </c>
      <c r="AE48" s="22">
        <f>MIN(0,X48)</f>
        <v>-112575</v>
      </c>
      <c r="AF48" s="22">
        <f>-SUMIF($F$100:$O$100,B48,$F$103:$O$103)*(1+$F$8)^(D48-1)</f>
        <v>0</v>
      </c>
      <c r="AG48" s="22">
        <f>IF(B48=$F$105,-$F$108*(1+$F$8)^(D48-1),0)</f>
        <v>0</v>
      </c>
      <c r="AH48" s="23">
        <f>SUM(AE48:AG48)</f>
        <v>-112575</v>
      </c>
      <c r="AI48" s="22">
        <f>AL47</f>
        <v>1008391</v>
      </c>
      <c r="AJ48" s="22">
        <f>AI48*$F$10</f>
        <v>60503</v>
      </c>
      <c r="AK48" s="22">
        <f>MAX(0,-(AI48+AJ48+Z48+AD48+AH48))</f>
        <v>0</v>
      </c>
      <c r="AL48" s="23">
        <f>AI48+AJ48+Z48+AD48+AH48+AK48</f>
        <v>956319</v>
      </c>
      <c r="AM48" s="22">
        <f>AL48/(1+$F$8)^D48</f>
        <v>327618</v>
      </c>
      <c r="AN48" s="24">
        <f>IF(AI48&lt;=0,0,-AH48/AI48)</f>
        <v>0.11163792153135393</v>
      </c>
    </row>
    <row r="49">
      <c r="B49" s="25">
        <f>B48+1</f>
        <v>2054</v>
      </c>
      <c r="C49" s="25">
        <f>C48+1</f>
        <v>74</v>
      </c>
      <c r="D49" s="25">
        <f>D48+1</f>
        <v>29</v>
      </c>
      <c r="E49" s="26" t="str">
        <f>IF(D49&lt;=$F$12,"Acumulación","Retiro")</f>
        <v>Retiro</v>
      </c>
      <c r="F49" s="22">
        <f>IF(D49&lt;=$O$7,$M$7*12*(1+$F$8)^(D49-1),0)</f>
        <v>0</v>
      </c>
      <c r="G49" s="22">
        <f>IF(D49&lt;=$O$8,$M$8*12*(1+$F$8)^(D49-1),0)</f>
        <v>0</v>
      </c>
      <c r="H49" s="22">
        <f>IF(AND($M$9&gt;0,D49&gt;=$N$9,D49&lt;=$O$9),$M$9*12*(1+$F$8)^(D49-1),0)</f>
        <v>38920</v>
      </c>
      <c r="I49" s="22">
        <f>SUMPRODUCT(($F$98:$O$98&gt;=B49)*$F$97:$O$97)*12*(1+$F$8)^(D49-1)</f>
        <v>0</v>
      </c>
      <c r="J49" s="22">
        <f>IF(AND($M$10&gt;0,D49&gt;=$N$10),$M$10*12*(1+$F$8)^($N$10-1)*(1+$F$9)^(D49-$N$10),0)</f>
        <v>48267</v>
      </c>
      <c r="K49" s="22">
        <f>'Fondos de pensión'!T47</f>
        <v>12885</v>
      </c>
      <c r="L49" s="23">
        <f>SUM(F49:K49)</f>
        <v>100072</v>
      </c>
      <c r="M49" s="22">
        <f>SUMIF($F$78:$O$78,B49,$F$81:$O$81)*(1+$F$8)^(D49-1)</f>
        <v>0</v>
      </c>
      <c r="N49" s="22">
        <f>'Fondos de pensión'!S47</f>
        <v>0</v>
      </c>
      <c r="O49" s="23">
        <f>SUM(M49:N49)</f>
        <v>0</v>
      </c>
      <c r="P49" s="23">
        <f>L49+O49</f>
        <v>100072</v>
      </c>
      <c r="Q49" s="22">
        <f>$V$7*12*(1+$F$8)^(D49-1)*IF(D49&gt;$F$12,$V$8,1)</f>
        <v>192655</v>
      </c>
      <c r="R49" s="22">
        <f>SUMPRODUCT(($F$89:$O$89&lt;=B49)*($F$89:$O$89+$F$90:$O$90&gt;B49)*$F$93:$O$93)*(1+$F$8)^(D49-1)</f>
        <v>0</v>
      </c>
      <c r="S49" s="22">
        <f>$V$10*(1+$F$8)^(D49-1)</f>
        <v>8757</v>
      </c>
      <c r="T49" s="22">
        <f>IF(D49&lt;=$W$11,$V$11*12,0)+SUMPRODUCT(($F$123:$O$123&gt;=B49)*$F$120:$O$120)*12</f>
        <v>0</v>
      </c>
      <c r="U49" s="23">
        <f>SUM(Q49:T49)</f>
        <v>201412</v>
      </c>
      <c r="V49" s="23">
        <f>(SUMPRODUCT(($F$111:$O$111=1)*($F$115:$O$115=B49)*$F$114:$O$114)+SUMPRODUCT(($F$111:$O$111=2)*($F$115:$O$115&lt;=B49)*$F$114:$O$114))*(1+$F$8)^(D49-1)</f>
        <v>17514</v>
      </c>
      <c r="W49" s="23">
        <f>U49+V49</f>
        <v>218926</v>
      </c>
      <c r="X49" s="23">
        <f>P49-W49</f>
        <v>-118853</v>
      </c>
      <c r="Y49" s="22">
        <f>MAX(0,X49)</f>
        <v>0</v>
      </c>
      <c r="Z49" s="23">
        <f>Y49</f>
        <v>0</v>
      </c>
      <c r="AA49" s="22">
        <f>SUMPRODUCT(($F$83:$O$83=B49)*($F$87:$O$87=1)*$F$86:$O$86)*(1+$F$8)^(D49-1)</f>
        <v>0</v>
      </c>
      <c r="AB49" s="22">
        <f>SUMPRODUCT(($F$83:$O$83=B49)*($F$87:$O$87=2)*$F$86:$O$86)*(1+$F$8)^(D49-1)</f>
        <v>0</v>
      </c>
      <c r="AC49" s="22">
        <f>SUMPRODUCT(($F$83:$O$83=B49)*($F$87:$O$87=3)*$F$86:$O$86)*(1+$F$8)^(D49-1)</f>
        <v>0</v>
      </c>
      <c r="AD49" s="23">
        <f>SUM(AA49:AC49)</f>
        <v>0</v>
      </c>
      <c r="AE49" s="22">
        <f>MIN(0,X49)</f>
        <v>-118853</v>
      </c>
      <c r="AF49" s="22">
        <f>-SUMIF($F$100:$O$100,B49,$F$103:$O$103)*(1+$F$8)^(D49-1)</f>
        <v>0</v>
      </c>
      <c r="AG49" s="22">
        <f>IF(B49=$F$105,-$F$108*(1+$F$8)^(D49-1),0)</f>
        <v>0</v>
      </c>
      <c r="AH49" s="23">
        <f>SUM(AE49:AG49)</f>
        <v>-118853</v>
      </c>
      <c r="AI49" s="22">
        <f>AL48</f>
        <v>956319</v>
      </c>
      <c r="AJ49" s="22">
        <f>AI49*$F$10</f>
        <v>57379</v>
      </c>
      <c r="AK49" s="22">
        <f>MAX(0,-(AI49+AJ49+Z49+AD49+AH49))</f>
        <v>0</v>
      </c>
      <c r="AL49" s="23">
        <f>AI49+AJ49+Z49+AD49+AH49+AK49</f>
        <v>894845</v>
      </c>
      <c r="AM49" s="22">
        <f>AL49/(1+$F$8)^D49</f>
        <v>295051</v>
      </c>
      <c r="AN49" s="24">
        <f>IF(AI49&lt;=0,0,-AH49/AI49)</f>
        <v>0.12428216629301472</v>
      </c>
    </row>
    <row r="50">
      <c r="B50" s="25">
        <f>B49+1</f>
        <v>2055</v>
      </c>
      <c r="C50" s="25">
        <f>C49+1</f>
        <v>75</v>
      </c>
      <c r="D50" s="25">
        <f>D49+1</f>
        <v>30</v>
      </c>
      <c r="E50" s="26" t="str">
        <f>IF(D50&lt;=$F$12,"Acumulación","Retiro")</f>
        <v>Retiro</v>
      </c>
      <c r="F50" s="22">
        <f>IF(D50&lt;=$O$7,$M$7*12*(1+$F$8)^(D50-1),0)</f>
        <v>0</v>
      </c>
      <c r="G50" s="22">
        <f>IF(D50&lt;=$O$8,$M$8*12*(1+$F$8)^(D50-1),0)</f>
        <v>0</v>
      </c>
      <c r="H50" s="22">
        <f>IF(AND($M$9&gt;0,D50&gt;=$N$9,D50&lt;=$O$9),$M$9*12*(1+$F$8)^(D50-1),0)</f>
        <v>40438</v>
      </c>
      <c r="I50" s="22">
        <f>SUMPRODUCT(($F$98:$O$98&gt;=B50)*$F$97:$O$97)*12*(1+$F$8)^(D50-1)</f>
        <v>0</v>
      </c>
      <c r="J50" s="22">
        <f>IF(AND($M$10&gt;0,D50&gt;=$N$10),$M$10*12*(1+$F$8)^($N$10-1)*(1+$F$9)^(D50-$N$10),0)</f>
        <v>48749</v>
      </c>
      <c r="K50" s="22">
        <f>'Fondos de pensión'!T48</f>
        <v>12885</v>
      </c>
      <c r="L50" s="23">
        <f>SUM(F50:K50)</f>
        <v>102073</v>
      </c>
      <c r="M50" s="22">
        <f>SUMIF($F$78:$O$78,B50,$F$81:$O$81)*(1+$F$8)^(D50-1)</f>
        <v>0</v>
      </c>
      <c r="N50" s="22">
        <f>'Fondos de pensión'!S48</f>
        <v>0</v>
      </c>
      <c r="O50" s="23">
        <f>SUM(M50:N50)</f>
        <v>0</v>
      </c>
      <c r="P50" s="23">
        <f>L50+O50</f>
        <v>102073</v>
      </c>
      <c r="Q50" s="22">
        <f>$V$7*12*(1+$F$8)^(D50-1)*IF(D50&gt;$F$12,$V$8,1)</f>
        <v>200168</v>
      </c>
      <c r="R50" s="22">
        <f>SUMPRODUCT(($F$89:$O$89&lt;=B50)*($F$89:$O$89+$F$90:$O$90&gt;B50)*$F$93:$O$93)*(1+$F$8)^(D50-1)</f>
        <v>0</v>
      </c>
      <c r="S50" s="22">
        <f>$V$10*(1+$F$8)^(D50-1)</f>
        <v>9099</v>
      </c>
      <c r="T50" s="22">
        <f>IF(D50&lt;=$W$11,$V$11*12,0)+SUMPRODUCT(($F$123:$O$123&gt;=B50)*$F$120:$O$120)*12</f>
        <v>0</v>
      </c>
      <c r="U50" s="23">
        <f>SUM(Q50:T50)</f>
        <v>209267</v>
      </c>
      <c r="V50" s="23">
        <f>(SUMPRODUCT(($F$111:$O$111=1)*($F$115:$O$115=B50)*$F$114:$O$114)+SUMPRODUCT(($F$111:$O$111=2)*($F$115:$O$115&lt;=B50)*$F$114:$O$114))*(1+$F$8)^(D50-1)</f>
        <v>18197</v>
      </c>
      <c r="W50" s="23">
        <f>U50+V50</f>
        <v>227464</v>
      </c>
      <c r="X50" s="23">
        <f>P50-W50</f>
        <v>-125391</v>
      </c>
      <c r="Y50" s="22">
        <f>MAX(0,X50)</f>
        <v>0</v>
      </c>
      <c r="Z50" s="23">
        <f>Y50</f>
        <v>0</v>
      </c>
      <c r="AA50" s="22">
        <f>SUMPRODUCT(($F$83:$O$83=B50)*($F$87:$O$87=1)*$F$86:$O$86)*(1+$F$8)^(D50-1)</f>
        <v>0</v>
      </c>
      <c r="AB50" s="22">
        <f>SUMPRODUCT(($F$83:$O$83=B50)*($F$87:$O$87=2)*$F$86:$O$86)*(1+$F$8)^(D50-1)</f>
        <v>0</v>
      </c>
      <c r="AC50" s="22">
        <f>SUMPRODUCT(($F$83:$O$83=B50)*($F$87:$O$87=3)*$F$86:$O$86)*(1+$F$8)^(D50-1)</f>
        <v>0</v>
      </c>
      <c r="AD50" s="23">
        <f>SUM(AA50:AC50)</f>
        <v>0</v>
      </c>
      <c r="AE50" s="22">
        <f>MIN(0,X50)</f>
        <v>-125391</v>
      </c>
      <c r="AF50" s="22">
        <f>-SUMIF($F$100:$O$100,B50,$F$103:$O$103)*(1+$F$8)^(D50-1)</f>
        <v>0</v>
      </c>
      <c r="AG50" s="22">
        <f>IF(B50=$F$105,-$F$108*(1+$F$8)^(D50-1),0)</f>
        <v>0</v>
      </c>
      <c r="AH50" s="23">
        <f>SUM(AE50:AG50)</f>
        <v>-125391</v>
      </c>
      <c r="AI50" s="22">
        <f>AL49</f>
        <v>894845</v>
      </c>
      <c r="AJ50" s="22">
        <f>AI50*$F$10</f>
        <v>53691</v>
      </c>
      <c r="AK50" s="22">
        <f>MAX(0,-(AI50+AJ50+Z50+AD50+AH50))</f>
        <v>0</v>
      </c>
      <c r="AL50" s="23">
        <f>AI50+AJ50+Z50+AD50+AH50+AK50</f>
        <v>823145</v>
      </c>
      <c r="AM50" s="22">
        <f>AL50/(1+$F$8)^D50</f>
        <v>261222</v>
      </c>
      <c r="AN50" s="24">
        <f>IF(AI50&lt;=0,0,-AH50/AI50)</f>
        <v>0.14012592067158386</v>
      </c>
    </row>
    <row r="51">
      <c r="B51" s="25">
        <f>B50+1</f>
        <v>2056</v>
      </c>
      <c r="C51" s="25">
        <f>C50+1</f>
        <v>76</v>
      </c>
      <c r="D51" s="25">
        <f>D50+1</f>
        <v>31</v>
      </c>
      <c r="E51" s="26" t="str">
        <f>IF(D51&lt;=$F$12,"Acumulación","Retiro")</f>
        <v>Retiro</v>
      </c>
      <c r="F51" s="22">
        <f>IF(D51&lt;=$O$7,$M$7*12*(1+$F$8)^(D51-1),0)</f>
        <v>0</v>
      </c>
      <c r="G51" s="22">
        <f>IF(D51&lt;=$O$8,$M$8*12*(1+$F$8)^(D51-1),0)</f>
        <v>0</v>
      </c>
      <c r="H51" s="22">
        <f>IF(AND($M$9&gt;0,D51&gt;=$N$9,D51&lt;=$O$9),$M$9*12*(1+$F$8)^(D51-1),0)</f>
        <v>42015</v>
      </c>
      <c r="I51" s="22">
        <f>SUMPRODUCT(($F$98:$O$98&gt;=B51)*$F$97:$O$97)*12*(1+$F$8)^(D51-1)</f>
        <v>0</v>
      </c>
      <c r="J51" s="22">
        <f>IF(AND($M$10&gt;0,D51&gt;=$N$10),$M$10*12*(1+$F$8)^($N$10-1)*(1+$F$9)^(D51-$N$10),0)</f>
        <v>49237</v>
      </c>
      <c r="K51" s="22">
        <f>'Fondos de pensión'!T49</f>
        <v>12885</v>
      </c>
      <c r="L51" s="23">
        <f>SUM(F51:K51)</f>
        <v>104137</v>
      </c>
      <c r="M51" s="22">
        <f>SUMIF($F$78:$O$78,B51,$F$81:$O$81)*(1+$F$8)^(D51-1)</f>
        <v>0</v>
      </c>
      <c r="N51" s="22">
        <f>'Fondos de pensión'!S49</f>
        <v>0</v>
      </c>
      <c r="O51" s="23">
        <f>SUM(M51:N51)</f>
        <v>0</v>
      </c>
      <c r="P51" s="23">
        <f>L51+O51</f>
        <v>104137</v>
      </c>
      <c r="Q51" s="22">
        <f>$V$7*12*(1+$F$8)^(D51-1)*IF(D51&gt;$F$12,$V$8,1)</f>
        <v>207975</v>
      </c>
      <c r="R51" s="22">
        <f>SUMPRODUCT(($F$89:$O$89&lt;=B51)*($F$89:$O$89+$F$90:$O$90&gt;B51)*$F$93:$O$93)*(1+$F$8)^(D51-1)</f>
        <v>0</v>
      </c>
      <c r="S51" s="22">
        <f>$V$10*(1+$F$8)^(D51-1)</f>
        <v>9453</v>
      </c>
      <c r="T51" s="22">
        <f>IF(D51&lt;=$W$11,$V$11*12,0)+SUMPRODUCT(($F$123:$O$123&gt;=B51)*$F$120:$O$120)*12</f>
        <v>0</v>
      </c>
      <c r="U51" s="23">
        <f>SUM(Q51:T51)</f>
        <v>217428</v>
      </c>
      <c r="V51" s="23">
        <f>(SUMPRODUCT(($F$111:$O$111=1)*($F$115:$O$115=B51)*$F$114:$O$114)+SUMPRODUCT(($F$111:$O$111=2)*($F$115:$O$115&lt;=B51)*$F$114:$O$114))*(1+$F$8)^(D51-1)</f>
        <v>18907</v>
      </c>
      <c r="W51" s="23">
        <f>U51+V51</f>
        <v>236335</v>
      </c>
      <c r="X51" s="23">
        <f>P51-W51</f>
        <v>-132198</v>
      </c>
      <c r="Y51" s="22">
        <f>MAX(0,X51)</f>
        <v>0</v>
      </c>
      <c r="Z51" s="23">
        <f>Y51</f>
        <v>0</v>
      </c>
      <c r="AA51" s="22">
        <f>SUMPRODUCT(($F$83:$O$83=B51)*($F$87:$O$87=1)*$F$86:$O$86)*(1+$F$8)^(D51-1)</f>
        <v>0</v>
      </c>
      <c r="AB51" s="22">
        <f>SUMPRODUCT(($F$83:$O$83=B51)*($F$87:$O$87=2)*$F$86:$O$86)*(1+$F$8)^(D51-1)</f>
        <v>0</v>
      </c>
      <c r="AC51" s="22">
        <f>SUMPRODUCT(($F$83:$O$83=B51)*($F$87:$O$87=3)*$F$86:$O$86)*(1+$F$8)^(D51-1)</f>
        <v>0</v>
      </c>
      <c r="AD51" s="23">
        <f>SUM(AA51:AC51)</f>
        <v>0</v>
      </c>
      <c r="AE51" s="22">
        <f>MIN(0,X51)</f>
        <v>-132198</v>
      </c>
      <c r="AF51" s="22">
        <f>-SUMIF($F$100:$O$100,B51,$F$103:$O$103)*(1+$F$8)^(D51-1)</f>
        <v>0</v>
      </c>
      <c r="AG51" s="22">
        <f>IF(B51=$F$105,-$F$108*(1+$F$8)^(D51-1),0)</f>
        <v>0</v>
      </c>
      <c r="AH51" s="23">
        <f>SUM(AE51:AG51)</f>
        <v>-132198</v>
      </c>
      <c r="AI51" s="22">
        <f>AL50</f>
        <v>823145</v>
      </c>
      <c r="AJ51" s="22">
        <f>AI51*$F$10</f>
        <v>49389</v>
      </c>
      <c r="AK51" s="22">
        <f>MAX(0,-(AI51+AJ51+Z51+AD51+AH51))</f>
        <v>0</v>
      </c>
      <c r="AL51" s="23">
        <f>AI51+AJ51+Z51+AD51+AH51+AK51</f>
        <v>740336</v>
      </c>
      <c r="AM51" s="22">
        <f>AL51/(1+$F$8)^D51</f>
        <v>226124</v>
      </c>
      <c r="AN51" s="24">
        <f>IF(AI51&lt;=0,0,-AH51/AI51)</f>
        <v>0.160600543552911</v>
      </c>
    </row>
    <row r="52">
      <c r="B52" s="25">
        <f>B51+1</f>
        <v>2057</v>
      </c>
      <c r="C52" s="25">
        <f>C51+1</f>
        <v>77</v>
      </c>
      <c r="D52" s="25">
        <f>D51+1</f>
        <v>32</v>
      </c>
      <c r="E52" s="26" t="str">
        <f>IF(D52&lt;=$F$12,"Acumulación","Retiro")</f>
        <v>Retiro</v>
      </c>
      <c r="F52" s="22">
        <f>IF(D52&lt;=$O$7,$M$7*12*(1+$F$8)^(D52-1),0)</f>
        <v>0</v>
      </c>
      <c r="G52" s="22">
        <f>IF(D52&lt;=$O$8,$M$8*12*(1+$F$8)^(D52-1),0)</f>
        <v>0</v>
      </c>
      <c r="H52" s="22">
        <f>IF(AND($M$9&gt;0,D52&gt;=$N$9,D52&lt;=$O$9),$M$9*12*(1+$F$8)^(D52-1),0)</f>
        <v>43654</v>
      </c>
      <c r="I52" s="22">
        <f>SUMPRODUCT(($F$98:$O$98&gt;=B52)*$F$97:$O$97)*12*(1+$F$8)^(D52-1)</f>
        <v>0</v>
      </c>
      <c r="J52" s="22">
        <f>IF(AND($M$10&gt;0,D52&gt;=$N$10),$M$10*12*(1+$F$8)^($N$10-1)*(1+$F$9)^(D52-$N$10),0)</f>
        <v>49729</v>
      </c>
      <c r="K52" s="22">
        <f>'Fondos de pensión'!T50</f>
        <v>12885</v>
      </c>
      <c r="L52" s="23">
        <f>SUM(F52:K52)</f>
        <v>106268</v>
      </c>
      <c r="M52" s="22">
        <f>SUMIF($F$78:$O$78,B52,$F$81:$O$81)*(1+$F$8)^(D52-1)</f>
        <v>0</v>
      </c>
      <c r="N52" s="22">
        <f>'Fondos de pensión'!S50</f>
        <v>0</v>
      </c>
      <c r="O52" s="23">
        <f>SUM(M52:N52)</f>
        <v>0</v>
      </c>
      <c r="P52" s="23">
        <f>L52+O52</f>
        <v>106268</v>
      </c>
      <c r="Q52" s="22">
        <f>$V$7*12*(1+$F$8)^(D52-1)*IF(D52&gt;$F$12,$V$8,1)</f>
        <v>216086</v>
      </c>
      <c r="R52" s="22">
        <f>SUMPRODUCT(($F$89:$O$89&lt;=B52)*($F$89:$O$89+$F$90:$O$90&gt;B52)*$F$93:$O$93)*(1+$F$8)^(D52-1)</f>
        <v>0</v>
      </c>
      <c r="S52" s="22">
        <f>$V$10*(1+$F$8)^(D52-1)</f>
        <v>9822</v>
      </c>
      <c r="T52" s="22">
        <f>IF(D52&lt;=$W$11,$V$11*12,0)+SUMPRODUCT(($F$123:$O$123&gt;=B52)*$F$120:$O$120)*12</f>
        <v>0</v>
      </c>
      <c r="U52" s="23">
        <f>SUM(Q52:T52)</f>
        <v>225908</v>
      </c>
      <c r="V52" s="23">
        <f>(SUMPRODUCT(($F$111:$O$111=1)*($F$115:$O$115=B52)*$F$114:$O$114)+SUMPRODUCT(($F$111:$O$111=2)*($F$115:$O$115&lt;=B52)*$F$114:$O$114))*(1+$F$8)^(D52-1)</f>
        <v>19644</v>
      </c>
      <c r="W52" s="23">
        <f>U52+V52</f>
        <v>245552</v>
      </c>
      <c r="X52" s="23">
        <f>P52-W52</f>
        <v>-139284</v>
      </c>
      <c r="Y52" s="22">
        <f>MAX(0,X52)</f>
        <v>0</v>
      </c>
      <c r="Z52" s="23">
        <f>Y52</f>
        <v>0</v>
      </c>
      <c r="AA52" s="22">
        <f>SUMPRODUCT(($F$83:$O$83=B52)*($F$87:$O$87=1)*$F$86:$O$86)*(1+$F$8)^(D52-1)</f>
        <v>0</v>
      </c>
      <c r="AB52" s="22">
        <f>SUMPRODUCT(($F$83:$O$83=B52)*($F$87:$O$87=2)*$F$86:$O$86)*(1+$F$8)^(D52-1)</f>
        <v>0</v>
      </c>
      <c r="AC52" s="22">
        <f>SUMPRODUCT(($F$83:$O$83=B52)*($F$87:$O$87=3)*$F$86:$O$86)*(1+$F$8)^(D52-1)</f>
        <v>0</v>
      </c>
      <c r="AD52" s="23">
        <f>SUM(AA52:AC52)</f>
        <v>0</v>
      </c>
      <c r="AE52" s="22">
        <f>MIN(0,X52)</f>
        <v>-139284</v>
      </c>
      <c r="AF52" s="22">
        <f>-SUMIF($F$100:$O$100,B52,$F$103:$O$103)*(1+$F$8)^(D52-1)</f>
        <v>0</v>
      </c>
      <c r="AG52" s="22">
        <f>IF(B52=$F$105,-$F$108*(1+$F$8)^(D52-1),0)</f>
        <v>0</v>
      </c>
      <c r="AH52" s="23">
        <f>SUM(AE52:AG52)</f>
        <v>-139284</v>
      </c>
      <c r="AI52" s="22">
        <f>AL51</f>
        <v>740336</v>
      </c>
      <c r="AJ52" s="22">
        <f>AI52*$F$10</f>
        <v>44420</v>
      </c>
      <c r="AK52" s="22">
        <f>MAX(0,-(AI52+AJ52+Z52+AD52+AH52))</f>
        <v>0</v>
      </c>
      <c r="AL52" s="23">
        <f>AI52+AJ52+Z52+AD52+AH52+AK52</f>
        <v>645473</v>
      </c>
      <c r="AM52" s="22">
        <f>AL52/(1+$F$8)^D52</f>
        <v>189749</v>
      </c>
      <c r="AN52" s="24">
        <f>IF(AI52&lt;=0,0,-AH52/AI52)</f>
        <v>0.18813566664644968</v>
      </c>
    </row>
    <row r="53">
      <c r="B53" s="25">
        <f>B52+1</f>
        <v>2058</v>
      </c>
      <c r="C53" s="25">
        <f>C52+1</f>
        <v>78</v>
      </c>
      <c r="D53" s="25">
        <f>D52+1</f>
        <v>33</v>
      </c>
      <c r="E53" s="26" t="str">
        <f>IF(D53&lt;=$F$12,"Acumulación","Retiro")</f>
        <v>Retiro</v>
      </c>
      <c r="F53" s="22">
        <f>IF(D53&lt;=$O$7,$M$7*12*(1+$F$8)^(D53-1),0)</f>
        <v>0</v>
      </c>
      <c r="G53" s="22">
        <f>IF(D53&lt;=$O$8,$M$8*12*(1+$F$8)^(D53-1),0)</f>
        <v>0</v>
      </c>
      <c r="H53" s="22">
        <f>IF(AND($M$9&gt;0,D53&gt;=$N$9,D53&lt;=$O$9),$M$9*12*(1+$F$8)^(D53-1),0)</f>
        <v>45356</v>
      </c>
      <c r="I53" s="22">
        <f>SUMPRODUCT(($F$98:$O$98&gt;=B53)*$F$97:$O$97)*12*(1+$F$8)^(D53-1)</f>
        <v>0</v>
      </c>
      <c r="J53" s="22">
        <f>IF(AND($M$10&gt;0,D53&gt;=$N$10),$M$10*12*(1+$F$8)^($N$10-1)*(1+$F$9)^(D53-$N$10),0)</f>
        <v>50226</v>
      </c>
      <c r="K53" s="22">
        <f>'Fondos de pensión'!T51</f>
        <v>12885</v>
      </c>
      <c r="L53" s="23">
        <f>SUM(F53:K53)</f>
        <v>108468</v>
      </c>
      <c r="M53" s="22">
        <f>SUMIF($F$78:$O$78,B53,$F$81:$O$81)*(1+$F$8)^(D53-1)</f>
        <v>0</v>
      </c>
      <c r="N53" s="22">
        <f>'Fondos de pensión'!S51</f>
        <v>0</v>
      </c>
      <c r="O53" s="23">
        <f>SUM(M53:N53)</f>
        <v>0</v>
      </c>
      <c r="P53" s="23">
        <f>L53+O53</f>
        <v>108468</v>
      </c>
      <c r="Q53" s="22">
        <f>$V$7*12*(1+$F$8)^(D53-1)*IF(D53&gt;$F$12,$V$8,1)</f>
        <v>224513</v>
      </c>
      <c r="R53" s="22">
        <f>SUMPRODUCT(($F$89:$O$89&lt;=B53)*($F$89:$O$89+$F$90:$O$90&gt;B53)*$F$93:$O$93)*(1+$F$8)^(D53-1)</f>
        <v>0</v>
      </c>
      <c r="S53" s="22">
        <f>$V$10*(1+$F$8)^(D53-1)</f>
        <v>10205</v>
      </c>
      <c r="T53" s="22">
        <f>IF(D53&lt;=$W$11,$V$11*12,0)+SUMPRODUCT(($F$123:$O$123&gt;=B53)*$F$120:$O$120)*12</f>
        <v>0</v>
      </c>
      <c r="U53" s="23">
        <f>SUM(Q53:T53)</f>
        <v>234718</v>
      </c>
      <c r="V53" s="23">
        <f>(SUMPRODUCT(($F$111:$O$111=1)*($F$115:$O$115=B53)*$F$114:$O$114)+SUMPRODUCT(($F$111:$O$111=2)*($F$115:$O$115&lt;=B53)*$F$114:$O$114))*(1+$F$8)^(D53-1)</f>
        <v>20410</v>
      </c>
      <c r="W53" s="23">
        <f>U53+V53</f>
        <v>255128</v>
      </c>
      <c r="X53" s="23">
        <f>P53-W53</f>
        <v>-146660</v>
      </c>
      <c r="Y53" s="22">
        <f>MAX(0,X53)</f>
        <v>0</v>
      </c>
      <c r="Z53" s="23">
        <f>Y53</f>
        <v>0</v>
      </c>
      <c r="AA53" s="22">
        <f>SUMPRODUCT(($F$83:$O$83=B53)*($F$87:$O$87=1)*$F$86:$O$86)*(1+$F$8)^(D53-1)</f>
        <v>0</v>
      </c>
      <c r="AB53" s="22">
        <f>SUMPRODUCT(($F$83:$O$83=B53)*($F$87:$O$87=2)*$F$86:$O$86)*(1+$F$8)^(D53-1)</f>
        <v>0</v>
      </c>
      <c r="AC53" s="22">
        <f>SUMPRODUCT(($F$83:$O$83=B53)*($F$87:$O$87=3)*$F$86:$O$86)*(1+$F$8)^(D53-1)</f>
        <v>0</v>
      </c>
      <c r="AD53" s="23">
        <f>SUM(AA53:AC53)</f>
        <v>0</v>
      </c>
      <c r="AE53" s="22">
        <f>MIN(0,X53)</f>
        <v>-146660</v>
      </c>
      <c r="AF53" s="22">
        <f>-SUMIF($F$100:$O$100,B53,$F$103:$O$103)*(1+$F$8)^(D53-1)</f>
        <v>0</v>
      </c>
      <c r="AG53" s="22">
        <f>IF(B53=$F$105,-$F$108*(1+$F$8)^(D53-1),0)</f>
        <v>0</v>
      </c>
      <c r="AH53" s="23">
        <f>SUM(AE53:AG53)</f>
        <v>-146660</v>
      </c>
      <c r="AI53" s="22">
        <f>AL52</f>
        <v>645473</v>
      </c>
      <c r="AJ53" s="22">
        <f>AI53*$F$10</f>
        <v>38728</v>
      </c>
      <c r="AK53" s="22">
        <f>MAX(0,-(AI53+AJ53+Z53+AD53+AH53))</f>
        <v>0</v>
      </c>
      <c r="AL53" s="23">
        <f>AI53+AJ53+Z53+AD53+AH53+AK53</f>
        <v>537541</v>
      </c>
      <c r="AM53" s="22">
        <f>AL53/(1+$F$8)^D53</f>
        <v>152089</v>
      </c>
      <c r="AN53" s="24">
        <f>IF(AI53&lt;=0,0,-AH53/AI53)</f>
        <v>0.2272139146374116</v>
      </c>
    </row>
    <row r="54">
      <c r="B54" s="25">
        <f>B53+1</f>
        <v>2059</v>
      </c>
      <c r="C54" s="25">
        <f>C53+1</f>
        <v>79</v>
      </c>
      <c r="D54" s="25">
        <f>D53+1</f>
        <v>34</v>
      </c>
      <c r="E54" s="26" t="str">
        <f>IF(D54&lt;=$F$12,"Acumulación","Retiro")</f>
        <v>Retiro</v>
      </c>
      <c r="F54" s="22">
        <f>IF(D54&lt;=$O$7,$M$7*12*(1+$F$8)^(D54-1),0)</f>
        <v>0</v>
      </c>
      <c r="G54" s="22">
        <f>IF(D54&lt;=$O$8,$M$8*12*(1+$F$8)^(D54-1),0)</f>
        <v>0</v>
      </c>
      <c r="H54" s="22">
        <f>IF(AND($M$9&gt;0,D54&gt;=$N$9,D54&lt;=$O$9),$M$9*12*(1+$F$8)^(D54-1),0)</f>
        <v>47125</v>
      </c>
      <c r="I54" s="22">
        <f>SUMPRODUCT(($F$98:$O$98&gt;=B54)*$F$97:$O$97)*12*(1+$F$8)^(D54-1)</f>
        <v>0</v>
      </c>
      <c r="J54" s="22">
        <f>IF(AND($M$10&gt;0,D54&gt;=$N$10),$M$10*12*(1+$F$8)^($N$10-1)*(1+$F$9)^(D54-$N$10),0)</f>
        <v>50729</v>
      </c>
      <c r="K54" s="22">
        <f>'Fondos de pensión'!T52</f>
        <v>12885</v>
      </c>
      <c r="L54" s="23">
        <f>SUM(F54:K54)</f>
        <v>110739</v>
      </c>
      <c r="M54" s="22">
        <f>SUMIF($F$78:$O$78,B54,$F$81:$O$81)*(1+$F$8)^(D54-1)</f>
        <v>0</v>
      </c>
      <c r="N54" s="22">
        <f>'Fondos de pensión'!S52</f>
        <v>0</v>
      </c>
      <c r="O54" s="23">
        <f>SUM(M54:N54)</f>
        <v>0</v>
      </c>
      <c r="P54" s="23">
        <f>L54+O54</f>
        <v>110739</v>
      </c>
      <c r="Q54" s="22">
        <f>$V$7*12*(1+$F$8)^(D54-1)*IF(D54&gt;$F$12,$V$8,1)</f>
        <v>233269</v>
      </c>
      <c r="R54" s="22">
        <f>SUMPRODUCT(($F$89:$O$89&lt;=B54)*($F$89:$O$89+$F$90:$O$90&gt;B54)*$F$93:$O$93)*(1+$F$8)^(D54-1)</f>
        <v>0</v>
      </c>
      <c r="S54" s="22">
        <f>$V$10*(1+$F$8)^(D54-1)</f>
        <v>10603</v>
      </c>
      <c r="T54" s="22">
        <f>IF(D54&lt;=$W$11,$V$11*12,0)+SUMPRODUCT(($F$123:$O$123&gt;=B54)*$F$120:$O$120)*12</f>
        <v>0</v>
      </c>
      <c r="U54" s="23">
        <f>SUM(Q54:T54)</f>
        <v>243872</v>
      </c>
      <c r="V54" s="23">
        <f>(SUMPRODUCT(($F$111:$O$111=1)*($F$115:$O$115=B54)*$F$114:$O$114)+SUMPRODUCT(($F$111:$O$111=2)*($F$115:$O$115&lt;=B54)*$F$114:$O$114))*(1+$F$8)^(D54-1)</f>
        <v>21206</v>
      </c>
      <c r="W54" s="23">
        <f>U54+V54</f>
        <v>265078</v>
      </c>
      <c r="X54" s="23">
        <f>P54-W54</f>
        <v>-154339</v>
      </c>
      <c r="Y54" s="22">
        <f>MAX(0,X54)</f>
        <v>0</v>
      </c>
      <c r="Z54" s="23">
        <f>Y54</f>
        <v>0</v>
      </c>
      <c r="AA54" s="22">
        <f>SUMPRODUCT(($F$83:$O$83=B54)*($F$87:$O$87=1)*$F$86:$O$86)*(1+$F$8)^(D54-1)</f>
        <v>0</v>
      </c>
      <c r="AB54" s="22">
        <f>SUMPRODUCT(($F$83:$O$83=B54)*($F$87:$O$87=2)*$F$86:$O$86)*(1+$F$8)^(D54-1)</f>
        <v>0</v>
      </c>
      <c r="AC54" s="22">
        <f>SUMPRODUCT(($F$83:$O$83=B54)*($F$87:$O$87=3)*$F$86:$O$86)*(1+$F$8)^(D54-1)</f>
        <v>0</v>
      </c>
      <c r="AD54" s="23">
        <f>SUM(AA54:AC54)</f>
        <v>0</v>
      </c>
      <c r="AE54" s="22">
        <f>MIN(0,X54)</f>
        <v>-154339</v>
      </c>
      <c r="AF54" s="22">
        <f>-SUMIF($F$100:$O$100,B54,$F$103:$O$103)*(1+$F$8)^(D54-1)</f>
        <v>0</v>
      </c>
      <c r="AG54" s="22">
        <f>IF(B54=$F$105,-$F$108*(1+$F$8)^(D54-1),0)</f>
        <v>0</v>
      </c>
      <c r="AH54" s="23">
        <f>SUM(AE54:AG54)</f>
        <v>-154339</v>
      </c>
      <c r="AI54" s="22">
        <f>AL53</f>
        <v>537541</v>
      </c>
      <c r="AJ54" s="22">
        <f>AI54*$F$10</f>
        <v>32252</v>
      </c>
      <c r="AK54" s="22">
        <f>MAX(0,-(AI54+AJ54+Z54+AD54+AH54))</f>
        <v>0</v>
      </c>
      <c r="AL54" s="23">
        <f>AI54+AJ54+Z54+AD54+AH54+AK54</f>
        <v>415454</v>
      </c>
      <c r="AM54" s="22">
        <f>AL54/(1+$F$8)^D54</f>
        <v>113134</v>
      </c>
      <c r="AN54" s="24">
        <f>IF(AI54&lt;=0,0,-AH54/AI54)</f>
        <v>0.2871210282324675</v>
      </c>
    </row>
    <row r="55">
      <c r="B55" s="25">
        <f>B54+1</f>
        <v>2060</v>
      </c>
      <c r="C55" s="25">
        <f>C54+1</f>
        <v>80</v>
      </c>
      <c r="D55" s="25">
        <f>D54+1</f>
        <v>35</v>
      </c>
      <c r="E55" s="26" t="str">
        <f>IF(D55&lt;=$F$12,"Acumulación","Retiro")</f>
        <v>Retiro</v>
      </c>
      <c r="F55" s="22">
        <f>IF(D55&lt;=$O$7,$M$7*12*(1+$F$8)^(D55-1),0)</f>
        <v>0</v>
      </c>
      <c r="G55" s="22">
        <f>IF(D55&lt;=$O$8,$M$8*12*(1+$F$8)^(D55-1),0)</f>
        <v>0</v>
      </c>
      <c r="H55" s="22">
        <f>IF(AND($M$9&gt;0,D55&gt;=$N$9,D55&lt;=$O$9),$M$9*12*(1+$F$8)^(D55-1),0)</f>
        <v>48963</v>
      </c>
      <c r="I55" s="22">
        <f>SUMPRODUCT(($F$98:$O$98&gt;=B55)*$F$97:$O$97)*12*(1+$F$8)^(D55-1)</f>
        <v>0</v>
      </c>
      <c r="J55" s="22">
        <f>IF(AND($M$10&gt;0,D55&gt;=$N$10),$M$10*12*(1+$F$8)^($N$10-1)*(1+$F$9)^(D55-$N$10),0)</f>
        <v>51236</v>
      </c>
      <c r="K55" s="22">
        <f>'Fondos de pensión'!T53</f>
        <v>12885</v>
      </c>
      <c r="L55" s="23">
        <f>SUM(F55:K55)</f>
        <v>113084</v>
      </c>
      <c r="M55" s="22">
        <f>SUMIF($F$78:$O$78,B55,$F$81:$O$81)*(1+$F$8)^(D55-1)</f>
        <v>0</v>
      </c>
      <c r="N55" s="22">
        <f>'Fondos de pensión'!S53</f>
        <v>0</v>
      </c>
      <c r="O55" s="23">
        <f>SUM(M55:N55)</f>
        <v>0</v>
      </c>
      <c r="P55" s="23">
        <f>L55+O55</f>
        <v>113084</v>
      </c>
      <c r="Q55" s="22">
        <f>$V$7*12*(1+$F$8)^(D55-1)*IF(D55&gt;$F$12,$V$8,1)</f>
        <v>242366</v>
      </c>
      <c r="R55" s="22">
        <f>SUMPRODUCT(($F$89:$O$89&lt;=B55)*($F$89:$O$89+$F$90:$O$90&gt;B55)*$F$93:$O$93)*(1+$F$8)^(D55-1)</f>
        <v>0</v>
      </c>
      <c r="S55" s="22">
        <f>$V$10*(1+$F$8)^(D55-1)</f>
        <v>11017</v>
      </c>
      <c r="T55" s="22">
        <f>IF(D55&lt;=$W$11,$V$11*12,0)+SUMPRODUCT(($F$123:$O$123&gt;=B55)*$F$120:$O$120)*12</f>
        <v>0</v>
      </c>
      <c r="U55" s="23">
        <f>SUM(Q55:T55)</f>
        <v>253383</v>
      </c>
      <c r="V55" s="23">
        <f>(SUMPRODUCT(($F$111:$O$111=1)*($F$115:$O$115=B55)*$F$114:$O$114)+SUMPRODUCT(($F$111:$O$111=2)*($F$115:$O$115&lt;=B55)*$F$114:$O$114))*(1+$F$8)^(D55-1)</f>
        <v>22033</v>
      </c>
      <c r="W55" s="23">
        <f>U55+V55</f>
        <v>275416</v>
      </c>
      <c r="X55" s="23">
        <f>P55-W55</f>
        <v>-162332</v>
      </c>
      <c r="Y55" s="22">
        <f>MAX(0,X55)</f>
        <v>0</v>
      </c>
      <c r="Z55" s="23">
        <f>Y55</f>
        <v>0</v>
      </c>
      <c r="AA55" s="22">
        <f>SUMPRODUCT(($F$83:$O$83=B55)*($F$87:$O$87=1)*$F$86:$O$86)*(1+$F$8)^(D55-1)</f>
        <v>0</v>
      </c>
      <c r="AB55" s="22">
        <f>SUMPRODUCT(($F$83:$O$83=B55)*($F$87:$O$87=2)*$F$86:$O$86)*(1+$F$8)^(D55-1)</f>
        <v>0</v>
      </c>
      <c r="AC55" s="22">
        <f>SUMPRODUCT(($F$83:$O$83=B55)*($F$87:$O$87=3)*$F$86:$O$86)*(1+$F$8)^(D55-1)</f>
        <v>0</v>
      </c>
      <c r="AD55" s="23">
        <f>SUM(AA55:AC55)</f>
        <v>0</v>
      </c>
      <c r="AE55" s="22">
        <f>MIN(0,X55)</f>
        <v>-162332</v>
      </c>
      <c r="AF55" s="22">
        <f>-SUMIF($F$100:$O$100,B55,$F$103:$O$103)*(1+$F$8)^(D55-1)</f>
        <v>0</v>
      </c>
      <c r="AG55" s="22">
        <f>IF(B55=$F$105,-$F$108*(1+$F$8)^(D55-1),0)</f>
        <v>0</v>
      </c>
      <c r="AH55" s="23">
        <f>SUM(AE55:AG55)</f>
        <v>-162332</v>
      </c>
      <c r="AI55" s="22">
        <f>AL54</f>
        <v>415454</v>
      </c>
      <c r="AJ55" s="22">
        <f>AI55*$F$10</f>
        <v>24927</v>
      </c>
      <c r="AK55" s="22">
        <f>MAX(0,-(AI55+AJ55+Z55+AD55+AH55))</f>
        <v>0</v>
      </c>
      <c r="AL55" s="23">
        <f>AI55+AJ55+Z55+AD55+AH55+AK55</f>
        <v>278049</v>
      </c>
      <c r="AM55" s="22">
        <f>AL55/(1+$F$8)^D55</f>
        <v>72875</v>
      </c>
      <c r="AN55" s="24">
        <f>IF(AI55&lt;=0,0,-AH55/AI55)</f>
        <v>0.39073440650757885</v>
      </c>
    </row>
    <row r="56">
      <c r="B56" s="25">
        <f>B55+1</f>
        <v>2061</v>
      </c>
      <c r="C56" s="25">
        <f>C55+1</f>
        <v>81</v>
      </c>
      <c r="D56" s="25">
        <f>D55+1</f>
        <v>36</v>
      </c>
      <c r="E56" s="26" t="str">
        <f>IF(D56&lt;=$F$12,"Acumulación","Retiro")</f>
        <v>Retiro</v>
      </c>
      <c r="F56" s="22">
        <f>IF(D56&lt;=$O$7,$M$7*12*(1+$F$8)^(D56-1),0)</f>
        <v>0</v>
      </c>
      <c r="G56" s="22">
        <f>IF(D56&lt;=$O$8,$M$8*12*(1+$F$8)^(D56-1),0)</f>
        <v>0</v>
      </c>
      <c r="H56" s="22">
        <f>IF(AND($M$9&gt;0,D56&gt;=$N$9,D56&lt;=$O$9),$M$9*12*(1+$F$8)^(D56-1),0)</f>
        <v>50872</v>
      </c>
      <c r="I56" s="22">
        <f>SUMPRODUCT(($F$98:$O$98&gt;=B56)*$F$97:$O$97)*12*(1+$F$8)^(D56-1)</f>
        <v>0</v>
      </c>
      <c r="J56" s="22">
        <f>IF(AND($M$10&gt;0,D56&gt;=$N$10),$M$10*12*(1+$F$8)^($N$10-1)*(1+$F$9)^(D56-$N$10),0)</f>
        <v>51748</v>
      </c>
      <c r="K56" s="22">
        <f>'Fondos de pensión'!T54</f>
        <v>12885</v>
      </c>
      <c r="L56" s="23">
        <f>SUM(F56:K56)</f>
        <v>115506</v>
      </c>
      <c r="M56" s="22">
        <f>SUMIF($F$78:$O$78,B56,$F$81:$O$81)*(1+$F$8)^(D56-1)</f>
        <v>0</v>
      </c>
      <c r="N56" s="22">
        <f>'Fondos de pensión'!S54</f>
        <v>0</v>
      </c>
      <c r="O56" s="23">
        <f>SUM(M56:N56)</f>
        <v>0</v>
      </c>
      <c r="P56" s="23">
        <f>L56+O56</f>
        <v>115506</v>
      </c>
      <c r="Q56" s="22">
        <f>$V$7*12*(1+$F$8)^(D56-1)*IF(D56&gt;$F$12,$V$8,1)</f>
        <v>251819</v>
      </c>
      <c r="R56" s="22">
        <f>SUMPRODUCT(($F$89:$O$89&lt;=B56)*($F$89:$O$89+$F$90:$O$90&gt;B56)*$F$93:$O$93)*(1+$F$8)^(D56-1)</f>
        <v>0</v>
      </c>
      <c r="S56" s="22">
        <f>$V$10*(1+$F$8)^(D56-1)</f>
        <v>11446</v>
      </c>
      <c r="T56" s="22">
        <f>IF(D56&lt;=$W$11,$V$11*12,0)+SUMPRODUCT(($F$123:$O$123&gt;=B56)*$F$120:$O$120)*12</f>
        <v>0</v>
      </c>
      <c r="U56" s="23">
        <f>SUM(Q56:T56)</f>
        <v>263265</v>
      </c>
      <c r="V56" s="23">
        <f>(SUMPRODUCT(($F$111:$O$111=1)*($F$115:$O$115=B56)*$F$114:$O$114)+SUMPRODUCT(($F$111:$O$111=2)*($F$115:$O$115&lt;=B56)*$F$114:$O$114))*(1+$F$8)^(D56-1)</f>
        <v>22893</v>
      </c>
      <c r="W56" s="23">
        <f>U56+V56</f>
        <v>286158</v>
      </c>
      <c r="X56" s="23">
        <f>P56-W56</f>
        <v>-170651</v>
      </c>
      <c r="Y56" s="22">
        <f>MAX(0,X56)</f>
        <v>0</v>
      </c>
      <c r="Z56" s="23">
        <f>Y56</f>
        <v>0</v>
      </c>
      <c r="AA56" s="22">
        <f>SUMPRODUCT(($F$83:$O$83=B56)*($F$87:$O$87=1)*$F$86:$O$86)*(1+$F$8)^(D56-1)</f>
        <v>0</v>
      </c>
      <c r="AB56" s="22">
        <f>SUMPRODUCT(($F$83:$O$83=B56)*($F$87:$O$87=2)*$F$86:$O$86)*(1+$F$8)^(D56-1)</f>
        <v>0</v>
      </c>
      <c r="AC56" s="22">
        <f>SUMPRODUCT(($F$83:$O$83=B56)*($F$87:$O$87=3)*$F$86:$O$86)*(1+$F$8)^(D56-1)</f>
        <v>0</v>
      </c>
      <c r="AD56" s="23">
        <f>SUM(AA56:AC56)</f>
        <v>0</v>
      </c>
      <c r="AE56" s="22">
        <f>MIN(0,X56)</f>
        <v>-170651</v>
      </c>
      <c r="AF56" s="22">
        <f>-SUMIF($F$100:$O$100,B56,$F$103:$O$103)*(1+$F$8)^(D56-1)</f>
        <v>0</v>
      </c>
      <c r="AG56" s="22">
        <f>IF(B56=$F$105,-$F$108*(1+$F$8)^(D56-1),0)</f>
        <v>0</v>
      </c>
      <c r="AH56" s="23">
        <f>SUM(AE56:AG56)</f>
        <v>-170651</v>
      </c>
      <c r="AI56" s="22">
        <f>AL55</f>
        <v>278049</v>
      </c>
      <c r="AJ56" s="22">
        <f>AI56*$F$10</f>
        <v>16683</v>
      </c>
      <c r="AK56" s="22">
        <f>MAX(0,-(AI56+AJ56+Z56+AD56+AH56))</f>
        <v>0</v>
      </c>
      <c r="AL56" s="23">
        <f>AI56+AJ56+Z56+AD56+AH56+AK56</f>
        <v>124080</v>
      </c>
      <c r="AM56" s="22">
        <f>AL56/(1+$F$8)^D56</f>
        <v>31300</v>
      </c>
      <c r="AN56" s="24">
        <f>IF(AI56&lt;=0,0,-AH56/AI56)</f>
        <v>0.6137460036249177</v>
      </c>
    </row>
    <row r="57">
      <c r="B57" s="25">
        <f>B56+1</f>
        <v>2062</v>
      </c>
      <c r="C57" s="25">
        <f>C56+1</f>
        <v>82</v>
      </c>
      <c r="D57" s="25">
        <f>D56+1</f>
        <v>37</v>
      </c>
      <c r="E57" s="26" t="str">
        <f>IF(D57&lt;=$F$12,"Acumulación","Retiro")</f>
        <v>Retiro</v>
      </c>
      <c r="F57" s="22">
        <f>IF(D57&lt;=$O$7,$M$7*12*(1+$F$8)^(D57-1),0)</f>
        <v>0</v>
      </c>
      <c r="G57" s="22">
        <f>IF(D57&lt;=$O$8,$M$8*12*(1+$F$8)^(D57-1),0)</f>
        <v>0</v>
      </c>
      <c r="H57" s="22">
        <f>IF(AND($M$9&gt;0,D57&gt;=$N$9,D57&lt;=$O$9),$M$9*12*(1+$F$8)^(D57-1),0)</f>
        <v>52857</v>
      </c>
      <c r="I57" s="22">
        <f>SUMPRODUCT(($F$98:$O$98&gt;=B57)*$F$97:$O$97)*12*(1+$F$8)^(D57-1)</f>
        <v>0</v>
      </c>
      <c r="J57" s="22">
        <f>IF(AND($M$10&gt;0,D57&gt;=$N$10),$M$10*12*(1+$F$8)^($N$10-1)*(1+$F$9)^(D57-$N$10),0)</f>
        <v>52266</v>
      </c>
      <c r="K57" s="22">
        <f>'Fondos de pensión'!T55</f>
        <v>12885</v>
      </c>
      <c r="L57" s="23">
        <f>SUM(F57:K57)</f>
        <v>118008</v>
      </c>
      <c r="M57" s="22">
        <f>SUMIF($F$78:$O$78,B57,$F$81:$O$81)*(1+$F$8)^(D57-1)</f>
        <v>0</v>
      </c>
      <c r="N57" s="22">
        <f>'Fondos de pensión'!S55</f>
        <v>0</v>
      </c>
      <c r="O57" s="23">
        <f>SUM(M57:N57)</f>
        <v>0</v>
      </c>
      <c r="P57" s="23">
        <f>L57+O57</f>
        <v>118008</v>
      </c>
      <c r="Q57" s="22">
        <f>$V$7*12*(1+$F$8)^(D57-1)*IF(D57&gt;$F$12,$V$8,1)</f>
        <v>261640</v>
      </c>
      <c r="R57" s="22">
        <f>SUMPRODUCT(($F$89:$O$89&lt;=B57)*($F$89:$O$89+$F$90:$O$90&gt;B57)*$F$93:$O$93)*(1+$F$8)^(D57-1)</f>
        <v>0</v>
      </c>
      <c r="S57" s="22">
        <f>$V$10*(1+$F$8)^(D57-1)</f>
        <v>11893</v>
      </c>
      <c r="T57" s="22">
        <f>IF(D57&lt;=$W$11,$V$11*12,0)+SUMPRODUCT(($F$123:$O$123&gt;=B57)*$F$120:$O$120)*12</f>
        <v>0</v>
      </c>
      <c r="U57" s="23">
        <f>SUM(Q57:T57)</f>
        <v>273532</v>
      </c>
      <c r="V57" s="23">
        <f>(SUMPRODUCT(($F$111:$O$111=1)*($F$115:$O$115=B57)*$F$114:$O$114)+SUMPRODUCT(($F$111:$O$111=2)*($F$115:$O$115&lt;=B57)*$F$114:$O$114))*(1+$F$8)^(D57-1)</f>
        <v>23785</v>
      </c>
      <c r="W57" s="23">
        <f>U57+V57</f>
        <v>297318</v>
      </c>
      <c r="X57" s="23">
        <f>P57-W57</f>
        <v>-179310</v>
      </c>
      <c r="Y57" s="22">
        <f>MAX(0,X57)</f>
        <v>0</v>
      </c>
      <c r="Z57" s="23">
        <f>Y57</f>
        <v>0</v>
      </c>
      <c r="AA57" s="22">
        <f>SUMPRODUCT(($F$83:$O$83=B57)*($F$87:$O$87=1)*$F$86:$O$86)*(1+$F$8)^(D57-1)</f>
        <v>0</v>
      </c>
      <c r="AB57" s="22">
        <f>SUMPRODUCT(($F$83:$O$83=B57)*($F$87:$O$87=2)*$F$86:$O$86)*(1+$F$8)^(D57-1)</f>
        <v>0</v>
      </c>
      <c r="AC57" s="22">
        <f>SUMPRODUCT(($F$83:$O$83=B57)*($F$87:$O$87=3)*$F$86:$O$86)*(1+$F$8)^(D57-1)</f>
        <v>0</v>
      </c>
      <c r="AD57" s="23">
        <f>SUM(AA57:AC57)</f>
        <v>0</v>
      </c>
      <c r="AE57" s="22">
        <f>MIN(0,X57)</f>
        <v>-179310</v>
      </c>
      <c r="AF57" s="22">
        <f>-SUMIF($F$100:$O$100,B57,$F$103:$O$103)*(1+$F$8)^(D57-1)</f>
        <v>0</v>
      </c>
      <c r="AG57" s="22">
        <f>IF(B57=$F$105,-$F$108*(1+$F$8)^(D57-1),0)</f>
        <v>0</v>
      </c>
      <c r="AH57" s="23">
        <f>SUM(AE57:AG57)</f>
        <v>-179310</v>
      </c>
      <c r="AI57" s="22">
        <f>AL56</f>
        <v>124080</v>
      </c>
      <c r="AJ57" s="22">
        <f>AI57*$F$10</f>
        <v>7445</v>
      </c>
      <c r="AK57" s="22">
        <f>MAX(0,-(AI57+AJ57+Z57+AD57+AH57))</f>
        <v>47785</v>
      </c>
      <c r="AL57" s="23">
        <f>AI57+AJ57+Z57+AD57+AH57+AK57</f>
        <v>0</v>
      </c>
      <c r="AM57" s="22">
        <f>AL57/(1+$F$8)^D57</f>
        <v>0</v>
      </c>
      <c r="AN57" s="24">
        <f>IF(AI57&lt;=0,0,-AH57/AI57)</f>
        <v>1.4451113392993433</v>
      </c>
    </row>
    <row r="58">
      <c r="B58" s="25">
        <f>B57+1</f>
        <v>2063</v>
      </c>
      <c r="C58" s="25">
        <f>C57+1</f>
        <v>83</v>
      </c>
      <c r="D58" s="25">
        <f>D57+1</f>
        <v>38</v>
      </c>
      <c r="E58" s="26" t="str">
        <f>IF(D58&lt;=$F$12,"Acumulación","Retiro")</f>
        <v>Retiro</v>
      </c>
      <c r="F58" s="22">
        <f>IF(D58&lt;=$O$7,$M$7*12*(1+$F$8)^(D58-1),0)</f>
        <v>0</v>
      </c>
      <c r="G58" s="22">
        <f>IF(D58&lt;=$O$8,$M$8*12*(1+$F$8)^(D58-1),0)</f>
        <v>0</v>
      </c>
      <c r="H58" s="22">
        <f>IF(AND($M$9&gt;0,D58&gt;=$N$9,D58&lt;=$O$9),$M$9*12*(1+$F$8)^(D58-1),0)</f>
        <v>54918</v>
      </c>
      <c r="I58" s="22">
        <f>SUMPRODUCT(($F$98:$O$98&gt;=B58)*$F$97:$O$97)*12*(1+$F$8)^(D58-1)</f>
        <v>0</v>
      </c>
      <c r="J58" s="22">
        <f>IF(AND($M$10&gt;0,D58&gt;=$N$10),$M$10*12*(1+$F$8)^($N$10-1)*(1+$F$9)^(D58-$N$10),0)</f>
        <v>52788</v>
      </c>
      <c r="K58" s="22">
        <f>'Fondos de pensión'!T56</f>
        <v>12885</v>
      </c>
      <c r="L58" s="23">
        <f>SUM(F58:K58)</f>
        <v>120592</v>
      </c>
      <c r="M58" s="22">
        <f>SUMIF($F$78:$O$78,B58,$F$81:$O$81)*(1+$F$8)^(D58-1)</f>
        <v>0</v>
      </c>
      <c r="N58" s="22">
        <f>'Fondos de pensión'!S56</f>
        <v>0</v>
      </c>
      <c r="O58" s="23">
        <f>SUM(M58:N58)</f>
        <v>0</v>
      </c>
      <c r="P58" s="23">
        <f>L58+O58</f>
        <v>120592</v>
      </c>
      <c r="Q58" s="22">
        <f>$V$7*12*(1+$F$8)^(D58-1)*IF(D58&gt;$F$12,$V$8,1)</f>
        <v>271844</v>
      </c>
      <c r="R58" s="22">
        <f>SUMPRODUCT(($F$89:$O$89&lt;=B58)*($F$89:$O$89+$F$90:$O$90&gt;B58)*$F$93:$O$93)*(1+$F$8)^(D58-1)</f>
        <v>0</v>
      </c>
      <c r="S58" s="22">
        <f>$V$10*(1+$F$8)^(D58-1)</f>
        <v>12357</v>
      </c>
      <c r="T58" s="22">
        <f>IF(D58&lt;=$W$11,$V$11*12,0)+SUMPRODUCT(($F$123:$O$123&gt;=B58)*$F$120:$O$120)*12</f>
        <v>0</v>
      </c>
      <c r="U58" s="23">
        <f>SUM(Q58:T58)</f>
        <v>284200</v>
      </c>
      <c r="V58" s="23">
        <f>(SUMPRODUCT(($F$111:$O$111=1)*($F$115:$O$115=B58)*$F$114:$O$114)+SUMPRODUCT(($F$111:$O$111=2)*($F$115:$O$115&lt;=B58)*$F$114:$O$114))*(1+$F$8)^(D58-1)</f>
        <v>24713</v>
      </c>
      <c r="W58" s="23">
        <f>U58+V58</f>
        <v>308913</v>
      </c>
      <c r="X58" s="23">
        <f>P58-W58</f>
        <v>-188321</v>
      </c>
      <c r="Y58" s="22">
        <f>MAX(0,X58)</f>
        <v>0</v>
      </c>
      <c r="Z58" s="23">
        <f>Y58</f>
        <v>0</v>
      </c>
      <c r="AA58" s="22">
        <f>SUMPRODUCT(($F$83:$O$83=B58)*($F$87:$O$87=1)*$F$86:$O$86)*(1+$F$8)^(D58-1)</f>
        <v>0</v>
      </c>
      <c r="AB58" s="22">
        <f>SUMPRODUCT(($F$83:$O$83=B58)*($F$87:$O$87=2)*$F$86:$O$86)*(1+$F$8)^(D58-1)</f>
        <v>0</v>
      </c>
      <c r="AC58" s="22">
        <f>SUMPRODUCT(($F$83:$O$83=B58)*($F$87:$O$87=3)*$F$86:$O$86)*(1+$F$8)^(D58-1)</f>
        <v>0</v>
      </c>
      <c r="AD58" s="23">
        <f>SUM(AA58:AC58)</f>
        <v>0</v>
      </c>
      <c r="AE58" s="22">
        <f>MIN(0,X58)</f>
        <v>-188321</v>
      </c>
      <c r="AF58" s="22">
        <f>-SUMIF($F$100:$O$100,B58,$F$103:$O$103)*(1+$F$8)^(D58-1)</f>
        <v>0</v>
      </c>
      <c r="AG58" s="22">
        <f>IF(B58=$F$105,-$F$108*(1+$F$8)^(D58-1),0)</f>
        <v>0</v>
      </c>
      <c r="AH58" s="23">
        <f>SUM(AE58:AG58)</f>
        <v>-188321</v>
      </c>
      <c r="AI58" s="22">
        <f>AL57</f>
        <v>0</v>
      </c>
      <c r="AJ58" s="22">
        <f>AI58*$F$10</f>
        <v>0</v>
      </c>
      <c r="AK58" s="22">
        <f>MAX(0,-(AI58+AJ58+Z58+AD58+AH58))</f>
        <v>188321</v>
      </c>
      <c r="AL58" s="23">
        <f>AI58+AJ58+Z58+AD58+AH58+AK58</f>
        <v>0</v>
      </c>
      <c r="AM58" s="22">
        <f>AL58/(1+$F$8)^D58</f>
        <v>0</v>
      </c>
      <c r="AN58" s="24">
        <f>IF(AI58&lt;=0,0,-AH58/AI58)</f>
        <v>0</v>
      </c>
    </row>
    <row r="59">
      <c r="B59" s="25">
        <f>B58+1</f>
        <v>2064</v>
      </c>
      <c r="C59" s="25">
        <f>C58+1</f>
        <v>84</v>
      </c>
      <c r="D59" s="25">
        <f>D58+1</f>
        <v>39</v>
      </c>
      <c r="E59" s="26" t="str">
        <f>IF(D59&lt;=$F$12,"Acumulación","Retiro")</f>
        <v>Retiro</v>
      </c>
      <c r="F59" s="22">
        <f>IF(D59&lt;=$O$7,$M$7*12*(1+$F$8)^(D59-1),0)</f>
        <v>0</v>
      </c>
      <c r="G59" s="22">
        <f>IF(D59&lt;=$O$8,$M$8*12*(1+$F$8)^(D59-1),0)</f>
        <v>0</v>
      </c>
      <c r="H59" s="22">
        <f>IF(AND($M$9&gt;0,D59&gt;=$N$9,D59&lt;=$O$9),$M$9*12*(1+$F$8)^(D59-1),0)</f>
        <v>57060</v>
      </c>
      <c r="I59" s="22">
        <f>SUMPRODUCT(($F$98:$O$98&gt;=B59)*$F$97:$O$97)*12*(1+$F$8)^(D59-1)</f>
        <v>0</v>
      </c>
      <c r="J59" s="22">
        <f>IF(AND($M$10&gt;0,D59&gt;=$N$10),$M$10*12*(1+$F$8)^($N$10-1)*(1+$F$9)^(D59-$N$10),0)</f>
        <v>53316</v>
      </c>
      <c r="K59" s="22">
        <f>'Fondos de pensión'!T57</f>
        <v>12885</v>
      </c>
      <c r="L59" s="23">
        <f>SUM(F59:K59)</f>
        <v>123262</v>
      </c>
      <c r="M59" s="22">
        <f>SUMIF($F$78:$O$78,B59,$F$81:$O$81)*(1+$F$8)^(D59-1)</f>
        <v>0</v>
      </c>
      <c r="N59" s="22">
        <f>'Fondos de pensión'!S57</f>
        <v>0</v>
      </c>
      <c r="O59" s="23">
        <f>SUM(M59:N59)</f>
        <v>0</v>
      </c>
      <c r="P59" s="23">
        <f>L59+O59</f>
        <v>123262</v>
      </c>
      <c r="Q59" s="22">
        <f>$V$7*12*(1+$F$8)^(D59-1)*IF(D59&gt;$F$12,$V$8,1)</f>
        <v>282446</v>
      </c>
      <c r="R59" s="22">
        <f>SUMPRODUCT(($F$89:$O$89&lt;=B59)*($F$89:$O$89+$F$90:$O$90&gt;B59)*$F$93:$O$93)*(1+$F$8)^(D59-1)</f>
        <v>0</v>
      </c>
      <c r="S59" s="22">
        <f>$V$10*(1+$F$8)^(D59-1)</f>
        <v>12838</v>
      </c>
      <c r="T59" s="22">
        <f>IF(D59&lt;=$W$11,$V$11*12,0)+SUMPRODUCT(($F$123:$O$123&gt;=B59)*$F$120:$O$120)*12</f>
        <v>0</v>
      </c>
      <c r="U59" s="23">
        <f>SUM(Q59:T59)</f>
        <v>295284</v>
      </c>
      <c r="V59" s="23">
        <f>(SUMPRODUCT(($F$111:$O$111=1)*($F$115:$O$115=B59)*$F$114:$O$114)+SUMPRODUCT(($F$111:$O$111=2)*($F$115:$O$115&lt;=B59)*$F$114:$O$114))*(1+$F$8)^(D59-1)</f>
        <v>25677</v>
      </c>
      <c r="W59" s="23">
        <f>U59+V59</f>
        <v>320961</v>
      </c>
      <c r="X59" s="23">
        <f>P59-W59</f>
        <v>-197699</v>
      </c>
      <c r="Y59" s="22">
        <f>MAX(0,X59)</f>
        <v>0</v>
      </c>
      <c r="Z59" s="23">
        <f>Y59</f>
        <v>0</v>
      </c>
      <c r="AA59" s="22">
        <f>SUMPRODUCT(($F$83:$O$83=B59)*($F$87:$O$87=1)*$F$86:$O$86)*(1+$F$8)^(D59-1)</f>
        <v>0</v>
      </c>
      <c r="AB59" s="22">
        <f>SUMPRODUCT(($F$83:$O$83=B59)*($F$87:$O$87=2)*$F$86:$O$86)*(1+$F$8)^(D59-1)</f>
        <v>0</v>
      </c>
      <c r="AC59" s="22">
        <f>SUMPRODUCT(($F$83:$O$83=B59)*($F$87:$O$87=3)*$F$86:$O$86)*(1+$F$8)^(D59-1)</f>
        <v>0</v>
      </c>
      <c r="AD59" s="23">
        <f>SUM(AA59:AC59)</f>
        <v>0</v>
      </c>
      <c r="AE59" s="22">
        <f>MIN(0,X59)</f>
        <v>-197699</v>
      </c>
      <c r="AF59" s="22">
        <f>-SUMIF($F$100:$O$100,B59,$F$103:$O$103)*(1+$F$8)^(D59-1)</f>
        <v>0</v>
      </c>
      <c r="AG59" s="22">
        <f>IF(B59=$F$105,-$F$108*(1+$F$8)^(D59-1),0)</f>
        <v>0</v>
      </c>
      <c r="AH59" s="23">
        <f>SUM(AE59:AG59)</f>
        <v>-197699</v>
      </c>
      <c r="AI59" s="22">
        <f>AL58</f>
        <v>0</v>
      </c>
      <c r="AJ59" s="22">
        <f>AI59*$F$10</f>
        <v>0</v>
      </c>
      <c r="AK59" s="22">
        <f>MAX(0,-(AI59+AJ59+Z59+AD59+AH59))</f>
        <v>197699</v>
      </c>
      <c r="AL59" s="23">
        <f>AI59+AJ59+Z59+AD59+AH59+AK59</f>
        <v>0</v>
      </c>
      <c r="AM59" s="22">
        <f>AL59/(1+$F$8)^D59</f>
        <v>0</v>
      </c>
      <c r="AN59" s="24">
        <f>IF(AI59&lt;=0,0,-AH59/AI59)</f>
        <v>0</v>
      </c>
    </row>
    <row r="60">
      <c r="B60" s="25">
        <f>B59+1</f>
        <v>2065</v>
      </c>
      <c r="C60" s="25">
        <f>C59+1</f>
        <v>85</v>
      </c>
      <c r="D60" s="25">
        <f>D59+1</f>
        <v>40</v>
      </c>
      <c r="E60" s="26" t="str">
        <f>IF(D60&lt;=$F$12,"Acumulación","Retiro")</f>
        <v>Retiro</v>
      </c>
      <c r="F60" s="22">
        <f>IF(D60&lt;=$O$7,$M$7*12*(1+$F$8)^(D60-1),0)</f>
        <v>0</v>
      </c>
      <c r="G60" s="22">
        <f>IF(D60&lt;=$O$8,$M$8*12*(1+$F$8)^(D60-1),0)</f>
        <v>0</v>
      </c>
      <c r="H60" s="22">
        <f>IF(AND($M$9&gt;0,D60&gt;=$N$9,D60&lt;=$O$9),$M$9*12*(1+$F$8)^(D60-1),0)</f>
        <v>59285</v>
      </c>
      <c r="I60" s="22">
        <f>SUMPRODUCT(($F$98:$O$98&gt;=B60)*$F$97:$O$97)*12*(1+$F$8)^(D60-1)</f>
        <v>0</v>
      </c>
      <c r="J60" s="22">
        <f>IF(AND($M$10&gt;0,D60&gt;=$N$10),$M$10*12*(1+$F$8)^($N$10-1)*(1+$F$9)^(D60-$N$10),0)</f>
        <v>53849</v>
      </c>
      <c r="K60" s="22">
        <f>'Fondos de pensión'!T58</f>
        <v>12885</v>
      </c>
      <c r="L60" s="23">
        <f>SUM(F60:K60)</f>
        <v>126020</v>
      </c>
      <c r="M60" s="22">
        <f>SUMIF($F$78:$O$78,B60,$F$81:$O$81)*(1+$F$8)^(D60-1)</f>
        <v>0</v>
      </c>
      <c r="N60" s="22">
        <f>'Fondos de pensión'!S58</f>
        <v>0</v>
      </c>
      <c r="O60" s="23">
        <f>SUM(M60:N60)</f>
        <v>0</v>
      </c>
      <c r="P60" s="23">
        <f>L60+O60</f>
        <v>126020</v>
      </c>
      <c r="Q60" s="22">
        <f>$V$7*12*(1+$F$8)^(D60-1)*IF(D60&gt;$F$12,$V$8,1)</f>
        <v>293461</v>
      </c>
      <c r="R60" s="22">
        <f>SUMPRODUCT(($F$89:$O$89&lt;=B60)*($F$89:$O$89+$F$90:$O$90&gt;B60)*$F$93:$O$93)*(1+$F$8)^(D60-1)</f>
        <v>0</v>
      </c>
      <c r="S60" s="22">
        <f>$V$10*(1+$F$8)^(D60-1)</f>
        <v>13339</v>
      </c>
      <c r="T60" s="22">
        <f>IF(D60&lt;=$W$11,$V$11*12,0)+SUMPRODUCT(($F$123:$O$123&gt;=B60)*$F$120:$O$120)*12</f>
        <v>0</v>
      </c>
      <c r="U60" s="23">
        <f>SUM(Q60:T60)</f>
        <v>306800</v>
      </c>
      <c r="V60" s="23">
        <f>(SUMPRODUCT(($F$111:$O$111=1)*($F$115:$O$115=B60)*$F$114:$O$114)+SUMPRODUCT(($F$111:$O$111=2)*($F$115:$O$115&lt;=B60)*$F$114:$O$114))*(1+$F$8)^(D60-1)</f>
        <v>26678</v>
      </c>
      <c r="W60" s="23">
        <f>U60+V60</f>
        <v>333478</v>
      </c>
      <c r="X60" s="23">
        <f>P60-W60</f>
        <v>-207458</v>
      </c>
      <c r="Y60" s="22">
        <f>MAX(0,X60)</f>
        <v>0</v>
      </c>
      <c r="Z60" s="23">
        <f>Y60</f>
        <v>0</v>
      </c>
      <c r="AA60" s="22">
        <f>SUMPRODUCT(($F$83:$O$83=B60)*($F$87:$O$87=1)*$F$86:$O$86)*(1+$F$8)^(D60-1)</f>
        <v>0</v>
      </c>
      <c r="AB60" s="22">
        <f>SUMPRODUCT(($F$83:$O$83=B60)*($F$87:$O$87=2)*$F$86:$O$86)*(1+$F$8)^(D60-1)</f>
        <v>0</v>
      </c>
      <c r="AC60" s="22">
        <f>SUMPRODUCT(($F$83:$O$83=B60)*($F$87:$O$87=3)*$F$86:$O$86)*(1+$F$8)^(D60-1)</f>
        <v>0</v>
      </c>
      <c r="AD60" s="23">
        <f>SUM(AA60:AC60)</f>
        <v>0</v>
      </c>
      <c r="AE60" s="22">
        <f>MIN(0,X60)</f>
        <v>-207458</v>
      </c>
      <c r="AF60" s="22">
        <f>-SUMIF($F$100:$O$100,B60,$F$103:$O$103)*(1+$F$8)^(D60-1)</f>
        <v>0</v>
      </c>
      <c r="AG60" s="22">
        <f>IF(B60=$F$105,-$F$108*(1+$F$8)^(D60-1),0)</f>
        <v>0</v>
      </c>
      <c r="AH60" s="23">
        <f>SUM(AE60:AG60)</f>
        <v>-207458</v>
      </c>
      <c r="AI60" s="22">
        <f>AL59</f>
        <v>0</v>
      </c>
      <c r="AJ60" s="22">
        <f>AI60*$F$10</f>
        <v>0</v>
      </c>
      <c r="AK60" s="22">
        <f>MAX(0,-(AI60+AJ60+Z60+AD60+AH60))</f>
        <v>207458</v>
      </c>
      <c r="AL60" s="23">
        <f>AI60+AJ60+Z60+AD60+AH60+AK60</f>
        <v>0</v>
      </c>
      <c r="AM60" s="22">
        <f>AL60/(1+$F$8)^D60</f>
        <v>0</v>
      </c>
      <c r="AN60" s="24">
        <f>IF(AI60&lt;=0,0,-AH60/AI60)</f>
        <v>0</v>
      </c>
    </row>
    <row r="61">
      <c r="B61" s="25">
        <f>B60+1</f>
        <v>2066</v>
      </c>
      <c r="C61" s="25">
        <f>C60+1</f>
        <v>86</v>
      </c>
      <c r="D61" s="25">
        <f>D60+1</f>
        <v>41</v>
      </c>
      <c r="E61" s="26" t="str">
        <f>IF(D61&lt;=$F$12,"Acumulación","Retiro")</f>
        <v>Retiro</v>
      </c>
      <c r="F61" s="22">
        <f>IF(D61&lt;=$O$7,$M$7*12*(1+$F$8)^(D61-1),0)</f>
        <v>0</v>
      </c>
      <c r="G61" s="22">
        <f>IF(D61&lt;=$O$8,$M$8*12*(1+$F$8)^(D61-1),0)</f>
        <v>0</v>
      </c>
      <c r="H61" s="22">
        <f>IF(AND($M$9&gt;0,D61&gt;=$N$9,D61&lt;=$O$9),$M$9*12*(1+$F$8)^(D61-1),0)</f>
        <v>61597</v>
      </c>
      <c r="I61" s="22">
        <f>SUMPRODUCT(($F$98:$O$98&gt;=B61)*$F$97:$O$97)*12*(1+$F$8)^(D61-1)</f>
        <v>0</v>
      </c>
      <c r="J61" s="22">
        <f>IF(AND($M$10&gt;0,D61&gt;=$N$10),$M$10*12*(1+$F$8)^($N$10-1)*(1+$F$9)^(D61-$N$10),0)</f>
        <v>54388</v>
      </c>
      <c r="K61" s="22">
        <f>'Fondos de pensión'!T59</f>
        <v>12885</v>
      </c>
      <c r="L61" s="23">
        <f>SUM(F61:K61)</f>
        <v>128871</v>
      </c>
      <c r="M61" s="22">
        <f>SUMIF($F$78:$O$78,B61,$F$81:$O$81)*(1+$F$8)^(D61-1)</f>
        <v>0</v>
      </c>
      <c r="N61" s="22">
        <f>'Fondos de pensión'!S59</f>
        <v>0</v>
      </c>
      <c r="O61" s="23">
        <f>SUM(M61:N61)</f>
        <v>0</v>
      </c>
      <c r="P61" s="23">
        <f>L61+O61</f>
        <v>128871</v>
      </c>
      <c r="Q61" s="22">
        <f>$V$7*12*(1+$F$8)^(D61-1)*IF(D61&gt;$F$12,$V$8,1)</f>
        <v>304906</v>
      </c>
      <c r="R61" s="22">
        <f>SUMPRODUCT(($F$89:$O$89&lt;=B61)*($F$89:$O$89+$F$90:$O$90&gt;B61)*$F$93:$O$93)*(1+$F$8)^(D61-1)</f>
        <v>0</v>
      </c>
      <c r="S61" s="22">
        <f>$V$10*(1+$F$8)^(D61-1)</f>
        <v>13859</v>
      </c>
      <c r="T61" s="22">
        <f>IF(D61&lt;=$W$11,$V$11*12,0)+SUMPRODUCT(($F$123:$O$123&gt;=B61)*$F$120:$O$120)*12</f>
        <v>0</v>
      </c>
      <c r="U61" s="23">
        <f>SUM(Q61:T61)</f>
        <v>318765</v>
      </c>
      <c r="V61" s="23">
        <f>(SUMPRODUCT(($F$111:$O$111=1)*($F$115:$O$115=B61)*$F$114:$O$114)+SUMPRODUCT(($F$111:$O$111=2)*($F$115:$O$115&lt;=B61)*$F$114:$O$114))*(1+$F$8)^(D61-1)</f>
        <v>27719</v>
      </c>
      <c r="W61" s="23">
        <f>U61+V61</f>
        <v>346484</v>
      </c>
      <c r="X61" s="23">
        <f>P61-W61</f>
        <v>-217613</v>
      </c>
      <c r="Y61" s="22">
        <f>MAX(0,X61)</f>
        <v>0</v>
      </c>
      <c r="Z61" s="23">
        <f>Y61</f>
        <v>0</v>
      </c>
      <c r="AA61" s="22">
        <f>SUMPRODUCT(($F$83:$O$83=B61)*($F$87:$O$87=1)*$F$86:$O$86)*(1+$F$8)^(D61-1)</f>
        <v>0</v>
      </c>
      <c r="AB61" s="22">
        <f>SUMPRODUCT(($F$83:$O$83=B61)*($F$87:$O$87=2)*$F$86:$O$86)*(1+$F$8)^(D61-1)</f>
        <v>0</v>
      </c>
      <c r="AC61" s="22">
        <f>SUMPRODUCT(($F$83:$O$83=B61)*($F$87:$O$87=3)*$F$86:$O$86)*(1+$F$8)^(D61-1)</f>
        <v>0</v>
      </c>
      <c r="AD61" s="23">
        <f>SUM(AA61:AC61)</f>
        <v>0</v>
      </c>
      <c r="AE61" s="22">
        <f>MIN(0,X61)</f>
        <v>-217613</v>
      </c>
      <c r="AF61" s="22">
        <f>-SUMIF($F$100:$O$100,B61,$F$103:$O$103)*(1+$F$8)^(D61-1)</f>
        <v>0</v>
      </c>
      <c r="AG61" s="22">
        <f>IF(B61=$F$105,-$F$108*(1+$F$8)^(D61-1),0)</f>
        <v>0</v>
      </c>
      <c r="AH61" s="23">
        <f>SUM(AE61:AG61)</f>
        <v>-217613</v>
      </c>
      <c r="AI61" s="22">
        <f>AL60</f>
        <v>0</v>
      </c>
      <c r="AJ61" s="22">
        <f>AI61*$F$10</f>
        <v>0</v>
      </c>
      <c r="AK61" s="22">
        <f>MAX(0,-(AI61+AJ61+Z61+AD61+AH61))</f>
        <v>217613</v>
      </c>
      <c r="AL61" s="23">
        <f>AI61+AJ61+Z61+AD61+AH61+AK61</f>
        <v>0</v>
      </c>
      <c r="AM61" s="22">
        <f>AL61/(1+$F$8)^D61</f>
        <v>0</v>
      </c>
      <c r="AN61" s="24">
        <f>IF(AI61&lt;=0,0,-AH61/AI61)</f>
        <v>0</v>
      </c>
    </row>
    <row r="62">
      <c r="B62" s="25">
        <f>B61+1</f>
        <v>2067</v>
      </c>
      <c r="C62" s="25">
        <f>C61+1</f>
        <v>87</v>
      </c>
      <c r="D62" s="25">
        <f>D61+1</f>
        <v>42</v>
      </c>
      <c r="E62" s="26" t="str">
        <f>IF(D62&lt;=$F$12,"Acumulación","Retiro")</f>
        <v>Retiro</v>
      </c>
      <c r="F62" s="22">
        <f>IF(D62&lt;=$O$7,$M$7*12*(1+$F$8)^(D62-1),0)</f>
        <v>0</v>
      </c>
      <c r="G62" s="22">
        <f>IF(D62&lt;=$O$8,$M$8*12*(1+$F$8)^(D62-1),0)</f>
        <v>0</v>
      </c>
      <c r="H62" s="22">
        <f>IF(AND($M$9&gt;0,D62&gt;=$N$9,D62&lt;=$O$9),$M$9*12*(1+$F$8)^(D62-1),0)</f>
        <v>63999</v>
      </c>
      <c r="I62" s="22">
        <f>SUMPRODUCT(($F$98:$O$98&gt;=B62)*$F$97:$O$97)*12*(1+$F$8)^(D62-1)</f>
        <v>0</v>
      </c>
      <c r="J62" s="22">
        <f>IF(AND($M$10&gt;0,D62&gt;=$N$10),$M$10*12*(1+$F$8)^($N$10-1)*(1+$F$9)^(D62-$N$10),0)</f>
        <v>54932</v>
      </c>
      <c r="K62" s="22">
        <f>'Fondos de pensión'!T60</f>
        <v>12885</v>
      </c>
      <c r="L62" s="23">
        <f>SUM(F62:K62)</f>
        <v>131817</v>
      </c>
      <c r="M62" s="22">
        <f>SUMIF($F$78:$O$78,B62,$F$81:$O$81)*(1+$F$8)^(D62-1)</f>
        <v>0</v>
      </c>
      <c r="N62" s="22">
        <f>'Fondos de pensión'!S60</f>
        <v>0</v>
      </c>
      <c r="O62" s="23">
        <f>SUM(M62:N62)</f>
        <v>0</v>
      </c>
      <c r="P62" s="23">
        <f>L62+O62</f>
        <v>131817</v>
      </c>
      <c r="Q62" s="22">
        <f>$V$7*12*(1+$F$8)^(D62-1)*IF(D62&gt;$F$12,$V$8,1)</f>
        <v>316797</v>
      </c>
      <c r="R62" s="22">
        <f>SUMPRODUCT(($F$89:$O$89&lt;=B62)*($F$89:$O$89+$F$90:$O$90&gt;B62)*$F$93:$O$93)*(1+$F$8)^(D62-1)</f>
        <v>0</v>
      </c>
      <c r="S62" s="22">
        <f>$V$10*(1+$F$8)^(D62-1)</f>
        <v>14400</v>
      </c>
      <c r="T62" s="22">
        <f>IF(D62&lt;=$W$11,$V$11*12,0)+SUMPRODUCT(($F$123:$O$123&gt;=B62)*$F$120:$O$120)*12</f>
        <v>0</v>
      </c>
      <c r="U62" s="23">
        <f>SUM(Q62:T62)</f>
        <v>331197</v>
      </c>
      <c r="V62" s="23">
        <f>(SUMPRODUCT(($F$111:$O$111=1)*($F$115:$O$115=B62)*$F$114:$O$114)+SUMPRODUCT(($F$111:$O$111=2)*($F$115:$O$115&lt;=B62)*$F$114:$O$114))*(1+$F$8)^(D62-1)</f>
        <v>28800</v>
      </c>
      <c r="W62" s="23">
        <f>U62+V62</f>
        <v>359997</v>
      </c>
      <c r="X62" s="23">
        <f>P62-W62</f>
        <v>-228180</v>
      </c>
      <c r="Y62" s="22">
        <f>MAX(0,X62)</f>
        <v>0</v>
      </c>
      <c r="Z62" s="23">
        <f>Y62</f>
        <v>0</v>
      </c>
      <c r="AA62" s="22">
        <f>SUMPRODUCT(($F$83:$O$83=B62)*($F$87:$O$87=1)*$F$86:$O$86)*(1+$F$8)^(D62-1)</f>
        <v>0</v>
      </c>
      <c r="AB62" s="22">
        <f>SUMPRODUCT(($F$83:$O$83=B62)*($F$87:$O$87=2)*$F$86:$O$86)*(1+$F$8)^(D62-1)</f>
        <v>0</v>
      </c>
      <c r="AC62" s="22">
        <f>SUMPRODUCT(($F$83:$O$83=B62)*($F$87:$O$87=3)*$F$86:$O$86)*(1+$F$8)^(D62-1)</f>
        <v>0</v>
      </c>
      <c r="AD62" s="23">
        <f>SUM(AA62:AC62)</f>
        <v>0</v>
      </c>
      <c r="AE62" s="22">
        <f>MIN(0,X62)</f>
        <v>-228180</v>
      </c>
      <c r="AF62" s="22">
        <f>-SUMIF($F$100:$O$100,B62,$F$103:$O$103)*(1+$F$8)^(D62-1)</f>
        <v>0</v>
      </c>
      <c r="AG62" s="22">
        <f>IF(B62=$F$105,-$F$108*(1+$F$8)^(D62-1),0)</f>
        <v>0</v>
      </c>
      <c r="AH62" s="23">
        <f>SUM(AE62:AG62)</f>
        <v>-228180</v>
      </c>
      <c r="AI62" s="22">
        <f>AL61</f>
        <v>0</v>
      </c>
      <c r="AJ62" s="22">
        <f>AI62*$F$10</f>
        <v>0</v>
      </c>
      <c r="AK62" s="22">
        <f>MAX(0,-(AI62+AJ62+Z62+AD62+AH62))</f>
        <v>228180</v>
      </c>
      <c r="AL62" s="23">
        <f>AI62+AJ62+Z62+AD62+AH62+AK62</f>
        <v>0</v>
      </c>
      <c r="AM62" s="22">
        <f>AL62/(1+$F$8)^D62</f>
        <v>0</v>
      </c>
      <c r="AN62" s="24">
        <f>IF(AI62&lt;=0,0,-AH62/AI62)</f>
        <v>0</v>
      </c>
    </row>
    <row r="63">
      <c r="B63" s="25">
        <f>B62+1</f>
        <v>2068</v>
      </c>
      <c r="C63" s="25">
        <f>C62+1</f>
        <v>88</v>
      </c>
      <c r="D63" s="25">
        <f>D62+1</f>
        <v>43</v>
      </c>
      <c r="E63" s="26" t="str">
        <f>IF(D63&lt;=$F$12,"Acumulación","Retiro")</f>
        <v>Retiro</v>
      </c>
      <c r="F63" s="22">
        <f>IF(D63&lt;=$O$7,$M$7*12*(1+$F$8)^(D63-1),0)</f>
        <v>0</v>
      </c>
      <c r="G63" s="22">
        <f>IF(D63&lt;=$O$8,$M$8*12*(1+$F$8)^(D63-1),0)</f>
        <v>0</v>
      </c>
      <c r="H63" s="22">
        <f>IF(AND($M$9&gt;0,D63&gt;=$N$9,D63&lt;=$O$9),$M$9*12*(1+$F$8)^(D63-1),0)</f>
        <v>66495</v>
      </c>
      <c r="I63" s="22">
        <f>SUMPRODUCT(($F$98:$O$98&gt;=B63)*$F$97:$O$97)*12*(1+$F$8)^(D63-1)</f>
        <v>0</v>
      </c>
      <c r="J63" s="22">
        <f>IF(AND($M$10&gt;0,D63&gt;=$N$10),$M$10*12*(1+$F$8)^($N$10-1)*(1+$F$9)^(D63-$N$10),0)</f>
        <v>55481</v>
      </c>
      <c r="K63" s="22">
        <f>'Fondos de pensión'!T61</f>
        <v>12885</v>
      </c>
      <c r="L63" s="23">
        <f>SUM(F63:K63)</f>
        <v>134862</v>
      </c>
      <c r="M63" s="22">
        <f>SUMIF($F$78:$O$78,B63,$F$81:$O$81)*(1+$F$8)^(D63-1)</f>
        <v>0</v>
      </c>
      <c r="N63" s="22">
        <f>'Fondos de pensión'!S61</f>
        <v>0</v>
      </c>
      <c r="O63" s="23">
        <f>SUM(M63:N63)</f>
        <v>0</v>
      </c>
      <c r="P63" s="23">
        <f>L63+O63</f>
        <v>134862</v>
      </c>
      <c r="Q63" s="22">
        <f>$V$7*12*(1+$F$8)^(D63-1)*IF(D63&gt;$F$12,$V$8,1)</f>
        <v>329152</v>
      </c>
      <c r="R63" s="22">
        <f>SUMPRODUCT(($F$89:$O$89&lt;=B63)*($F$89:$O$89+$F$90:$O$90&gt;B63)*$F$93:$O$93)*(1+$F$8)^(D63-1)</f>
        <v>0</v>
      </c>
      <c r="S63" s="22">
        <f>$V$10*(1+$F$8)^(D63-1)</f>
        <v>14961</v>
      </c>
      <c r="T63" s="22">
        <f>IF(D63&lt;=$W$11,$V$11*12,0)+SUMPRODUCT(($F$123:$O$123&gt;=B63)*$F$120:$O$120)*12</f>
        <v>0</v>
      </c>
      <c r="U63" s="23">
        <f>SUM(Q63:T63)</f>
        <v>344114</v>
      </c>
      <c r="V63" s="23">
        <f>(SUMPRODUCT(($F$111:$O$111=1)*($F$115:$O$115=B63)*$F$114:$O$114)+SUMPRODUCT(($F$111:$O$111=2)*($F$115:$O$115&lt;=B63)*$F$114:$O$114))*(1+$F$8)^(D63-1)</f>
        <v>29923</v>
      </c>
      <c r="W63" s="23">
        <f>U63+V63</f>
        <v>374037</v>
      </c>
      <c r="X63" s="23">
        <f>P63-W63</f>
        <v>-239175</v>
      </c>
      <c r="Y63" s="22">
        <f>MAX(0,X63)</f>
        <v>0</v>
      </c>
      <c r="Z63" s="23">
        <f>Y63</f>
        <v>0</v>
      </c>
      <c r="AA63" s="22">
        <f>SUMPRODUCT(($F$83:$O$83=B63)*($F$87:$O$87=1)*$F$86:$O$86)*(1+$F$8)^(D63-1)</f>
        <v>0</v>
      </c>
      <c r="AB63" s="22">
        <f>SUMPRODUCT(($F$83:$O$83=B63)*($F$87:$O$87=2)*$F$86:$O$86)*(1+$F$8)^(D63-1)</f>
        <v>0</v>
      </c>
      <c r="AC63" s="22">
        <f>SUMPRODUCT(($F$83:$O$83=B63)*($F$87:$O$87=3)*$F$86:$O$86)*(1+$F$8)^(D63-1)</f>
        <v>0</v>
      </c>
      <c r="AD63" s="23">
        <f>SUM(AA63:AC63)</f>
        <v>0</v>
      </c>
      <c r="AE63" s="22">
        <f>MIN(0,X63)</f>
        <v>-239175</v>
      </c>
      <c r="AF63" s="22">
        <f>-SUMIF($F$100:$O$100,B63,$F$103:$O$103)*(1+$F$8)^(D63-1)</f>
        <v>0</v>
      </c>
      <c r="AG63" s="22">
        <f>IF(B63=$F$105,-$F$108*(1+$F$8)^(D63-1),0)</f>
        <v>0</v>
      </c>
      <c r="AH63" s="23">
        <f>SUM(AE63:AG63)</f>
        <v>-239175</v>
      </c>
      <c r="AI63" s="22">
        <f>AL62</f>
        <v>0</v>
      </c>
      <c r="AJ63" s="22">
        <f>AI63*$F$10</f>
        <v>0</v>
      </c>
      <c r="AK63" s="22">
        <f>MAX(0,-(AI63+AJ63+Z63+AD63+AH63))</f>
        <v>239175</v>
      </c>
      <c r="AL63" s="23">
        <f>AI63+AJ63+Z63+AD63+AH63+AK63</f>
        <v>0</v>
      </c>
      <c r="AM63" s="22">
        <f>AL63/(1+$F$8)^D63</f>
        <v>0</v>
      </c>
      <c r="AN63" s="24">
        <f>IF(AI63&lt;=0,0,-AH63/AI63)</f>
        <v>0</v>
      </c>
    </row>
    <row r="64">
      <c r="B64" s="25">
        <f>B63+1</f>
        <v>2069</v>
      </c>
      <c r="C64" s="25">
        <f>C63+1</f>
        <v>89</v>
      </c>
      <c r="D64" s="25">
        <f>D63+1</f>
        <v>44</v>
      </c>
      <c r="E64" s="26" t="str">
        <f>IF(D64&lt;=$F$12,"Acumulación","Retiro")</f>
        <v>Retiro</v>
      </c>
      <c r="F64" s="22">
        <f>IF(D64&lt;=$O$7,$M$7*12*(1+$F$8)^(D64-1),0)</f>
        <v>0</v>
      </c>
      <c r="G64" s="22">
        <f>IF(D64&lt;=$O$8,$M$8*12*(1+$F$8)^(D64-1),0)</f>
        <v>0</v>
      </c>
      <c r="H64" s="22">
        <f>IF(AND($M$9&gt;0,D64&gt;=$N$9,D64&lt;=$O$9),$M$9*12*(1+$F$8)^(D64-1),0)</f>
        <v>69089</v>
      </c>
      <c r="I64" s="22">
        <f>SUMPRODUCT(($F$98:$O$98&gt;=B64)*$F$97:$O$97)*12*(1+$F$8)^(D64-1)</f>
        <v>0</v>
      </c>
      <c r="J64" s="22">
        <f>IF(AND($M$10&gt;0,D64&gt;=$N$10),$M$10*12*(1+$F$8)^($N$10-1)*(1+$F$9)^(D64-$N$10),0)</f>
        <v>56036</v>
      </c>
      <c r="K64" s="22">
        <f>'Fondos de pensión'!T62</f>
        <v>12885</v>
      </c>
      <c r="L64" s="23">
        <f>SUM(F64:K64)</f>
        <v>138010</v>
      </c>
      <c r="M64" s="22">
        <f>SUMIF($F$78:$O$78,B64,$F$81:$O$81)*(1+$F$8)^(D64-1)</f>
        <v>0</v>
      </c>
      <c r="N64" s="22">
        <f>'Fondos de pensión'!S62</f>
        <v>0</v>
      </c>
      <c r="O64" s="23">
        <f>SUM(M64:N64)</f>
        <v>0</v>
      </c>
      <c r="P64" s="23">
        <f>L64+O64</f>
        <v>138010</v>
      </c>
      <c r="Q64" s="22">
        <f>$V$7*12*(1+$F$8)^(D64-1)*IF(D64&gt;$F$12,$V$8,1)</f>
        <v>341989</v>
      </c>
      <c r="R64" s="22">
        <f>SUMPRODUCT(($F$89:$O$89&lt;=B64)*($F$89:$O$89+$F$90:$O$90&gt;B64)*$F$93:$O$93)*(1+$F$8)^(D64-1)</f>
        <v>0</v>
      </c>
      <c r="S64" s="22">
        <f>$V$10*(1+$F$8)^(D64-1)</f>
        <v>15545</v>
      </c>
      <c r="T64" s="22">
        <f>IF(D64&lt;=$W$11,$V$11*12,0)+SUMPRODUCT(($F$123:$O$123&gt;=B64)*$F$120:$O$120)*12</f>
        <v>0</v>
      </c>
      <c r="U64" s="23">
        <f>SUM(Q64:T64)</f>
        <v>357534</v>
      </c>
      <c r="V64" s="23">
        <f>(SUMPRODUCT(($F$111:$O$111=1)*($F$115:$O$115=B64)*$F$114:$O$114)+SUMPRODUCT(($F$111:$O$111=2)*($F$115:$O$115&lt;=B64)*$F$114:$O$114))*(1+$F$8)^(D64-1)</f>
        <v>31090</v>
      </c>
      <c r="W64" s="23">
        <f>U64+V64</f>
        <v>388624</v>
      </c>
      <c r="X64" s="23">
        <f>P64-W64</f>
        <v>-250614</v>
      </c>
      <c r="Y64" s="22">
        <f>MAX(0,X64)</f>
        <v>0</v>
      </c>
      <c r="Z64" s="23">
        <f>Y64</f>
        <v>0</v>
      </c>
      <c r="AA64" s="22">
        <f>SUMPRODUCT(($F$83:$O$83=B64)*($F$87:$O$87=1)*$F$86:$O$86)*(1+$F$8)^(D64-1)</f>
        <v>0</v>
      </c>
      <c r="AB64" s="22">
        <f>SUMPRODUCT(($F$83:$O$83=B64)*($F$87:$O$87=2)*$F$86:$O$86)*(1+$F$8)^(D64-1)</f>
        <v>0</v>
      </c>
      <c r="AC64" s="22">
        <f>SUMPRODUCT(($F$83:$O$83=B64)*($F$87:$O$87=3)*$F$86:$O$86)*(1+$F$8)^(D64-1)</f>
        <v>0</v>
      </c>
      <c r="AD64" s="23">
        <f>SUM(AA64:AC64)</f>
        <v>0</v>
      </c>
      <c r="AE64" s="22">
        <f>MIN(0,X64)</f>
        <v>-250614</v>
      </c>
      <c r="AF64" s="22">
        <f>-SUMIF($F$100:$O$100,B64,$F$103:$O$103)*(1+$F$8)^(D64-1)</f>
        <v>0</v>
      </c>
      <c r="AG64" s="22">
        <f>IF(B64=$F$105,-$F$108*(1+$F$8)^(D64-1),0)</f>
        <v>0</v>
      </c>
      <c r="AH64" s="23">
        <f>SUM(AE64:AG64)</f>
        <v>-250614</v>
      </c>
      <c r="AI64" s="22">
        <f>AL63</f>
        <v>0</v>
      </c>
      <c r="AJ64" s="22">
        <f>AI64*$F$10</f>
        <v>0</v>
      </c>
      <c r="AK64" s="22">
        <f>MAX(0,-(AI64+AJ64+Z64+AD64+AH64))</f>
        <v>250614</v>
      </c>
      <c r="AL64" s="23">
        <f>AI64+AJ64+Z64+AD64+AH64+AK64</f>
        <v>0</v>
      </c>
      <c r="AM64" s="22">
        <f>AL64/(1+$F$8)^D64</f>
        <v>0</v>
      </c>
      <c r="AN64" s="24">
        <f>IF(AI64&lt;=0,0,-AH64/AI64)</f>
        <v>0</v>
      </c>
    </row>
    <row r="65">
      <c r="B65" s="25">
        <f>B64+1</f>
        <v>2070</v>
      </c>
      <c r="C65" s="25">
        <f>C64+1</f>
        <v>90</v>
      </c>
      <c r="D65" s="25">
        <f>D64+1</f>
        <v>45</v>
      </c>
      <c r="E65" s="26" t="str">
        <f>IF(D65&lt;=$F$12,"Acumulación","Retiro")</f>
        <v>Retiro</v>
      </c>
      <c r="F65" s="22">
        <f>IF(D65&lt;=$O$7,$M$7*12*(1+$F$8)^(D65-1),0)</f>
        <v>0</v>
      </c>
      <c r="G65" s="22">
        <f>IF(D65&lt;=$O$8,$M$8*12*(1+$F$8)^(D65-1),0)</f>
        <v>0</v>
      </c>
      <c r="H65" s="22">
        <f>IF(AND($M$9&gt;0,D65&gt;=$N$9,D65&lt;=$O$9),$M$9*12*(1+$F$8)^(D65-1),0)</f>
        <v>71783</v>
      </c>
      <c r="I65" s="22">
        <f>SUMPRODUCT(($F$98:$O$98&gt;=B65)*$F$97:$O$97)*12*(1+$F$8)^(D65-1)</f>
        <v>0</v>
      </c>
      <c r="J65" s="22">
        <f>IF(AND($M$10&gt;0,D65&gt;=$N$10),$M$10*12*(1+$F$8)^($N$10-1)*(1+$F$9)^(D65-$N$10),0)</f>
        <v>56596</v>
      </c>
      <c r="K65" s="22">
        <f>'Fondos de pensión'!T63</f>
        <v>12885</v>
      </c>
      <c r="L65" s="23">
        <f>SUM(F65:K65)</f>
        <v>141265</v>
      </c>
      <c r="M65" s="22">
        <f>SUMIF($F$78:$O$78,B65,$F$81:$O$81)*(1+$F$8)^(D65-1)</f>
        <v>0</v>
      </c>
      <c r="N65" s="22">
        <f>'Fondos de pensión'!S63</f>
        <v>0</v>
      </c>
      <c r="O65" s="23">
        <f>SUM(M65:N65)</f>
        <v>0</v>
      </c>
      <c r="P65" s="23">
        <f>L65+O65</f>
        <v>141265</v>
      </c>
      <c r="Q65" s="22">
        <f>$V$7*12*(1+$F$8)^(D65-1)*IF(D65&gt;$F$12,$V$8,1)</f>
        <v>355327</v>
      </c>
      <c r="R65" s="22">
        <f>SUMPRODUCT(($F$89:$O$89&lt;=B65)*($F$89:$O$89+$F$90:$O$90&gt;B65)*$F$93:$O$93)*(1+$F$8)^(D65-1)</f>
        <v>0</v>
      </c>
      <c r="S65" s="22">
        <f>$V$10*(1+$F$8)^(D65-1)</f>
        <v>16151</v>
      </c>
      <c r="T65" s="22">
        <f>IF(D65&lt;=$W$11,$V$11*12,0)+SUMPRODUCT(($F$123:$O$123&gt;=B65)*$F$120:$O$120)*12</f>
        <v>0</v>
      </c>
      <c r="U65" s="23">
        <f>SUM(Q65:T65)</f>
        <v>371478</v>
      </c>
      <c r="V65" s="23">
        <f>(SUMPRODUCT(($F$111:$O$111=1)*($F$115:$O$115=B65)*$F$114:$O$114)+SUMPRODUCT(($F$111:$O$111=2)*($F$115:$O$115&lt;=B65)*$F$114:$O$114))*(1+$F$8)^(D65-1)</f>
        <v>32302</v>
      </c>
      <c r="W65" s="23">
        <f>U65+V65</f>
        <v>403781</v>
      </c>
      <c r="X65" s="23">
        <f>P65-W65</f>
        <v>-262515</v>
      </c>
      <c r="Y65" s="22">
        <f>MAX(0,X65)</f>
        <v>0</v>
      </c>
      <c r="Z65" s="23">
        <f>Y65</f>
        <v>0</v>
      </c>
      <c r="AA65" s="22">
        <f>SUMPRODUCT(($F$83:$O$83=B65)*($F$87:$O$87=1)*$F$86:$O$86)*(1+$F$8)^(D65-1)</f>
        <v>0</v>
      </c>
      <c r="AB65" s="22">
        <f>SUMPRODUCT(($F$83:$O$83=B65)*($F$87:$O$87=2)*$F$86:$O$86)*(1+$F$8)^(D65-1)</f>
        <v>0</v>
      </c>
      <c r="AC65" s="22">
        <f>SUMPRODUCT(($F$83:$O$83=B65)*($F$87:$O$87=3)*$F$86:$O$86)*(1+$F$8)^(D65-1)</f>
        <v>0</v>
      </c>
      <c r="AD65" s="23">
        <f>SUM(AA65:AC65)</f>
        <v>0</v>
      </c>
      <c r="AE65" s="22">
        <f>MIN(0,X65)</f>
        <v>-262515</v>
      </c>
      <c r="AF65" s="22">
        <f>-SUMIF($F$100:$O$100,B65,$F$103:$O$103)*(1+$F$8)^(D65-1)</f>
        <v>0</v>
      </c>
      <c r="AG65" s="22">
        <f>IF(B65=$F$105,-$F$108*(1+$F$8)^(D65-1),0)</f>
        <v>0</v>
      </c>
      <c r="AH65" s="23">
        <f>SUM(AE65:AG65)</f>
        <v>-262515</v>
      </c>
      <c r="AI65" s="22">
        <f>AL64</f>
        <v>0</v>
      </c>
      <c r="AJ65" s="22">
        <f>AI65*$F$10</f>
        <v>0</v>
      </c>
      <c r="AK65" s="22">
        <f>MAX(0,-(AI65+AJ65+Z65+AD65+AH65))</f>
        <v>262515</v>
      </c>
      <c r="AL65" s="23">
        <f>AI65+AJ65+Z65+AD65+AH65+AK65</f>
        <v>0</v>
      </c>
      <c r="AM65" s="22">
        <f>AL65/(1+$F$8)^D65</f>
        <v>0</v>
      </c>
      <c r="AN65" s="24">
        <f>IF(AI65&lt;=0,0,-AH65/AI65)</f>
        <v>0</v>
      </c>
    </row>
    <row r="66">
      <c r="B66" s="25">
        <f>B65+1</f>
        <v>2071</v>
      </c>
      <c r="C66" s="25">
        <f>C65+1</f>
        <v>91</v>
      </c>
      <c r="D66" s="25">
        <f>D65+1</f>
        <v>46</v>
      </c>
      <c r="E66" s="26" t="str">
        <f>IF(D66&lt;=$F$12,"Acumulación","Retiro")</f>
        <v>Retiro</v>
      </c>
      <c r="F66" s="22">
        <f>IF(D66&lt;=$O$7,$M$7*12*(1+$F$8)^(D66-1),0)</f>
        <v>0</v>
      </c>
      <c r="G66" s="22">
        <f>IF(D66&lt;=$O$8,$M$8*12*(1+$F$8)^(D66-1),0)</f>
        <v>0</v>
      </c>
      <c r="H66" s="22">
        <f>IF(AND($M$9&gt;0,D66&gt;=$N$9,D66&lt;=$O$9),$M$9*12*(1+$F$8)^(D66-1),0)</f>
        <v>74583</v>
      </c>
      <c r="I66" s="22">
        <f>SUMPRODUCT(($F$98:$O$98&gt;=B66)*$F$97:$O$97)*12*(1+$F$8)^(D66-1)</f>
        <v>0</v>
      </c>
      <c r="J66" s="22">
        <f>IF(AND($M$10&gt;0,D66&gt;=$N$10),$M$10*12*(1+$F$8)^($N$10-1)*(1+$F$9)^(D66-$N$10),0)</f>
        <v>57162</v>
      </c>
      <c r="K66" s="22">
        <f>'Fondos de pensión'!T64</f>
        <v>12885</v>
      </c>
      <c r="L66" s="23">
        <f>SUM(F66:K66)</f>
        <v>144631</v>
      </c>
      <c r="M66" s="22">
        <f>SUMIF($F$78:$O$78,B66,$F$81:$O$81)*(1+$F$8)^(D66-1)</f>
        <v>0</v>
      </c>
      <c r="N66" s="22">
        <f>'Fondos de pensión'!S64</f>
        <v>0</v>
      </c>
      <c r="O66" s="23">
        <f>SUM(M66:N66)</f>
        <v>0</v>
      </c>
      <c r="P66" s="23">
        <f>L66+O66</f>
        <v>144631</v>
      </c>
      <c r="Q66" s="22">
        <f>$V$7*12*(1+$F$8)^(D66-1)*IF(D66&gt;$F$12,$V$8,1)</f>
        <v>369185</v>
      </c>
      <c r="R66" s="22">
        <f>SUMPRODUCT(($F$89:$O$89&lt;=B66)*($F$89:$O$89+$F$90:$O$90&gt;B66)*$F$93:$O$93)*(1+$F$8)^(D66-1)</f>
        <v>0</v>
      </c>
      <c r="S66" s="22">
        <f>$V$10*(1+$F$8)^(D66-1)</f>
        <v>16781</v>
      </c>
      <c r="T66" s="22">
        <f>IF(D66&lt;=$W$11,$V$11*12,0)+SUMPRODUCT(($F$123:$O$123&gt;=B66)*$F$120:$O$120)*12</f>
        <v>0</v>
      </c>
      <c r="U66" s="23">
        <f>SUM(Q66:T66)</f>
        <v>385966</v>
      </c>
      <c r="V66" s="23">
        <f>(SUMPRODUCT(($F$111:$O$111=1)*($F$115:$O$115=B66)*$F$114:$O$114)+SUMPRODUCT(($F$111:$O$111=2)*($F$115:$O$115&lt;=B66)*$F$114:$O$114))*(1+$F$8)^(D66-1)</f>
        <v>33562</v>
      </c>
      <c r="W66" s="23">
        <f>U66+V66</f>
        <v>419528</v>
      </c>
      <c r="X66" s="23">
        <f>P66-W66</f>
        <v>-274897</v>
      </c>
      <c r="Y66" s="22">
        <f>MAX(0,X66)</f>
        <v>0</v>
      </c>
      <c r="Z66" s="23">
        <f>Y66</f>
        <v>0</v>
      </c>
      <c r="AA66" s="22">
        <f>SUMPRODUCT(($F$83:$O$83=B66)*($F$87:$O$87=1)*$F$86:$O$86)*(1+$F$8)^(D66-1)</f>
        <v>0</v>
      </c>
      <c r="AB66" s="22">
        <f>SUMPRODUCT(($F$83:$O$83=B66)*($F$87:$O$87=2)*$F$86:$O$86)*(1+$F$8)^(D66-1)</f>
        <v>0</v>
      </c>
      <c r="AC66" s="22">
        <f>SUMPRODUCT(($F$83:$O$83=B66)*($F$87:$O$87=3)*$F$86:$O$86)*(1+$F$8)^(D66-1)</f>
        <v>0</v>
      </c>
      <c r="AD66" s="23">
        <f>SUM(AA66:AC66)</f>
        <v>0</v>
      </c>
      <c r="AE66" s="22">
        <f>MIN(0,X66)</f>
        <v>-274897</v>
      </c>
      <c r="AF66" s="22">
        <f>-SUMIF($F$100:$O$100,B66,$F$103:$O$103)*(1+$F$8)^(D66-1)</f>
        <v>0</v>
      </c>
      <c r="AG66" s="22">
        <f>IF(B66=$F$105,-$F$108*(1+$F$8)^(D66-1),0)</f>
        <v>0</v>
      </c>
      <c r="AH66" s="23">
        <f>SUM(AE66:AG66)</f>
        <v>-274897</v>
      </c>
      <c r="AI66" s="22">
        <f>AL65</f>
        <v>0</v>
      </c>
      <c r="AJ66" s="22">
        <f>AI66*$F$10</f>
        <v>0</v>
      </c>
      <c r="AK66" s="22">
        <f>MAX(0,-(AI66+AJ66+Z66+AD66+AH66))</f>
        <v>274897</v>
      </c>
      <c r="AL66" s="23">
        <f>AI66+AJ66+Z66+AD66+AH66+AK66</f>
        <v>0</v>
      </c>
      <c r="AM66" s="22">
        <f>AL66/(1+$F$8)^D66</f>
        <v>0</v>
      </c>
      <c r="AN66" s="24">
        <f>IF(AI66&lt;=0,0,-AH66/AI66)</f>
        <v>0</v>
      </c>
    </row>
    <row r="67">
      <c r="B67" s="25">
        <f>B66+1</f>
        <v>2072</v>
      </c>
      <c r="C67" s="25">
        <f>C66+1</f>
        <v>92</v>
      </c>
      <c r="D67" s="25">
        <f>D66+1</f>
        <v>47</v>
      </c>
      <c r="E67" s="26" t="str">
        <f>IF(D67&lt;=$F$12,"Acumulación","Retiro")</f>
        <v>Retiro</v>
      </c>
      <c r="F67" s="22">
        <f>IF(D67&lt;=$O$7,$M$7*12*(1+$F$8)^(D67-1),0)</f>
        <v>0</v>
      </c>
      <c r="G67" s="22">
        <f>IF(D67&lt;=$O$8,$M$8*12*(1+$F$8)^(D67-1),0)</f>
        <v>0</v>
      </c>
      <c r="H67" s="22">
        <f>IF(AND($M$9&gt;0,D67&gt;=$N$9,D67&lt;=$O$9),$M$9*12*(1+$F$8)^(D67-1),0)</f>
        <v>77491</v>
      </c>
      <c r="I67" s="22">
        <f>SUMPRODUCT(($F$98:$O$98&gt;=B67)*$F$97:$O$97)*12*(1+$F$8)^(D67-1)</f>
        <v>0</v>
      </c>
      <c r="J67" s="22">
        <f>IF(AND($M$10&gt;0,D67&gt;=$N$10),$M$10*12*(1+$F$8)^($N$10-1)*(1+$F$9)^(D67-$N$10),0)</f>
        <v>57734</v>
      </c>
      <c r="K67" s="22">
        <f>'Fondos de pensión'!T65</f>
        <v>12885</v>
      </c>
      <c r="L67" s="23">
        <f>SUM(F67:K67)</f>
        <v>148111</v>
      </c>
      <c r="M67" s="22">
        <f>SUMIF($F$78:$O$78,B67,$F$81:$O$81)*(1+$F$8)^(D67-1)</f>
        <v>0</v>
      </c>
      <c r="N67" s="22">
        <f>'Fondos de pensión'!S65</f>
        <v>0</v>
      </c>
      <c r="O67" s="23">
        <f>SUM(M67:N67)</f>
        <v>0</v>
      </c>
      <c r="P67" s="23">
        <f>L67+O67</f>
        <v>148111</v>
      </c>
      <c r="Q67" s="22">
        <f>$V$7*12*(1+$F$8)^(D67-1)*IF(D67&gt;$F$12,$V$8,1)</f>
        <v>383583</v>
      </c>
      <c r="R67" s="22">
        <f>SUMPRODUCT(($F$89:$O$89&lt;=B67)*($F$89:$O$89+$F$90:$O$90&gt;B67)*$F$93:$O$93)*(1+$F$8)^(D67-1)</f>
        <v>0</v>
      </c>
      <c r="S67" s="22">
        <f>$V$10*(1+$F$8)^(D67-1)</f>
        <v>17436</v>
      </c>
      <c r="T67" s="22">
        <f>IF(D67&lt;=$W$11,$V$11*12,0)+SUMPRODUCT(($F$123:$O$123&gt;=B67)*$F$120:$O$120)*12</f>
        <v>0</v>
      </c>
      <c r="U67" s="23">
        <f>SUM(Q67:T67)</f>
        <v>401018</v>
      </c>
      <c r="V67" s="23">
        <f>(SUMPRODUCT(($F$111:$O$111=1)*($F$115:$O$115=B67)*$F$114:$O$114)+SUMPRODUCT(($F$111:$O$111=2)*($F$115:$O$115&lt;=B67)*$F$114:$O$114))*(1+$F$8)^(D67-1)</f>
        <v>34871</v>
      </c>
      <c r="W67" s="23">
        <f>U67+V67</f>
        <v>435890</v>
      </c>
      <c r="X67" s="23">
        <f>P67-W67</f>
        <v>-287779</v>
      </c>
      <c r="Y67" s="22">
        <f>MAX(0,X67)</f>
        <v>0</v>
      </c>
      <c r="Z67" s="23">
        <f>Y67</f>
        <v>0</v>
      </c>
      <c r="AA67" s="22">
        <f>SUMPRODUCT(($F$83:$O$83=B67)*($F$87:$O$87=1)*$F$86:$O$86)*(1+$F$8)^(D67-1)</f>
        <v>0</v>
      </c>
      <c r="AB67" s="22">
        <f>SUMPRODUCT(($F$83:$O$83=B67)*($F$87:$O$87=2)*$F$86:$O$86)*(1+$F$8)^(D67-1)</f>
        <v>0</v>
      </c>
      <c r="AC67" s="22">
        <f>SUMPRODUCT(($F$83:$O$83=B67)*($F$87:$O$87=3)*$F$86:$O$86)*(1+$F$8)^(D67-1)</f>
        <v>0</v>
      </c>
      <c r="AD67" s="23">
        <f>SUM(AA67:AC67)</f>
        <v>0</v>
      </c>
      <c r="AE67" s="22">
        <f>MIN(0,X67)</f>
        <v>-287779</v>
      </c>
      <c r="AF67" s="22">
        <f>-SUMIF($F$100:$O$100,B67,$F$103:$O$103)*(1+$F$8)^(D67-1)</f>
        <v>0</v>
      </c>
      <c r="AG67" s="22">
        <f>IF(B67=$F$105,-$F$108*(1+$F$8)^(D67-1),0)</f>
        <v>0</v>
      </c>
      <c r="AH67" s="23">
        <f>SUM(AE67:AG67)</f>
        <v>-287779</v>
      </c>
      <c r="AI67" s="22">
        <f>AL66</f>
        <v>0</v>
      </c>
      <c r="AJ67" s="22">
        <f>AI67*$F$10</f>
        <v>0</v>
      </c>
      <c r="AK67" s="22">
        <f>MAX(0,-(AI67+AJ67+Z67+AD67+AH67))</f>
        <v>287779</v>
      </c>
      <c r="AL67" s="23">
        <f>AI67+AJ67+Z67+AD67+AH67+AK67</f>
        <v>0</v>
      </c>
      <c r="AM67" s="22">
        <f>AL67/(1+$F$8)^D67</f>
        <v>0</v>
      </c>
      <c r="AN67" s="24">
        <f>IF(AI67&lt;=0,0,-AH67/AI67)</f>
        <v>0</v>
      </c>
    </row>
    <row r="68">
      <c r="B68" s="25">
        <f>B67+1</f>
        <v>2073</v>
      </c>
      <c r="C68" s="25">
        <f>C67+1</f>
        <v>93</v>
      </c>
      <c r="D68" s="25">
        <f>D67+1</f>
        <v>48</v>
      </c>
      <c r="E68" s="26" t="str">
        <f>IF(D68&lt;=$F$12,"Acumulación","Retiro")</f>
        <v>Retiro</v>
      </c>
      <c r="F68" s="22">
        <f>IF(D68&lt;=$O$7,$M$7*12*(1+$F$8)^(D68-1),0)</f>
        <v>0</v>
      </c>
      <c r="G68" s="22">
        <f>IF(D68&lt;=$O$8,$M$8*12*(1+$F$8)^(D68-1),0)</f>
        <v>0</v>
      </c>
      <c r="H68" s="22">
        <f>IF(AND($M$9&gt;0,D68&gt;=$N$9,D68&lt;=$O$9),$M$9*12*(1+$F$8)^(D68-1),0)</f>
        <v>80514</v>
      </c>
      <c r="I68" s="22">
        <f>SUMPRODUCT(($F$98:$O$98&gt;=B68)*$F$97:$O$97)*12*(1+$F$8)^(D68-1)</f>
        <v>0</v>
      </c>
      <c r="J68" s="22">
        <f>IF(AND($M$10&gt;0,D68&gt;=$N$10),$M$10*12*(1+$F$8)^($N$10-1)*(1+$F$9)^(D68-$N$10),0)</f>
        <v>58311</v>
      </c>
      <c r="K68" s="22">
        <f>'Fondos de pensión'!T66</f>
        <v>12885</v>
      </c>
      <c r="L68" s="23">
        <f>SUM(F68:K68)</f>
        <v>151710</v>
      </c>
      <c r="M68" s="22">
        <f>SUMIF($F$78:$O$78,B68,$F$81:$O$81)*(1+$F$8)^(D68-1)</f>
        <v>0</v>
      </c>
      <c r="N68" s="22">
        <f>'Fondos de pensión'!S66</f>
        <v>0</v>
      </c>
      <c r="O68" s="23">
        <f>SUM(M68:N68)</f>
        <v>0</v>
      </c>
      <c r="P68" s="23">
        <f>L68+O68</f>
        <v>151710</v>
      </c>
      <c r="Q68" s="22">
        <f>$V$7*12*(1+$F$8)^(D68-1)*IF(D68&gt;$F$12,$V$8,1)</f>
        <v>398543</v>
      </c>
      <c r="R68" s="22">
        <f>SUMPRODUCT(($F$89:$O$89&lt;=B68)*($F$89:$O$89+$F$90:$O$90&gt;B68)*$F$93:$O$93)*(1+$F$8)^(D68-1)</f>
        <v>0</v>
      </c>
      <c r="S68" s="22">
        <f>$V$10*(1+$F$8)^(D68-1)</f>
        <v>18116</v>
      </c>
      <c r="T68" s="22">
        <f>IF(D68&lt;=$W$11,$V$11*12,0)+SUMPRODUCT(($F$123:$O$123&gt;=B68)*$F$120:$O$120)*12</f>
        <v>0</v>
      </c>
      <c r="U68" s="23">
        <f>SUM(Q68:T68)</f>
        <v>416658</v>
      </c>
      <c r="V68" s="23">
        <f>(SUMPRODUCT(($F$111:$O$111=1)*($F$115:$O$115=B68)*$F$114:$O$114)+SUMPRODUCT(($F$111:$O$111=2)*($F$115:$O$115&lt;=B68)*$F$114:$O$114))*(1+$F$8)^(D68-1)</f>
        <v>36231</v>
      </c>
      <c r="W68" s="23">
        <f>U68+V68</f>
        <v>452889</v>
      </c>
      <c r="X68" s="23">
        <f>P68-W68</f>
        <v>-301179</v>
      </c>
      <c r="Y68" s="22">
        <f>MAX(0,X68)</f>
        <v>0</v>
      </c>
      <c r="Z68" s="23">
        <f>Y68</f>
        <v>0</v>
      </c>
      <c r="AA68" s="22">
        <f>SUMPRODUCT(($F$83:$O$83=B68)*($F$87:$O$87=1)*$F$86:$O$86)*(1+$F$8)^(D68-1)</f>
        <v>0</v>
      </c>
      <c r="AB68" s="22">
        <f>SUMPRODUCT(($F$83:$O$83=B68)*($F$87:$O$87=2)*$F$86:$O$86)*(1+$F$8)^(D68-1)</f>
        <v>0</v>
      </c>
      <c r="AC68" s="22">
        <f>SUMPRODUCT(($F$83:$O$83=B68)*($F$87:$O$87=3)*$F$86:$O$86)*(1+$F$8)^(D68-1)</f>
        <v>0</v>
      </c>
      <c r="AD68" s="23">
        <f>SUM(AA68:AC68)</f>
        <v>0</v>
      </c>
      <c r="AE68" s="22">
        <f>MIN(0,X68)</f>
        <v>-301179</v>
      </c>
      <c r="AF68" s="22">
        <f>-SUMIF($F$100:$O$100,B68,$F$103:$O$103)*(1+$F$8)^(D68-1)</f>
        <v>0</v>
      </c>
      <c r="AG68" s="22">
        <f>IF(B68=$F$105,-$F$108*(1+$F$8)^(D68-1),0)</f>
        <v>0</v>
      </c>
      <c r="AH68" s="23">
        <f>SUM(AE68:AG68)</f>
        <v>-301179</v>
      </c>
      <c r="AI68" s="22">
        <f>AL67</f>
        <v>0</v>
      </c>
      <c r="AJ68" s="22">
        <f>AI68*$F$10</f>
        <v>0</v>
      </c>
      <c r="AK68" s="22">
        <f>MAX(0,-(AI68+AJ68+Z68+AD68+AH68))</f>
        <v>301179</v>
      </c>
      <c r="AL68" s="23">
        <f>AI68+AJ68+Z68+AD68+AH68+AK68</f>
        <v>0</v>
      </c>
      <c r="AM68" s="22">
        <f>AL68/(1+$F$8)^D68</f>
        <v>0</v>
      </c>
      <c r="AN68" s="24">
        <f>IF(AI68&lt;=0,0,-AH68/AI68)</f>
        <v>0</v>
      </c>
    </row>
    <row r="69">
      <c r="B69" s="25">
        <f>B68+1</f>
        <v>2074</v>
      </c>
      <c r="C69" s="25">
        <f>C68+1</f>
        <v>94</v>
      </c>
      <c r="D69" s="25">
        <f>D68+1</f>
        <v>49</v>
      </c>
      <c r="E69" s="26" t="str">
        <f>IF(D69&lt;=$F$12,"Acumulación","Retiro")</f>
        <v>Retiro</v>
      </c>
      <c r="F69" s="22">
        <f>IF(D69&lt;=$O$7,$M$7*12*(1+$F$8)^(D69-1),0)</f>
        <v>0</v>
      </c>
      <c r="G69" s="22">
        <f>IF(D69&lt;=$O$8,$M$8*12*(1+$F$8)^(D69-1),0)</f>
        <v>0</v>
      </c>
      <c r="H69" s="22">
        <f>IF(AND($M$9&gt;0,D69&gt;=$N$9,D69&lt;=$O$9),$M$9*12*(1+$F$8)^(D69-1),0)</f>
        <v>83654</v>
      </c>
      <c r="I69" s="22">
        <f>SUMPRODUCT(($F$98:$O$98&gt;=B69)*$F$97:$O$97)*12*(1+$F$8)^(D69-1)</f>
        <v>0</v>
      </c>
      <c r="J69" s="22">
        <f>IF(AND($M$10&gt;0,D69&gt;=$N$10),$M$10*12*(1+$F$8)^($N$10-1)*(1+$F$9)^(D69-$N$10),0)</f>
        <v>58894</v>
      </c>
      <c r="K69" s="22">
        <f>'Fondos de pensión'!T67</f>
        <v>12885</v>
      </c>
      <c r="L69" s="23">
        <f>SUM(F69:K69)</f>
        <v>155434</v>
      </c>
      <c r="M69" s="22">
        <f>SUMIF($F$78:$O$78,B69,$F$81:$O$81)*(1+$F$8)^(D69-1)</f>
        <v>0</v>
      </c>
      <c r="N69" s="22">
        <f>'Fondos de pensión'!S67</f>
        <v>0</v>
      </c>
      <c r="O69" s="23">
        <f>SUM(M69:N69)</f>
        <v>0</v>
      </c>
      <c r="P69" s="23">
        <f>L69+O69</f>
        <v>155434</v>
      </c>
      <c r="Q69" s="22">
        <f>$V$7*12*(1+$F$8)^(D69-1)*IF(D69&gt;$F$12,$V$8,1)</f>
        <v>414086</v>
      </c>
      <c r="R69" s="22">
        <f>SUMPRODUCT(($F$89:$O$89&lt;=B69)*($F$89:$O$89+$F$90:$O$90&gt;B69)*$F$93:$O$93)*(1+$F$8)^(D69-1)</f>
        <v>0</v>
      </c>
      <c r="S69" s="22">
        <f>$V$10*(1+$F$8)^(D69-1)</f>
        <v>18822</v>
      </c>
      <c r="T69" s="22">
        <f>IF(D69&lt;=$W$11,$V$11*12,0)+SUMPRODUCT(($F$123:$O$123&gt;=B69)*$F$120:$O$120)*12</f>
        <v>0</v>
      </c>
      <c r="U69" s="23">
        <f>SUM(Q69:T69)</f>
        <v>432908</v>
      </c>
      <c r="V69" s="23">
        <f>(SUMPRODUCT(($F$111:$O$111=1)*($F$115:$O$115=B69)*$F$114:$O$114)+SUMPRODUCT(($F$111:$O$111=2)*($F$115:$O$115&lt;=B69)*$F$114:$O$114))*(1+$F$8)^(D69-1)</f>
        <v>37644</v>
      </c>
      <c r="W69" s="23">
        <f>U69+V69</f>
        <v>470552</v>
      </c>
      <c r="X69" s="23">
        <f>P69-W69</f>
        <v>-315118</v>
      </c>
      <c r="Y69" s="22">
        <f>MAX(0,X69)</f>
        <v>0</v>
      </c>
      <c r="Z69" s="23">
        <f>Y69</f>
        <v>0</v>
      </c>
      <c r="AA69" s="22">
        <f>SUMPRODUCT(($F$83:$O$83=B69)*($F$87:$O$87=1)*$F$86:$O$86)*(1+$F$8)^(D69-1)</f>
        <v>0</v>
      </c>
      <c r="AB69" s="22">
        <f>SUMPRODUCT(($F$83:$O$83=B69)*($F$87:$O$87=2)*$F$86:$O$86)*(1+$F$8)^(D69-1)</f>
        <v>0</v>
      </c>
      <c r="AC69" s="22">
        <f>SUMPRODUCT(($F$83:$O$83=B69)*($F$87:$O$87=3)*$F$86:$O$86)*(1+$F$8)^(D69-1)</f>
        <v>0</v>
      </c>
      <c r="AD69" s="23">
        <f>SUM(AA69:AC69)</f>
        <v>0</v>
      </c>
      <c r="AE69" s="22">
        <f>MIN(0,X69)</f>
        <v>-315118</v>
      </c>
      <c r="AF69" s="22">
        <f>-SUMIF($F$100:$O$100,B69,$F$103:$O$103)*(1+$F$8)^(D69-1)</f>
        <v>0</v>
      </c>
      <c r="AG69" s="22">
        <f>IF(B69=$F$105,-$F$108*(1+$F$8)^(D69-1),0)</f>
        <v>0</v>
      </c>
      <c r="AH69" s="23">
        <f>SUM(AE69:AG69)</f>
        <v>-315118</v>
      </c>
      <c r="AI69" s="22">
        <f>AL68</f>
        <v>0</v>
      </c>
      <c r="AJ69" s="22">
        <f>AI69*$F$10</f>
        <v>0</v>
      </c>
      <c r="AK69" s="22">
        <f>MAX(0,-(AI69+AJ69+Z69+AD69+AH69))</f>
        <v>315118</v>
      </c>
      <c r="AL69" s="23">
        <f>AI69+AJ69+Z69+AD69+AH69+AK69</f>
        <v>0</v>
      </c>
      <c r="AM69" s="22">
        <f>AL69/(1+$F$8)^D69</f>
        <v>0</v>
      </c>
      <c r="AN69" s="24">
        <f>IF(AI69&lt;=0,0,-AH69/AI69)</f>
        <v>0</v>
      </c>
    </row>
    <row r="70">
      <c r="B70" s="25">
        <f>B69+1</f>
        <v>2075</v>
      </c>
      <c r="C70" s="25">
        <f>C69+1</f>
        <v>95</v>
      </c>
      <c r="D70" s="25">
        <f>D69+1</f>
        <v>50</v>
      </c>
      <c r="E70" s="26" t="str">
        <f>IF(D70&lt;=$F$12,"Acumulación","Retiro")</f>
        <v>Retiro</v>
      </c>
      <c r="F70" s="22">
        <f>IF(D70&lt;=$O$7,$M$7*12*(1+$F$8)^(D70-1),0)</f>
        <v>0</v>
      </c>
      <c r="G70" s="22">
        <f>IF(D70&lt;=$O$8,$M$8*12*(1+$F$8)^(D70-1),0)</f>
        <v>0</v>
      </c>
      <c r="H70" s="22">
        <f>IF(AND($M$9&gt;0,D70&gt;=$N$9,D70&lt;=$O$9),$M$9*12*(1+$F$8)^(D70-1),0)</f>
        <v>86916</v>
      </c>
      <c r="I70" s="22">
        <f>SUMPRODUCT(($F$98:$O$98&gt;=B70)*$F$97:$O$97)*12*(1+$F$8)^(D70-1)</f>
        <v>0</v>
      </c>
      <c r="J70" s="22">
        <f>IF(AND($M$10&gt;0,D70&gt;=$N$10),$M$10*12*(1+$F$8)^($N$10-1)*(1+$F$9)^(D70-$N$10),0)</f>
        <v>59483</v>
      </c>
      <c r="K70" s="22">
        <f>'Fondos de pensión'!T68</f>
        <v>12885</v>
      </c>
      <c r="L70" s="23">
        <f>SUM(F70:K70)</f>
        <v>159285</v>
      </c>
      <c r="M70" s="22">
        <f>SUMIF($F$78:$O$78,B70,$F$81:$O$81)*(1+$F$8)^(D70-1)</f>
        <v>0</v>
      </c>
      <c r="N70" s="22">
        <f>'Fondos de pensión'!S68</f>
        <v>0</v>
      </c>
      <c r="O70" s="23">
        <f>SUM(M70:N70)</f>
        <v>0</v>
      </c>
      <c r="P70" s="23">
        <f>L70+O70</f>
        <v>159285</v>
      </c>
      <c r="Q70" s="22">
        <f>$V$7*12*(1+$F$8)^(D70-1)*IF(D70&gt;$F$12,$V$8,1)</f>
        <v>430235</v>
      </c>
      <c r="R70" s="22">
        <f>SUMPRODUCT(($F$89:$O$89&lt;=B70)*($F$89:$O$89+$F$90:$O$90&gt;B70)*$F$93:$O$93)*(1+$F$8)^(D70-1)</f>
        <v>0</v>
      </c>
      <c r="S70" s="22">
        <f>$V$10*(1+$F$8)^(D70-1)</f>
        <v>19556</v>
      </c>
      <c r="T70" s="22">
        <f>IF(D70&lt;=$W$11,$V$11*12,0)+SUMPRODUCT(($F$123:$O$123&gt;=B70)*$F$120:$O$120)*12</f>
        <v>0</v>
      </c>
      <c r="U70" s="23">
        <f>SUM(Q70:T70)</f>
        <v>449791</v>
      </c>
      <c r="V70" s="23">
        <f>(SUMPRODUCT(($F$111:$O$111=1)*($F$115:$O$115=B70)*$F$114:$O$114)+SUMPRODUCT(($F$111:$O$111=2)*($F$115:$O$115&lt;=B70)*$F$114:$O$114))*(1+$F$8)^(D70-1)</f>
        <v>39112</v>
      </c>
      <c r="W70" s="23">
        <f>U70+V70</f>
        <v>488903</v>
      </c>
      <c r="X70" s="23">
        <f>P70-W70</f>
        <v>-329618</v>
      </c>
      <c r="Y70" s="22">
        <f>MAX(0,X70)</f>
        <v>0</v>
      </c>
      <c r="Z70" s="23">
        <f>Y70</f>
        <v>0</v>
      </c>
      <c r="AA70" s="22">
        <f>SUMPRODUCT(($F$83:$O$83=B70)*($F$87:$O$87=1)*$F$86:$O$86)*(1+$F$8)^(D70-1)</f>
        <v>0</v>
      </c>
      <c r="AB70" s="22">
        <f>SUMPRODUCT(($F$83:$O$83=B70)*($F$87:$O$87=2)*$F$86:$O$86)*(1+$F$8)^(D70-1)</f>
        <v>0</v>
      </c>
      <c r="AC70" s="22">
        <f>SUMPRODUCT(($F$83:$O$83=B70)*($F$87:$O$87=3)*$F$86:$O$86)*(1+$F$8)^(D70-1)</f>
        <v>0</v>
      </c>
      <c r="AD70" s="23">
        <f>SUM(AA70:AC70)</f>
        <v>0</v>
      </c>
      <c r="AE70" s="22">
        <f>MIN(0,X70)</f>
        <v>-329618</v>
      </c>
      <c r="AF70" s="22">
        <f>-SUMIF($F$100:$O$100,B70,$F$103:$O$103)*(1+$F$8)^(D70-1)</f>
        <v>0</v>
      </c>
      <c r="AG70" s="22">
        <f>IF(B70=$F$105,-$F$108*(1+$F$8)^(D70-1),0)</f>
        <v>0</v>
      </c>
      <c r="AH70" s="23">
        <f>SUM(AE70:AG70)</f>
        <v>-329618</v>
      </c>
      <c r="AI70" s="22">
        <f>AL69</f>
        <v>0</v>
      </c>
      <c r="AJ70" s="22">
        <f>AI70*$F$10</f>
        <v>0</v>
      </c>
      <c r="AK70" s="22">
        <f>MAX(0,-(AI70+AJ70+Z70+AD70+AH70))</f>
        <v>329618</v>
      </c>
      <c r="AL70" s="23">
        <f>AI70+AJ70+Z70+AD70+AH70+AK70</f>
        <v>0</v>
      </c>
      <c r="AM70" s="22">
        <f>AL70/(1+$F$8)^D70</f>
        <v>0</v>
      </c>
      <c r="AN70" s="24">
        <f>IF(AI70&lt;=0,0,-AH70/AI70)</f>
        <v>0</v>
      </c>
    </row>
    <row r="72" ht="42" customHeight="1">
      <c r="B72" s="29" t="inlineStr">
        <is>
          <t>Flujo neto = ingresos ordinarios + extraordinarios − gastos ordinarios − extraordinarios. El superávit se invierte en el portafolio (inversiones) y el déficit se retira de él. Las desinversiones (ventas de activos) entran al portafolio; las metas pagadas con el portafolio y el primer retiro son retiros directos. El portafolio no baja de cero: si los retiros superan el saldo, la diferencia es gasto no cubierto.</t>
        </is>
      </c>
    </row>
    <row r="74" ht="22" customHeight="1">
      <c r="B74" s="13" t="inlineStr">
        <is>
          <t>Tablas por año · un elemento por columna, en valor de hoy</t>
        </is>
      </c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</row>
    <row r="75">
      <c r="B75" s="21" t="inlineStr">
        <is>
          <t>Elemento</t>
        </is>
      </c>
      <c r="C75" s="21"/>
      <c r="D75" s="21"/>
      <c r="E75" s="21"/>
      <c r="F75" s="27">
        <v>1</v>
      </c>
      <c r="G75" s="27">
        <v>2</v>
      </c>
      <c r="H75" s="27">
        <v>3</v>
      </c>
      <c r="I75" s="27">
        <v>4</v>
      </c>
      <c r="J75" s="27">
        <v>5</v>
      </c>
      <c r="K75" s="27">
        <v>6</v>
      </c>
      <c r="L75" s="27">
        <v>7</v>
      </c>
      <c r="M75" s="27">
        <v>8</v>
      </c>
      <c r="N75" s="27">
        <v>9</v>
      </c>
      <c r="O75" s="27">
        <v>10</v>
      </c>
    </row>
    <row r="76" ht="20" customHeight="1">
      <c r="B76" s="15" t="inlineStr">
        <is>
          <t>Ingresos extraordinarios</t>
        </is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 ht="30" customHeight="1">
      <c r="B77" s="16" t="inlineStr">
        <is>
          <t>N.º y nombre</t>
        </is>
      </c>
      <c r="C77" s="16"/>
      <c r="D77" s="16"/>
      <c r="E77" s="16"/>
      <c r="F77" s="20" t="inlineStr">
        <is>
          <t>1. Bono por antigüedad</t>
        </is>
      </c>
      <c r="G77" s="20" t="inlineStr">
        <is>
          <t>2. Herencia esperada</t>
        </is>
      </c>
      <c r="H77" s="20"/>
      <c r="I77" s="20"/>
      <c r="J77" s="20"/>
      <c r="K77" s="20"/>
      <c r="L77" s="20"/>
      <c r="M77" s="20"/>
      <c r="N77" s="20"/>
      <c r="O77" s="20"/>
    </row>
    <row r="78">
      <c r="B78" s="16" t="inlineStr">
        <is>
          <t>Año</t>
        </is>
      </c>
      <c r="C78" s="16"/>
      <c r="D78" s="16"/>
      <c r="E78" s="16"/>
      <c r="F78" s="19">
        <v>2028</v>
      </c>
      <c r="G78" s="19">
        <v>2032</v>
      </c>
      <c r="H78" s="19"/>
      <c r="I78" s="19"/>
      <c r="J78" s="19"/>
      <c r="K78" s="19"/>
      <c r="L78" s="19"/>
      <c r="M78" s="19"/>
      <c r="N78" s="19"/>
      <c r="O78" s="19"/>
    </row>
    <row r="79">
      <c r="B79" s="16" t="inlineStr">
        <is>
          <t>Monto (declarado)</t>
        </is>
      </c>
      <c r="C79" s="16"/>
      <c r="D79" s="16"/>
      <c r="E79" s="16"/>
      <c r="F79" s="17">
        <v>40000</v>
      </c>
      <c r="G79" s="17">
        <v>120000</v>
      </c>
      <c r="H79" s="17"/>
      <c r="I79" s="17"/>
      <c r="J79" s="17"/>
      <c r="K79" s="17"/>
      <c r="L79" s="17"/>
      <c r="M79" s="17"/>
      <c r="N79" s="17"/>
      <c r="O79" s="17"/>
    </row>
    <row r="80">
      <c r="B80" s="16" t="inlineStr">
        <is>
          <t>Moneda</t>
        </is>
      </c>
      <c r="C80" s="16"/>
      <c r="D80" s="16"/>
      <c r="E80" s="16"/>
      <c r="F80" s="33" t="inlineStr">
        <is>
          <t>USD</t>
        </is>
      </c>
      <c r="G80" s="33" t="inlineStr">
        <is>
          <t>USD</t>
        </is>
      </c>
      <c r="H80" s="33"/>
      <c r="I80" s="33"/>
      <c r="J80" s="33"/>
      <c r="K80" s="33"/>
      <c r="L80" s="33"/>
      <c r="M80" s="33"/>
      <c r="N80" s="33"/>
      <c r="O80" s="33"/>
    </row>
    <row r="81">
      <c r="B81" s="16" t="inlineStr">
        <is>
          <t>Monto en US$</t>
        </is>
      </c>
      <c r="C81" s="16"/>
      <c r="D81" s="16"/>
      <c r="E81" s="16"/>
      <c r="F81" s="22">
        <f>IF(F80="CRC",F79/$F$7,F79)</f>
        <v>40000</v>
      </c>
      <c r="G81" s="22">
        <f>IF(G80="CRC",G79/$F$7,G79)</f>
        <v>120000</v>
      </c>
      <c r="H81" s="22"/>
      <c r="I81" s="22"/>
      <c r="J81" s="22"/>
      <c r="K81" s="22"/>
      <c r="L81" s="22"/>
      <c r="M81" s="22"/>
      <c r="N81" s="22"/>
      <c r="O81" s="22"/>
    </row>
    <row r="82" ht="20" customHeight="1">
      <c r="B82" s="15" t="inlineStr">
        <is>
          <t>Desinversiones (venta de activos)</t>
        </is>
      </c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B83" s="16" t="inlineStr">
        <is>
          <t>Año de la venta</t>
        </is>
      </c>
      <c r="C83" s="16"/>
      <c r="D83" s="16"/>
      <c r="E83" s="16"/>
      <c r="F83" s="19">
        <v>2031</v>
      </c>
      <c r="G83" s="19">
        <v>2033</v>
      </c>
      <c r="H83" s="19"/>
      <c r="I83" s="19"/>
      <c r="J83" s="19"/>
      <c r="K83" s="19"/>
      <c r="L83" s="19"/>
      <c r="M83" s="19"/>
      <c r="N83" s="19"/>
      <c r="O83" s="19"/>
    </row>
    <row r="84">
      <c r="B84" s="16" t="inlineStr">
        <is>
          <t>Monto que entra (declarado)</t>
        </is>
      </c>
      <c r="C84" s="16"/>
      <c r="D84" s="16"/>
      <c r="E84" s="16"/>
      <c r="F84" s="17">
        <v>180000</v>
      </c>
      <c r="G84" s="17">
        <v>150000</v>
      </c>
      <c r="H84" s="17"/>
      <c r="I84" s="17"/>
      <c r="J84" s="17"/>
      <c r="K84" s="17"/>
      <c r="L84" s="17"/>
      <c r="M84" s="17"/>
      <c r="N84" s="17"/>
      <c r="O84" s="17"/>
    </row>
    <row r="85">
      <c r="B85" s="16" t="inlineStr">
        <is>
          <t>Moneda</t>
        </is>
      </c>
      <c r="C85" s="16"/>
      <c r="D85" s="16"/>
      <c r="E85" s="16"/>
      <c r="F85" s="33" t="inlineStr">
        <is>
          <t>USD</t>
        </is>
      </c>
      <c r="G85" s="33" t="inlineStr">
        <is>
          <t>USD</t>
        </is>
      </c>
      <c r="H85" s="33"/>
      <c r="I85" s="33"/>
      <c r="J85" s="33"/>
      <c r="K85" s="33"/>
      <c r="L85" s="33"/>
      <c r="M85" s="33"/>
      <c r="N85" s="33"/>
      <c r="O85" s="33"/>
    </row>
    <row r="86">
      <c r="B86" s="16" t="inlineStr">
        <is>
          <t>Monto que entra en US$</t>
        </is>
      </c>
      <c r="C86" s="16"/>
      <c r="D86" s="16"/>
      <c r="E86" s="16"/>
      <c r="F86" s="22">
        <f>IF(F85="CRC",F84/$F$7,F84)</f>
        <v>180000</v>
      </c>
      <c r="G86" s="22">
        <f>IF(G85="CRC",G84/$F$7,G84)</f>
        <v>150000</v>
      </c>
      <c r="H86" s="22"/>
      <c r="I86" s="22"/>
      <c r="J86" s="22"/>
      <c r="K86" s="22"/>
      <c r="L86" s="22"/>
      <c r="M86" s="22"/>
      <c r="N86" s="22"/>
      <c r="O86" s="22"/>
    </row>
    <row r="87">
      <c r="B87" s="16" t="inlineStr">
        <is>
          <t>Tipo (1 inmueble · 2 empresa · 3 otro)</t>
        </is>
      </c>
      <c r="C87" s="16"/>
      <c r="D87" s="16"/>
      <c r="E87" s="16"/>
      <c r="F87" s="19">
        <v>1</v>
      </c>
      <c r="G87" s="19">
        <v>3</v>
      </c>
      <c r="H87" s="19"/>
      <c r="I87" s="19"/>
      <c r="J87" s="19"/>
      <c r="K87" s="19"/>
      <c r="L87" s="19"/>
      <c r="M87" s="19"/>
      <c r="N87" s="19"/>
      <c r="O87" s="19"/>
    </row>
    <row r="88" ht="20" customHeight="1">
      <c r="B88" s="15" t="inlineStr">
        <is>
          <t>Gastos de dependientes</t>
        </is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B89" s="16" t="inlineStr">
        <is>
          <t>Año de inicio</t>
        </is>
      </c>
      <c r="C89" s="16"/>
      <c r="D89" s="16"/>
      <c r="E89" s="16"/>
      <c r="F89" s="19">
        <v>2030</v>
      </c>
      <c r="G89" s="19"/>
      <c r="H89" s="19"/>
      <c r="I89" s="19"/>
      <c r="J89" s="19"/>
      <c r="K89" s="19"/>
      <c r="L89" s="19"/>
      <c r="M89" s="19"/>
      <c r="N89" s="19"/>
      <c r="O89" s="19"/>
    </row>
    <row r="90">
      <c r="B90" s="16" t="inlineStr">
        <is>
          <t>Años que dura</t>
        </is>
      </c>
      <c r="C90" s="16"/>
      <c r="D90" s="16"/>
      <c r="E90" s="16"/>
      <c r="F90" s="19">
        <v>5</v>
      </c>
      <c r="G90" s="19"/>
      <c r="H90" s="19"/>
      <c r="I90" s="19"/>
      <c r="J90" s="19"/>
      <c r="K90" s="19"/>
      <c r="L90" s="19"/>
      <c r="M90" s="19"/>
      <c r="N90" s="19"/>
      <c r="O90" s="19"/>
    </row>
    <row r="91">
      <c r="B91" s="16" t="inlineStr">
        <is>
          <t>Gasto anual (declarado)</t>
        </is>
      </c>
      <c r="C91" s="16"/>
      <c r="D91" s="16"/>
      <c r="E91" s="16"/>
      <c r="F91" s="17">
        <v>12000</v>
      </c>
      <c r="G91" s="17"/>
      <c r="H91" s="17"/>
      <c r="I91" s="17"/>
      <c r="J91" s="17"/>
      <c r="K91" s="17"/>
      <c r="L91" s="17"/>
      <c r="M91" s="17"/>
      <c r="N91" s="17"/>
      <c r="O91" s="17"/>
    </row>
    <row r="92">
      <c r="B92" s="16" t="inlineStr">
        <is>
          <t>Moneda</t>
        </is>
      </c>
      <c r="C92" s="16"/>
      <c r="D92" s="16"/>
      <c r="E92" s="16"/>
      <c r="F92" s="33" t="inlineStr">
        <is>
          <t>USD</t>
        </is>
      </c>
      <c r="G92" s="33"/>
      <c r="H92" s="33"/>
      <c r="I92" s="33"/>
      <c r="J92" s="33"/>
      <c r="K92" s="33"/>
      <c r="L92" s="33"/>
      <c r="M92" s="33"/>
      <c r="N92" s="33"/>
      <c r="O92" s="33"/>
    </row>
    <row r="93">
      <c r="B93" s="16" t="inlineStr">
        <is>
          <t>Gasto anual en US$</t>
        </is>
      </c>
      <c r="C93" s="16"/>
      <c r="D93" s="16"/>
      <c r="E93" s="16"/>
      <c r="F93" s="22">
        <f>IF(F92="CRC",F91/$F$7,F91)</f>
        <v>12000</v>
      </c>
      <c r="G93" s="22"/>
      <c r="H93" s="22"/>
      <c r="I93" s="22"/>
      <c r="J93" s="22"/>
      <c r="K93" s="22"/>
      <c r="L93" s="22"/>
      <c r="M93" s="22"/>
      <c r="N93" s="22"/>
      <c r="O93" s="22"/>
    </row>
    <row r="94" ht="20" customHeight="1">
      <c r="B94" s="15" t="inlineStr">
        <is>
          <t>Alquileres de inmuebles</t>
        </is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B95" s="16" t="inlineStr">
        <is>
          <t>Alquiler mensual (declarado)</t>
        </is>
      </c>
      <c r="C95" s="16"/>
      <c r="D95" s="16"/>
      <c r="E95" s="16"/>
      <c r="F95" s="17">
        <v>1100</v>
      </c>
      <c r="G95" s="17"/>
      <c r="H95" s="17"/>
      <c r="I95" s="17"/>
      <c r="J95" s="17"/>
      <c r="K95" s="17"/>
      <c r="L95" s="17"/>
      <c r="M95" s="17"/>
      <c r="N95" s="17"/>
      <c r="O95" s="17"/>
    </row>
    <row r="96">
      <c r="B96" s="16" t="inlineStr">
        <is>
          <t>Moneda</t>
        </is>
      </c>
      <c r="C96" s="16"/>
      <c r="D96" s="16"/>
      <c r="E96" s="16"/>
      <c r="F96" s="33" t="inlineStr">
        <is>
          <t>USD</t>
        </is>
      </c>
      <c r="G96" s="33"/>
      <c r="H96" s="33"/>
      <c r="I96" s="33"/>
      <c r="J96" s="33"/>
      <c r="K96" s="33"/>
      <c r="L96" s="33"/>
      <c r="M96" s="33"/>
      <c r="N96" s="33"/>
      <c r="O96" s="33"/>
    </row>
    <row r="97">
      <c r="B97" s="16" t="inlineStr">
        <is>
          <t>Alquiler mensual en US$</t>
        </is>
      </c>
      <c r="C97" s="16"/>
      <c r="D97" s="16"/>
      <c r="E97" s="16"/>
      <c r="F97" s="22">
        <f>IF(F96="CRC",F95/$F$7,F95)</f>
        <v>1100</v>
      </c>
      <c r="G97" s="22"/>
      <c r="H97" s="22"/>
      <c r="I97" s="22"/>
      <c r="J97" s="22"/>
      <c r="K97" s="22"/>
      <c r="L97" s="22"/>
      <c r="M97" s="22"/>
      <c r="N97" s="22"/>
      <c r="O97" s="22"/>
    </row>
    <row r="98">
      <c r="B98" s="16" t="inlineStr">
        <is>
          <t>Último año con alquiler</t>
        </is>
      </c>
      <c r="C98" s="16"/>
      <c r="D98" s="16"/>
      <c r="E98" s="16"/>
      <c r="F98" s="19">
        <v>2030</v>
      </c>
      <c r="G98" s="19"/>
      <c r="H98" s="19"/>
      <c r="I98" s="19"/>
      <c r="J98" s="19"/>
      <c r="K98" s="19"/>
      <c r="L98" s="19"/>
      <c r="M98" s="19"/>
      <c r="N98" s="19"/>
      <c r="O98" s="19"/>
    </row>
    <row r="99" ht="20" customHeight="1">
      <c r="B99" s="15" t="inlineStr">
        <is>
          <t>Metas pagadas con el portafolio</t>
        </is>
      </c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B100" s="16" t="inlineStr">
        <is>
          <t>Año de la meta</t>
        </is>
      </c>
      <c r="C100" s="16"/>
      <c r="D100" s="16"/>
      <c r="E100" s="16"/>
      <c r="F100" s="19">
        <v>2031</v>
      </c>
      <c r="G100" s="19"/>
      <c r="H100" s="19"/>
      <c r="I100" s="19"/>
      <c r="J100" s="19"/>
      <c r="K100" s="19"/>
      <c r="L100" s="19"/>
      <c r="M100" s="19"/>
      <c r="N100" s="19"/>
      <c r="O100" s="19"/>
    </row>
    <row r="101">
      <c r="B101" s="16" t="inlineStr">
        <is>
          <t>Monto de la meta (declarado)</t>
        </is>
      </c>
      <c r="C101" s="16"/>
      <c r="D101" s="16"/>
      <c r="E101" s="16"/>
      <c r="F101" s="17">
        <v>40000</v>
      </c>
      <c r="G101" s="17"/>
      <c r="H101" s="17"/>
      <c r="I101" s="17"/>
      <c r="J101" s="17"/>
      <c r="K101" s="17"/>
      <c r="L101" s="17"/>
      <c r="M101" s="17"/>
      <c r="N101" s="17"/>
      <c r="O101" s="17"/>
    </row>
    <row r="102">
      <c r="B102" s="16" t="inlineStr">
        <is>
          <t>Moneda</t>
        </is>
      </c>
      <c r="C102" s="16"/>
      <c r="D102" s="16"/>
      <c r="E102" s="16"/>
      <c r="F102" s="33" t="inlineStr">
        <is>
          <t>USD</t>
        </is>
      </c>
      <c r="G102" s="33"/>
      <c r="H102" s="33"/>
      <c r="I102" s="33"/>
      <c r="J102" s="33"/>
      <c r="K102" s="33"/>
      <c r="L102" s="33"/>
      <c r="M102" s="33"/>
      <c r="N102" s="33"/>
      <c r="O102" s="33"/>
    </row>
    <row r="103">
      <c r="B103" s="16" t="inlineStr">
        <is>
          <t>Monto de la meta en US$</t>
        </is>
      </c>
      <c r="C103" s="16"/>
      <c r="D103" s="16"/>
      <c r="E103" s="16"/>
      <c r="F103" s="22">
        <f>IF(F102="CRC",F101/$F$7,F101)</f>
        <v>40000</v>
      </c>
      <c r="G103" s="22"/>
      <c r="H103" s="22"/>
      <c r="I103" s="22"/>
      <c r="J103" s="22"/>
      <c r="K103" s="22"/>
      <c r="L103" s="22"/>
      <c r="M103" s="22"/>
      <c r="N103" s="22"/>
      <c r="O103" s="22"/>
    </row>
    <row r="104" ht="20" customHeight="1">
      <c r="B104" s="15" t="inlineStr">
        <is>
          <t>Primer retiro del portafolio</t>
        </is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B105" s="16" t="inlineStr">
        <is>
          <t>Año del primer retiro</t>
        </is>
      </c>
      <c r="C105" s="16"/>
      <c r="D105" s="16"/>
      <c r="E105" s="16"/>
      <c r="F105" s="19">
        <v>2031</v>
      </c>
      <c r="G105" s="19"/>
      <c r="H105" s="19"/>
      <c r="I105" s="19"/>
      <c r="J105" s="19"/>
      <c r="K105" s="19"/>
      <c r="L105" s="19"/>
      <c r="M105" s="19"/>
      <c r="N105" s="19"/>
      <c r="O105" s="19"/>
    </row>
    <row r="106">
      <c r="B106" s="16" t="inlineStr">
        <is>
          <t>Monto del primer retiro (declarado)</t>
        </is>
      </c>
      <c r="C106" s="16"/>
      <c r="D106" s="16"/>
      <c r="E106" s="16"/>
      <c r="F106" s="17">
        <v>50000</v>
      </c>
      <c r="G106" s="17"/>
      <c r="H106" s="17"/>
      <c r="I106" s="17"/>
      <c r="J106" s="17"/>
      <c r="K106" s="17"/>
      <c r="L106" s="17"/>
      <c r="M106" s="17"/>
      <c r="N106" s="17"/>
      <c r="O106" s="17"/>
    </row>
    <row r="107">
      <c r="B107" s="16" t="inlineStr">
        <is>
          <t>Moneda</t>
        </is>
      </c>
      <c r="C107" s="16"/>
      <c r="D107" s="16"/>
      <c r="E107" s="16"/>
      <c r="F107" s="33" t="inlineStr">
        <is>
          <t>USD</t>
        </is>
      </c>
      <c r="G107" s="33"/>
      <c r="H107" s="33"/>
      <c r="I107" s="33"/>
      <c r="J107" s="33"/>
      <c r="K107" s="33"/>
      <c r="L107" s="33"/>
      <c r="M107" s="33"/>
      <c r="N107" s="33"/>
      <c r="O107" s="33"/>
    </row>
    <row r="108">
      <c r="B108" s="16" t="inlineStr">
        <is>
          <t>Monto del primer retiro en US$</t>
        </is>
      </c>
      <c r="C108" s="16"/>
      <c r="D108" s="16"/>
      <c r="E108" s="16"/>
      <c r="F108" s="22">
        <f>IF(F107="CRC",F106/$F$7,F106)</f>
        <v>50000</v>
      </c>
      <c r="G108" s="22"/>
      <c r="H108" s="22"/>
      <c r="I108" s="22"/>
      <c r="J108" s="22"/>
      <c r="K108" s="22"/>
      <c r="L108" s="22"/>
      <c r="M108" s="22"/>
      <c r="N108" s="22"/>
      <c r="O108" s="22"/>
    </row>
    <row r="109" ht="20" customHeight="1">
      <c r="B109" s="15" t="inlineStr">
        <is>
          <t>Gastos extraordinarios</t>
        </is>
      </c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ht="30" customHeight="1">
      <c r="B110" s="16" t="inlineStr">
        <is>
          <t>N.º y nombre</t>
        </is>
      </c>
      <c r="C110" s="16"/>
      <c r="D110" s="16"/>
      <c r="E110" s="16"/>
      <c r="F110" s="20" t="inlineStr">
        <is>
          <t>1. Seguro y marchamo de vehículos</t>
        </is>
      </c>
      <c r="G110" s="20" t="inlineStr">
        <is>
          <t>2. Remodelación de la casa</t>
        </is>
      </c>
      <c r="H110" s="20"/>
      <c r="I110" s="20"/>
      <c r="J110" s="20"/>
      <c r="K110" s="20"/>
      <c r="L110" s="20"/>
      <c r="M110" s="20"/>
      <c r="N110" s="20"/>
      <c r="O110" s="20"/>
    </row>
    <row r="111">
      <c r="B111" s="16" t="inlineStr">
        <is>
          <t>Frecuencia (1 una vez · 2 cada año)</t>
        </is>
      </c>
      <c r="C111" s="16"/>
      <c r="D111" s="16"/>
      <c r="E111" s="16"/>
      <c r="F111" s="19">
        <v>2</v>
      </c>
      <c r="G111" s="19">
        <v>1</v>
      </c>
      <c r="H111" s="19"/>
      <c r="I111" s="19"/>
      <c r="J111" s="19"/>
      <c r="K111" s="19"/>
      <c r="L111" s="19"/>
      <c r="M111" s="19"/>
      <c r="N111" s="19"/>
      <c r="O111" s="19"/>
    </row>
    <row r="112">
      <c r="B112" s="16" t="inlineStr">
        <is>
          <t>Monto (declarado)</t>
        </is>
      </c>
      <c r="C112" s="16"/>
      <c r="D112" s="16"/>
      <c r="E112" s="16"/>
      <c r="F112" s="17">
        <v>6000</v>
      </c>
      <c r="G112" s="17">
        <v>15750000</v>
      </c>
      <c r="H112" s="17"/>
      <c r="I112" s="17"/>
      <c r="J112" s="17"/>
      <c r="K112" s="17"/>
      <c r="L112" s="17"/>
      <c r="M112" s="17"/>
      <c r="N112" s="17"/>
      <c r="O112" s="17"/>
    </row>
    <row r="113">
      <c r="B113" s="16" t="inlineStr">
        <is>
          <t>Moneda</t>
        </is>
      </c>
      <c r="C113" s="16"/>
      <c r="D113" s="16"/>
      <c r="E113" s="16"/>
      <c r="F113" s="33" t="inlineStr">
        <is>
          <t>USD</t>
        </is>
      </c>
      <c r="G113" s="33" t="inlineStr">
        <is>
          <t>CRC</t>
        </is>
      </c>
      <c r="H113" s="33"/>
      <c r="I113" s="33"/>
      <c r="J113" s="33"/>
      <c r="K113" s="33"/>
      <c r="L113" s="33"/>
      <c r="M113" s="33"/>
      <c r="N113" s="33"/>
      <c r="O113" s="33"/>
    </row>
    <row r="114">
      <c r="B114" s="16" t="inlineStr">
        <is>
          <t>Monto en US$</t>
        </is>
      </c>
      <c r="C114" s="16"/>
      <c r="D114" s="16"/>
      <c r="E114" s="16"/>
      <c r="F114" s="22">
        <f>IF(F113="CRC",F112/$F$7,F112)</f>
        <v>6000</v>
      </c>
      <c r="G114" s="22">
        <f>IF(G113="CRC",G112/$F$7,G112)</f>
        <v>35000</v>
      </c>
      <c r="H114" s="22"/>
      <c r="I114" s="22"/>
      <c r="J114" s="22"/>
      <c r="K114" s="22"/>
      <c r="L114" s="22"/>
      <c r="M114" s="22"/>
      <c r="N114" s="22"/>
      <c r="O114" s="22"/>
    </row>
    <row r="115">
      <c r="B115" s="16" t="inlineStr">
        <is>
          <t>Año</t>
        </is>
      </c>
      <c r="C115" s="16"/>
      <c r="D115" s="16"/>
      <c r="E115" s="16"/>
      <c r="F115" s="19">
        <v>2027</v>
      </c>
      <c r="G115" s="19">
        <v>2030</v>
      </c>
      <c r="H115" s="19"/>
      <c r="I115" s="19"/>
      <c r="J115" s="19"/>
      <c r="K115" s="19"/>
      <c r="L115" s="19"/>
      <c r="M115" s="19"/>
      <c r="N115" s="19"/>
      <c r="O115" s="19"/>
    </row>
    <row r="116" ht="20" customHeight="1">
      <c r="B116" s="15" t="inlineStr">
        <is>
          <t>Deudas</t>
        </is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 ht="30" customHeight="1">
      <c r="B117" s="16" t="inlineStr">
        <is>
          <t>N.º y nombre</t>
        </is>
      </c>
      <c r="C117" s="16"/>
      <c r="D117" s="16"/>
      <c r="E117" s="16"/>
      <c r="F117" s="20" t="inlineStr">
        <is>
          <t>1. Préstamo personal</t>
        </is>
      </c>
      <c r="G117" s="20" t="inlineStr">
        <is>
          <t>2. Tarjeta de crédito</t>
        </is>
      </c>
      <c r="H117" s="20"/>
      <c r="I117" s="20"/>
      <c r="J117" s="20"/>
      <c r="K117" s="20"/>
      <c r="L117" s="20"/>
      <c r="M117" s="20"/>
      <c r="N117" s="20"/>
      <c r="O117" s="20"/>
    </row>
    <row r="118">
      <c r="B118" s="16" t="inlineStr">
        <is>
          <t>Moneda</t>
        </is>
      </c>
      <c r="C118" s="16"/>
      <c r="D118" s="16"/>
      <c r="E118" s="16"/>
      <c r="F118" s="33" t="inlineStr">
        <is>
          <t>CRC</t>
        </is>
      </c>
      <c r="G118" s="33" t="inlineStr">
        <is>
          <t>USD</t>
        </is>
      </c>
      <c r="H118" s="33"/>
      <c r="I118" s="33"/>
      <c r="J118" s="33"/>
      <c r="K118" s="33"/>
      <c r="L118" s="33"/>
      <c r="M118" s="33"/>
      <c r="N118" s="33"/>
      <c r="O118" s="33"/>
    </row>
    <row r="119">
      <c r="B119" s="16" t="inlineStr">
        <is>
          <t>Cuota mensual (declarado)</t>
        </is>
      </c>
      <c r="C119" s="16"/>
      <c r="D119" s="16"/>
      <c r="E119" s="16"/>
      <c r="F119" s="17">
        <v>157500</v>
      </c>
      <c r="G119" s="17">
        <v>150</v>
      </c>
      <c r="H119" s="17"/>
      <c r="I119" s="17"/>
      <c r="J119" s="17"/>
      <c r="K119" s="17"/>
      <c r="L119" s="17"/>
      <c r="M119" s="17"/>
      <c r="N119" s="17"/>
      <c r="O119" s="17"/>
    </row>
    <row r="120">
      <c r="B120" s="16" t="inlineStr">
        <is>
          <t>Cuota mensual en US$</t>
        </is>
      </c>
      <c r="C120" s="16"/>
      <c r="D120" s="16"/>
      <c r="E120" s="16"/>
      <c r="F120" s="22">
        <f>IF(F118="CRC",F119/$F$7,F119)</f>
        <v>350</v>
      </c>
      <c r="G120" s="22">
        <f>IF(G118="CRC",G119/$F$7,G119)</f>
        <v>150</v>
      </c>
      <c r="H120" s="22"/>
      <c r="I120" s="22"/>
      <c r="J120" s="22"/>
      <c r="K120" s="22"/>
      <c r="L120" s="22"/>
      <c r="M120" s="22"/>
      <c r="N120" s="22"/>
      <c r="O120" s="22"/>
    </row>
    <row r="121">
      <c r="B121" s="16" t="inlineStr">
        <is>
          <t>Saldo (informativo) (declarado)</t>
        </is>
      </c>
      <c r="C121" s="16"/>
      <c r="D121" s="16"/>
      <c r="E121" s="16"/>
      <c r="F121" s="17">
        <v>5400000</v>
      </c>
      <c r="G121" s="17">
        <v>3000</v>
      </c>
      <c r="H121" s="17"/>
      <c r="I121" s="17"/>
      <c r="J121" s="17"/>
      <c r="K121" s="17"/>
      <c r="L121" s="17"/>
      <c r="M121" s="17"/>
      <c r="N121" s="17"/>
      <c r="O121" s="17"/>
    </row>
    <row r="122">
      <c r="B122" s="16" t="inlineStr">
        <is>
          <t>Saldo (informativo) en US$</t>
        </is>
      </c>
      <c r="C122" s="16"/>
      <c r="D122" s="16"/>
      <c r="E122" s="16"/>
      <c r="F122" s="22">
        <f>IF(F118="CRC",F121/$F$7,F121)</f>
        <v>12000</v>
      </c>
      <c r="G122" s="22">
        <f>IF(G118="CRC",G121/$F$7,G121)</f>
        <v>3000</v>
      </c>
      <c r="H122" s="22"/>
      <c r="I122" s="22"/>
      <c r="J122" s="22"/>
      <c r="K122" s="22"/>
      <c r="L122" s="22"/>
      <c r="M122" s="22"/>
      <c r="N122" s="22"/>
      <c r="O122" s="22"/>
    </row>
    <row r="123">
      <c r="B123" s="16" t="inlineStr">
        <is>
          <t>Último año de pago</t>
        </is>
      </c>
      <c r="C123" s="16"/>
      <c r="D123" s="16"/>
      <c r="E123" s="16"/>
      <c r="F123" s="19">
        <v>2029</v>
      </c>
      <c r="G123" s="19">
        <v>2027</v>
      </c>
      <c r="H123" s="19"/>
      <c r="I123" s="19"/>
      <c r="J123" s="19"/>
      <c r="K123" s="19"/>
      <c r="L123" s="19"/>
      <c r="M123" s="19"/>
      <c r="N123" s="19"/>
      <c r="O123" s="19"/>
    </row>
    <row r="124">
      <c r="B124" s="16" t="inlineStr">
        <is>
          <t>Tasa anual (informativo)</t>
        </is>
      </c>
      <c r="C124" s="16"/>
      <c r="D124" s="16"/>
      <c r="E124" s="16"/>
      <c r="F124" s="18">
        <v>0.11</v>
      </c>
      <c r="G124" s="18">
        <v>0.32</v>
      </c>
      <c r="H124" s="18"/>
      <c r="I124" s="18"/>
      <c r="J124" s="18"/>
      <c r="K124" s="18"/>
      <c r="L124" s="18"/>
      <c r="M124" s="18"/>
      <c r="N124" s="18"/>
      <c r="O124" s="18"/>
    </row>
  </sheetData>
  <mergeCells count="126">
    <mergeCell ref="B74:O74"/>
    <mergeCell ref="B75:E75"/>
    <mergeCell ref="B76:O76"/>
    <mergeCell ref="B77:E77"/>
    <mergeCell ref="B78:E78"/>
    <mergeCell ref="B79:E79"/>
    <mergeCell ref="B80:E80"/>
    <mergeCell ref="B81:E81"/>
    <mergeCell ref="B82:O82"/>
    <mergeCell ref="B83:E83"/>
    <mergeCell ref="B84:E84"/>
    <mergeCell ref="B85:E85"/>
    <mergeCell ref="B86:E86"/>
    <mergeCell ref="B87:E87"/>
    <mergeCell ref="B88:O88"/>
    <mergeCell ref="B89:E89"/>
    <mergeCell ref="B90:E90"/>
    <mergeCell ref="B91:E91"/>
    <mergeCell ref="B92:E92"/>
    <mergeCell ref="B93:E93"/>
    <mergeCell ref="B94:O94"/>
    <mergeCell ref="B95:E95"/>
    <mergeCell ref="B96:E96"/>
    <mergeCell ref="B97:E97"/>
    <mergeCell ref="B98:E98"/>
    <mergeCell ref="B99:O99"/>
    <mergeCell ref="B100:E100"/>
    <mergeCell ref="B101:E101"/>
    <mergeCell ref="B102:E102"/>
    <mergeCell ref="B103:E103"/>
    <mergeCell ref="B104:O104"/>
    <mergeCell ref="B105:E105"/>
    <mergeCell ref="B106:E106"/>
    <mergeCell ref="B107:E107"/>
    <mergeCell ref="B108:E108"/>
    <mergeCell ref="B109:O109"/>
    <mergeCell ref="B110:E110"/>
    <mergeCell ref="B111:E111"/>
    <mergeCell ref="B112:E112"/>
    <mergeCell ref="B113:E113"/>
    <mergeCell ref="B114:E114"/>
    <mergeCell ref="B115:E115"/>
    <mergeCell ref="B116:O116"/>
    <mergeCell ref="B117:E117"/>
    <mergeCell ref="B118:E118"/>
    <mergeCell ref="B119:E119"/>
    <mergeCell ref="B120:E120"/>
    <mergeCell ref="B121:E121"/>
    <mergeCell ref="B122:E122"/>
    <mergeCell ref="B123:E123"/>
    <mergeCell ref="B124:E124"/>
    <mergeCell ref="B4:F4"/>
    <mergeCell ref="H4:O4"/>
    <mergeCell ref="Q4:W4"/>
    <mergeCell ref="Y4:AD4"/>
    <mergeCell ref="AF4:AN4"/>
    <mergeCell ref="B6:F6"/>
    <mergeCell ref="B7:E7"/>
    <mergeCell ref="B8:E8"/>
    <mergeCell ref="B9:E9"/>
    <mergeCell ref="B10:E10"/>
    <mergeCell ref="B11:F11"/>
    <mergeCell ref="B12:E12"/>
    <mergeCell ref="B13:E13"/>
    <mergeCell ref="H6:O6"/>
    <mergeCell ref="H7:J7"/>
    <mergeCell ref="H8:J8"/>
    <mergeCell ref="H9:J9"/>
    <mergeCell ref="H10:J10"/>
    <mergeCell ref="H11:J11"/>
    <mergeCell ref="H12:J12"/>
    <mergeCell ref="K12:M12"/>
    <mergeCell ref="H13:O13"/>
    <mergeCell ref="H14:J14"/>
    <mergeCell ref="H15:J15"/>
    <mergeCell ref="K15:M15"/>
    <mergeCell ref="Q6:W6"/>
    <mergeCell ref="Q7:S7"/>
    <mergeCell ref="Q8:S8"/>
    <mergeCell ref="Q9:S9"/>
    <mergeCell ref="Q10:S10"/>
    <mergeCell ref="Q11:S11"/>
    <mergeCell ref="Q12:S12"/>
    <mergeCell ref="Q13:W13"/>
    <mergeCell ref="Q14:S14"/>
    <mergeCell ref="Y6:AD6"/>
    <mergeCell ref="Y7:AA7"/>
    <mergeCell ref="Y8:AA8"/>
    <mergeCell ref="Y9:AD9"/>
    <mergeCell ref="Y10:AA10"/>
    <mergeCell ref="Y11:AA11"/>
    <mergeCell ref="Y12:AA12"/>
    <mergeCell ref="Y13:AD13"/>
    <mergeCell ref="Y14:AA14"/>
    <mergeCell ref="Y15:AA15"/>
    <mergeCell ref="B18:AN18"/>
    <mergeCell ref="B19:E19"/>
    <mergeCell ref="F19:L19"/>
    <mergeCell ref="M19:O19"/>
    <mergeCell ref="Q19:U19"/>
    <mergeCell ref="Y19:Z19"/>
    <mergeCell ref="AA19:AD19"/>
    <mergeCell ref="AE19:AH19"/>
    <mergeCell ref="AI19:AN19"/>
    <mergeCell ref="B72:P72"/>
    <mergeCell ref="AF6:AI6"/>
    <mergeCell ref="AF7:AH7"/>
    <mergeCell ref="AF8:AH8"/>
    <mergeCell ref="AF9:AH9"/>
    <mergeCell ref="AF10:AH10"/>
    <mergeCell ref="AF11:AH11"/>
    <mergeCell ref="AK6:AN6"/>
    <mergeCell ref="AK7:AM7"/>
    <mergeCell ref="AK8:AM8"/>
    <mergeCell ref="AK9:AM9"/>
    <mergeCell ref="AK10:AM10"/>
    <mergeCell ref="AK11:AM11"/>
    <mergeCell ref="AK12:AM12"/>
    <mergeCell ref="AK13:AM13"/>
    <mergeCell ref="AK14:AM14"/>
    <mergeCell ref="AK15:AM15"/>
    <mergeCell ref="AK16:AM16"/>
    <mergeCell ref="AF12:AI12"/>
    <mergeCell ref="AF13:AH13"/>
    <mergeCell ref="AF14:AH14"/>
    <mergeCell ref="AF15:AH15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Componente</t>
        </is>
      </c>
      <c r="V1" t="inlineStr">
        <is>
          <t>Cliente</t>
        </is>
      </c>
      <c r="W1" t="inlineStr">
        <is>
          <t>Capacidad financiera</t>
        </is>
      </c>
    </row>
    <row r="2">
      <c r="A2" t="inlineStr">
        <is>
          <t>Renta variable</t>
        </is>
      </c>
      <c r="B2" s="4">
        <v>0.4</v>
      </c>
      <c r="C2" s="4">
        <v>0.802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Perfil de riesgo (3,9)</t>
        </is>
      </c>
      <c r="V2" s="8">
        <v>3.9</v>
      </c>
      <c r="W2" s="8">
        <v>3.1</v>
      </c>
    </row>
    <row r="3">
      <c r="A3" t="inlineStr">
        <is>
          <t>Renta fija</t>
        </is>
      </c>
      <c r="B3" s="4">
        <v>0.425</v>
      </c>
      <c r="C3" s="4">
        <v>0.14800000000000002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Ingresos totales (5,0)</t>
        </is>
      </c>
      <c r="V3" s="8">
        <v>5</v>
      </c>
      <c r="W3" s="8">
        <v>3.1</v>
      </c>
    </row>
    <row r="4">
      <c r="A4" t="inlineStr">
        <is>
          <t>Efectivo</t>
        </is>
      </c>
      <c r="B4" s="4">
        <v>0.175</v>
      </c>
      <c r="C4" s="4">
        <v>0.05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Gastos totales (3,3)</t>
        </is>
      </c>
      <c r="V4" s="8">
        <v>3.3</v>
      </c>
      <c r="W4" s="8">
        <v>3.1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Inversiones (6,7)</t>
        </is>
      </c>
      <c r="V5" s="8">
        <v>6.7</v>
      </c>
      <c r="W5" s="8">
        <v>3.1</v>
      </c>
    </row>
    <row r="6">
      <c r="A6" t="inlineStr">
        <is>
          <t>Perfil de riesgo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Desinversiones (3,3)</t>
        </is>
      </c>
      <c r="V6" s="8">
        <v>3.3</v>
      </c>
      <c r="W6" s="8">
        <v>3.1</v>
      </c>
    </row>
    <row r="7">
      <c r="A7" t="inlineStr">
        <is>
          <t>Cliente de ejemplo · Moderado conservador</t>
        </is>
      </c>
      <c r="B7" s="8">
        <v>3.09</v>
      </c>
      <c r="C7" s="8">
        <v>4.69</v>
      </c>
      <c r="E7" s="4">
        <v>0.060962</v>
      </c>
      <c r="F7" s="4">
        <v>0.05125</v>
      </c>
      <c r="H7" t="inlineStr">
        <is>
          <t>Cartera asignada</t>
        </is>
      </c>
      <c r="I7" s="4">
        <v>0.085777</v>
      </c>
      <c r="J7" s="4">
        <v>0.06</v>
      </c>
      <c r="U7" t="inlineStr">
        <is>
          <t>Tamaño del portafolio (0,0)</t>
        </is>
      </c>
      <c r="V7" s="8">
        <v>0</v>
      </c>
      <c r="W7" s="8">
        <v>3.1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0.156271</v>
      </c>
      <c r="J8" s="4">
        <v>0.07577</v>
      </c>
      <c r="U8" t="inlineStr">
        <is>
          <t>Horizonte (0,0)</t>
        </is>
      </c>
      <c r="V8" s="8">
        <v>0</v>
      </c>
      <c r="W8" s="8">
        <v>3.1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0.07577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0.156271</v>
      </c>
      <c r="J10" s="4">
        <v>0.07577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0.156271</v>
      </c>
      <c r="J11" s="4">
        <v>0</v>
      </c>
    </row>
    <row r="12">
      <c r="A12" t="inlineStr">
        <is>
          <t>Moderado agresivo</t>
        </is>
      </c>
      <c r="B12">
        <v>7</v>
      </c>
      <c r="C12">
        <v>7</v>
      </c>
      <c r="E12" s="4">
        <v>0.063951</v>
      </c>
      <c r="F12" s="4">
        <v>0.0525</v>
      </c>
    </row>
    <row r="13">
      <c r="A13" t="inlineStr">
        <is>
          <t>Agresivo</t>
        </is>
      </c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xSplit="3" topLeftCell="D1" activePane="topRight" state="frozen"/>
    </sheetView>
  </sheetViews>
  <cols>
    <col width="2" customWidth="1" min="1" max="1"/>
    <col width="20" customWidth="1" min="2" max="2"/>
    <col width="15" customWidth="1" min="3" max="3"/>
    <col width="15" customWidth="1" min="4" max="4"/>
    <col width="20" customWidth="1" min="5" max="5"/>
    <col width="15" customWidth="1" min="6" max="6"/>
    <col width="15" customWidth="1" min="7" max="7"/>
    <col width="2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2" customWidth="1" min="15" max="15"/>
    <col width="15" customWidth="1" min="16" max="16"/>
    <col width="12" customWidth="1" min="17" max="17"/>
    <col width="16" customWidth="1" min="18" max="18"/>
    <col width="16" customWidth="1" min="19" max="19"/>
    <col width="16" customWidth="1" min="20" max="20"/>
  </cols>
  <sheetData>
    <row r="1" ht="24" customHeight="1">
      <c r="B1" s="11" t="inlineStr">
        <is>
          <t>Fondos de pensión complementaria</t>
        </is>
      </c>
    </row>
    <row r="2" ht="42" customHeight="1">
      <c r="B2" s="29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 ht="20" customHeight="1">
      <c r="B4" s="13" t="inlineStr">
        <is>
          <t>Supuestos</t>
        </is>
      </c>
      <c r="C4" s="13"/>
      <c r="D4" s="13"/>
      <c r="E4" s="13"/>
    </row>
    <row r="5">
      <c r="B5" s="16" t="inlineStr">
        <is>
          <t>Rendimiento anual de los fondos</t>
        </is>
      </c>
      <c r="C5" s="16"/>
      <c r="D5" s="16"/>
      <c r="E5" s="18">
        <v>0.06</v>
      </c>
    </row>
    <row r="6">
      <c r="B6" s="16" t="inlineStr">
        <is>
          <t>Crecimiento anual de los aportes (inflación)</t>
        </is>
      </c>
      <c r="C6" s="16"/>
      <c r="D6" s="16"/>
      <c r="E6" s="24">
        <f>'Proyección'!$F$8</f>
        <v>0.039</v>
      </c>
    </row>
    <row r="7">
      <c r="B7" s="16" t="inlineStr">
        <is>
          <t>Años de aportes, hasta la independencia financiera</t>
        </is>
      </c>
      <c r="C7" s="16"/>
      <c r="D7" s="16"/>
      <c r="E7" s="19">
        <v>14</v>
      </c>
    </row>
    <row r="8">
      <c r="B8" s="16" t="inlineStr">
        <is>
          <t>Período de la independencia financiera</t>
        </is>
      </c>
      <c r="C8" s="16"/>
      <c r="D8" s="16"/>
      <c r="E8" s="25">
        <f>E7+1</f>
        <v>15</v>
      </c>
    </row>
    <row r="9">
      <c r="B9" s="16" t="inlineStr">
        <is>
          <t>Edad actual del cliente</t>
        </is>
      </c>
      <c r="C9" s="16"/>
      <c r="D9" s="16"/>
      <c r="E9" s="25">
        <f>'Proyección'!$C$21</f>
        <v>46</v>
      </c>
    </row>
    <row r="11" ht="44" customHeight="1">
      <c r="B11" s="21" t="inlineStr">
        <is>
          <t>Fondo</t>
        </is>
      </c>
      <c r="C11" s="21" t="inlineStr">
        <is>
          <t>Saldo actual (US$)</t>
        </is>
      </c>
      <c r="D11" s="21" t="inlineStr">
        <is>
          <t>Aporte mensual (US$)</t>
        </is>
      </c>
      <c r="E11" s="21" t="inlineStr">
        <is>
          <t>Origen del aporte</t>
        </is>
      </c>
      <c r="F11" s="21" t="inlineStr">
        <is>
          <t>Período de traslado o de inicio de la pensión</t>
        </is>
      </c>
      <c r="G11" s="21" t="inlineStr">
        <is>
          <t>Año</t>
        </is>
      </c>
      <c r="H11" s="21" t="inlineStr">
        <is>
          <t>Regla de la ley</t>
        </is>
      </c>
      <c r="I11" s="21" t="inlineStr">
        <is>
          <t>Edad final de la renta</t>
        </is>
      </c>
      <c r="J11" s="21" t="inlineStr">
        <is>
          <t>Aportes acumulados</t>
        </is>
      </c>
      <c r="K11" s="21" t="inlineStr">
        <is>
          <t>Rendimientos acumulados</t>
        </is>
      </c>
      <c r="L11" s="21" t="inlineStr">
        <is>
          <t>Trasladado al portafolio</t>
        </is>
      </c>
      <c r="M11" s="21" t="inlineStr">
        <is>
          <t>Pensión del ROP pagada</t>
        </is>
      </c>
      <c r="N11" s="21" t="inlineStr">
        <is>
          <t>Saldo declarado</t>
        </is>
      </c>
      <c r="O11" s="21" t="inlineStr">
        <is>
          <t>Moneda del saldo</t>
        </is>
      </c>
      <c r="P11" s="21" t="inlineStr">
        <is>
          <t>Aporte declarado</t>
        </is>
      </c>
      <c r="Q11" s="21" t="inlineStr">
        <is>
          <t>Moneda del aporte</t>
        </is>
      </c>
    </row>
    <row r="12" ht="32" customHeight="1">
      <c r="B12" s="16" t="inlineStr">
        <is>
          <t>ROP</t>
        </is>
      </c>
      <c r="C12" s="22">
        <f>IF(O12="CRC",N12/'Proyección'!$F$7,N12)</f>
        <v>26666.666666666668</v>
      </c>
      <c r="D12" s="22">
        <f>'Proyección'!$M$7*0.0425</f>
        <v>255.00000000000003</v>
      </c>
      <c r="E12" s="30" t="inlineStr">
        <is>
          <t>Estimado: 4.25% del salario</t>
        </is>
      </c>
      <c r="F12" s="25">
        <f>'Proyección'!$N$10</f>
        <v>20</v>
      </c>
      <c r="G12" s="25">
        <f>'Proyección'!$B$21+F12-1</f>
        <v>2045</v>
      </c>
      <c r="H12" s="30" t="inlineStr">
        <is>
          <t>Pensión mensual: retiro programado</t>
        </is>
      </c>
      <c r="I12" s="25">
        <v>100</v>
      </c>
      <c r="J12" s="22">
        <f>SUM(E19:E68)</f>
        <v>55591</v>
      </c>
      <c r="K12" s="22">
        <f>SUM(F19:F68)</f>
        <v>371471</v>
      </c>
      <c r="L12" s="22">
        <v>0</v>
      </c>
      <c r="M12" s="22">
        <f>SUM(G19:G68)</f>
        <v>399450</v>
      </c>
      <c r="N12" s="17">
        <v>12000000</v>
      </c>
      <c r="O12" s="20" t="inlineStr">
        <is>
          <t>CRC</t>
        </is>
      </c>
      <c r="P12" s="16"/>
      <c r="Q12" s="16"/>
    </row>
    <row r="13" ht="32" customHeight="1">
      <c r="B13" s="16" t="inlineStr">
        <is>
          <t>FCL</t>
        </is>
      </c>
      <c r="C13" s="22">
        <f>IF(O13="CRC",N13/'Proyección'!$F$7,N13)</f>
        <v>26666.666666666668</v>
      </c>
      <c r="D13" s="22">
        <f>'Proyección'!$M$7*0.015</f>
        <v>90</v>
      </c>
      <c r="E13" s="30" t="inlineStr">
        <is>
          <t>Estimado: 1.5% del salario</t>
        </is>
      </c>
      <c r="F13" s="25">
        <f>$E$8</f>
        <v>15</v>
      </c>
      <c r="G13" s="25">
        <f>'Proyección'!$B$21+F13-1</f>
        <v>2040</v>
      </c>
      <c r="H13" s="30" t="inlineStr">
        <is>
          <t>Al terminar la relación laboral</t>
        </is>
      </c>
      <c r="J13" s="22">
        <f>SUM(J19:J68)</f>
        <v>19620</v>
      </c>
      <c r="K13" s="22">
        <f>SUM(K19:K68)</f>
        <v>47735</v>
      </c>
      <c r="L13" s="22">
        <f>SUM(L19:L68)</f>
        <v>94022</v>
      </c>
      <c r="M13" s="22">
        <v>0</v>
      </c>
      <c r="N13" s="17">
        <v>12000000</v>
      </c>
      <c r="O13" s="20" t="inlineStr">
        <is>
          <t>CRC</t>
        </is>
      </c>
      <c r="P13" s="16"/>
      <c r="Q13" s="16"/>
    </row>
    <row r="14" ht="32" customHeight="1">
      <c r="B14" s="16" t="inlineStr">
        <is>
          <t>Pensión voluntaria</t>
        </is>
      </c>
      <c r="C14" s="22">
        <f>IF(O14="CRC",N14/'Proyección'!$F$7,N14)</f>
        <v>26666.666666666668</v>
      </c>
      <c r="D14" s="22">
        <f>IF(Q14="CRC",P14/'Proyección'!$F$7,P14)</f>
        <v>333.3333333333333</v>
      </c>
      <c r="E14" s="30" t="inlineStr">
        <is>
          <t>Declarado por el cliente</t>
        </is>
      </c>
      <c r="F14" s="25">
        <f>MAX(6,57-$E$9+1)</f>
        <v>12</v>
      </c>
      <c r="G14" s="25">
        <f>'Proyección'!$B$21+F14-1</f>
        <v>2037</v>
      </c>
      <c r="H14" s="30" t="inlineStr">
        <is>
          <t>Desde los 57 años</t>
        </is>
      </c>
      <c r="J14" s="22">
        <f>SUM(O19:O68)</f>
        <v>72668</v>
      </c>
      <c r="K14" s="22">
        <f>SUM(P19:P68)</f>
        <v>50227</v>
      </c>
      <c r="L14" s="22">
        <f>SUM(Q19:Q68)</f>
        <v>149561</v>
      </c>
      <c r="M14" s="22">
        <v>0</v>
      </c>
      <c r="N14" s="17">
        <v>12000000</v>
      </c>
      <c r="O14" s="20" t="inlineStr">
        <is>
          <t>CRC</t>
        </is>
      </c>
      <c r="P14" s="17">
        <v>150000</v>
      </c>
      <c r="Q14" s="20" t="inlineStr">
        <is>
          <t>CRC</t>
        </is>
      </c>
    </row>
    <row r="17" ht="20" customHeight="1">
      <c r="B17" s="14" t="inlineStr">
        <is>
          <t>Evolución anual</t>
        </is>
      </c>
      <c r="C17" s="14"/>
      <c r="D17" s="14" t="inlineStr">
        <is>
          <t>ROP</t>
        </is>
      </c>
      <c r="E17" s="14"/>
      <c r="F17" s="14"/>
      <c r="G17" s="14"/>
      <c r="H17" s="14"/>
      <c r="I17" s="14" t="inlineStr">
        <is>
          <t>FCL</t>
        </is>
      </c>
      <c r="J17" s="14"/>
      <c r="K17" s="14"/>
      <c r="L17" s="14"/>
      <c r="M17" s="14"/>
      <c r="N17" s="14" t="inlineStr">
        <is>
          <t>Pensión voluntaria</t>
        </is>
      </c>
      <c r="O17" s="14"/>
      <c r="P17" s="14"/>
      <c r="Q17" s="14"/>
      <c r="R17" s="14"/>
      <c r="S17" s="14" t="inlineStr">
        <is>
          <t>Total</t>
        </is>
      </c>
      <c r="T17" s="14"/>
    </row>
    <row r="18" ht="44" customHeight="1">
      <c r="B18" s="21" t="inlineStr">
        <is>
          <t>Período</t>
        </is>
      </c>
      <c r="C18" s="21" t="inlineStr">
        <is>
          <t>Año</t>
        </is>
      </c>
      <c r="D18" s="21" t="inlineStr">
        <is>
          <t>Saldo inicial</t>
        </is>
      </c>
      <c r="E18" s="21" t="inlineStr">
        <is>
          <t>Aportes</t>
        </is>
      </c>
      <c r="F18" s="21" t="inlineStr">
        <is>
          <t>Rendimiento</t>
        </is>
      </c>
      <c r="G18" s="21" t="inlineStr">
        <is>
          <t>Pensión pagada</t>
        </is>
      </c>
      <c r="H18" s="21" t="inlineStr">
        <is>
          <t>Saldo final</t>
        </is>
      </c>
      <c r="I18" s="21" t="inlineStr">
        <is>
          <t>Saldo inicial</t>
        </is>
      </c>
      <c r="J18" s="21" t="inlineStr">
        <is>
          <t>Aportes</t>
        </is>
      </c>
      <c r="K18" s="21" t="inlineStr">
        <is>
          <t>Rendimiento</t>
        </is>
      </c>
      <c r="L18" s="21" t="inlineStr">
        <is>
          <t>Traslado al portafolio</t>
        </is>
      </c>
      <c r="M18" s="21" t="inlineStr">
        <is>
          <t>Saldo final</t>
        </is>
      </c>
      <c r="N18" s="21" t="inlineStr">
        <is>
          <t>Saldo inicial</t>
        </is>
      </c>
      <c r="O18" s="21" t="inlineStr">
        <is>
          <t>Aportes</t>
        </is>
      </c>
      <c r="P18" s="21" t="inlineStr">
        <is>
          <t>Rendimiento</t>
        </is>
      </c>
      <c r="Q18" s="21" t="inlineStr">
        <is>
          <t>Traslado al portafolio</t>
        </is>
      </c>
      <c r="R18" s="21" t="inlineStr">
        <is>
          <t>Saldo final</t>
        </is>
      </c>
      <c r="S18" s="21" t="inlineStr">
        <is>
          <t>Traslado total al portafolio</t>
        </is>
      </c>
      <c r="T18" s="21" t="inlineStr">
        <is>
          <t>Pensión del ROP</t>
        </is>
      </c>
    </row>
    <row r="19">
      <c r="B19" s="25">
        <v>1</v>
      </c>
      <c r="C19" s="25">
        <f>'Proyección'!B21</f>
        <v>2026</v>
      </c>
      <c r="D19" s="22">
        <f>C12</f>
        <v>26667</v>
      </c>
      <c r="E19" s="22">
        <f>IF(B19&lt;=$E$7,$D$12*12*(1+$E$6)^(B19-1),0)</f>
        <v>3060</v>
      </c>
      <c r="F19" s="22">
        <f>D19*$E$5</f>
        <v>1600</v>
      </c>
      <c r="G19" s="22">
        <f>IF(B19&gt;=$F$12,IF(($I$12-$E$9-B19+2)&lt;=1,D19+F19,IF($E$5=0,D19/($I$12-$E$9-B19+2),D19*$E$5/(1-(1+$E$5)^(-($I$12-$E$9-B19+2))))),0)</f>
        <v>0</v>
      </c>
      <c r="H19" s="22">
        <f>D19+E19+F19-G19</f>
        <v>31327</v>
      </c>
      <c r="I19" s="22">
        <f>C13</f>
        <v>26667</v>
      </c>
      <c r="J19" s="22">
        <f>IF(B19&lt;=$E$7,$D$13*12*(1+$E$6)^(B19-1),0)</f>
        <v>1080</v>
      </c>
      <c r="K19" s="22">
        <f>I19*$E$5</f>
        <v>1600</v>
      </c>
      <c r="L19" s="22">
        <f>IF(OR(B19=$F$13,B19=$E$8,B19=50),I19+J19+K19,0)</f>
        <v>0</v>
      </c>
      <c r="M19" s="22">
        <f>I19+J19+K19-L19</f>
        <v>29347</v>
      </c>
      <c r="N19" s="22">
        <f>C14</f>
        <v>26667</v>
      </c>
      <c r="O19" s="22">
        <f>IF(B19&lt;=$E$7,$D$14*12*(1+$E$6)^(B19-1),0)</f>
        <v>4000</v>
      </c>
      <c r="P19" s="22">
        <f>N19*$E$5</f>
        <v>1600</v>
      </c>
      <c r="Q19" s="22">
        <f>IF(OR(B19=$F$14,AND(B19&gt;$F$14,B19=$E$8),B19=50),N19+O19+P19,0)</f>
        <v>0</v>
      </c>
      <c r="R19" s="22">
        <f>N19+O19+P19-Q19</f>
        <v>32267</v>
      </c>
      <c r="S19" s="23">
        <f>L19+Q19</f>
        <v>0</v>
      </c>
      <c r="T19" s="22">
        <f>G19</f>
        <v>0</v>
      </c>
    </row>
    <row r="20">
      <c r="B20" s="25">
        <v>2</v>
      </c>
      <c r="C20" s="25">
        <f>'Proyección'!B22</f>
        <v>2027</v>
      </c>
      <c r="D20" s="22">
        <f>H19</f>
        <v>31327</v>
      </c>
      <c r="E20" s="22">
        <f>IF(B20&lt;=$E$7,$D$12*12*(1+$E$6)^(B20-1),0)</f>
        <v>3179</v>
      </c>
      <c r="F20" s="22">
        <f>D20*$E$5</f>
        <v>1880</v>
      </c>
      <c r="G20" s="22">
        <f>IF(B20&gt;=$F$12,IF(($I$12-$E$9-B20+2)&lt;=1,D20+F20,IF($E$5=0,D20/($I$12-$E$9-B20+2),D20*$E$5/(1-(1+$E$5)^(-($I$12-$E$9-B20+2))))),0)</f>
        <v>0</v>
      </c>
      <c r="H20" s="22">
        <f>D20+E20+F20-G20</f>
        <v>36386</v>
      </c>
      <c r="I20" s="22">
        <f>M19</f>
        <v>29347</v>
      </c>
      <c r="J20" s="22">
        <f>IF(B20&lt;=$E$7,$D$13*12*(1+$E$6)^(B20-1),0)</f>
        <v>1122</v>
      </c>
      <c r="K20" s="22">
        <f>I20*$E$5</f>
        <v>1761</v>
      </c>
      <c r="L20" s="22">
        <f>IF(OR(B20=$F$13,B20=$E$8,B20=50),I20+J20+K20,0)</f>
        <v>0</v>
      </c>
      <c r="M20" s="22">
        <f>I20+J20+K20-L20</f>
        <v>32230</v>
      </c>
      <c r="N20" s="22">
        <f>R19</f>
        <v>32267</v>
      </c>
      <c r="O20" s="22">
        <f>IF(B20&lt;=$E$7,$D$14*12*(1+$E$6)^(B20-1),0)</f>
        <v>4156</v>
      </c>
      <c r="P20" s="22">
        <f>N20*$E$5</f>
        <v>1936</v>
      </c>
      <c r="Q20" s="22">
        <f>IF(OR(B20=$F$14,AND(B20&gt;$F$14,B20=$E$8),B20=50),N20+O20+P20,0)</f>
        <v>0</v>
      </c>
      <c r="R20" s="22">
        <f>N20+O20+P20-Q20</f>
        <v>38359</v>
      </c>
      <c r="S20" s="23">
        <f>L20+Q20</f>
        <v>0</v>
      </c>
      <c r="T20" s="22">
        <f>G20</f>
        <v>0</v>
      </c>
    </row>
    <row r="21">
      <c r="B21" s="25">
        <v>3</v>
      </c>
      <c r="C21" s="25">
        <f>'Proyección'!B23</f>
        <v>2028</v>
      </c>
      <c r="D21" s="22">
        <f>H20</f>
        <v>36386</v>
      </c>
      <c r="E21" s="22">
        <f>IF(B21&lt;=$E$7,$D$12*12*(1+$E$6)^(B21-1),0)</f>
        <v>3303</v>
      </c>
      <c r="F21" s="22">
        <f>D21*$E$5</f>
        <v>2183</v>
      </c>
      <c r="G21" s="22">
        <f>IF(B21&gt;=$F$12,IF(($I$12-$E$9-B21+2)&lt;=1,D21+F21,IF($E$5=0,D21/($I$12-$E$9-B21+2),D21*$E$5/(1-(1+$E$5)^(-($I$12-$E$9-B21+2))))),0)</f>
        <v>0</v>
      </c>
      <c r="H21" s="22">
        <f>D21+E21+F21-G21</f>
        <v>41872</v>
      </c>
      <c r="I21" s="22">
        <f>M20</f>
        <v>32230</v>
      </c>
      <c r="J21" s="22">
        <f>IF(B21&lt;=$E$7,$D$13*12*(1+$E$6)^(B21-1),0)</f>
        <v>1166</v>
      </c>
      <c r="K21" s="22">
        <f>I21*$E$5</f>
        <v>1934</v>
      </c>
      <c r="L21" s="22">
        <f>IF(OR(B21=$F$13,B21=$E$8,B21=50),I21+J21+K21,0)</f>
        <v>0</v>
      </c>
      <c r="M21" s="22">
        <f>I21+J21+K21-L21</f>
        <v>35329</v>
      </c>
      <c r="N21" s="22">
        <f>R20</f>
        <v>38359</v>
      </c>
      <c r="O21" s="22">
        <f>IF(B21&lt;=$E$7,$D$14*12*(1+$E$6)^(B21-1),0)</f>
        <v>4318</v>
      </c>
      <c r="P21" s="22">
        <f>N21*$E$5</f>
        <v>2302</v>
      </c>
      <c r="Q21" s="22">
        <f>IF(OR(B21=$F$14,AND(B21&gt;$F$14,B21=$E$8),B21=50),N21+O21+P21,0)</f>
        <v>0</v>
      </c>
      <c r="R21" s="22">
        <f>N21+O21+P21-Q21</f>
        <v>44978</v>
      </c>
      <c r="S21" s="23">
        <f>L21+Q21</f>
        <v>0</v>
      </c>
      <c r="T21" s="22">
        <f>G21</f>
        <v>0</v>
      </c>
    </row>
    <row r="22">
      <c r="B22" s="25">
        <v>4</v>
      </c>
      <c r="C22" s="25">
        <f>'Proyección'!B24</f>
        <v>2029</v>
      </c>
      <c r="D22" s="22">
        <f>H21</f>
        <v>41872</v>
      </c>
      <c r="E22" s="22">
        <f>IF(B22&lt;=$E$7,$D$12*12*(1+$E$6)^(B22-1),0)</f>
        <v>3432</v>
      </c>
      <c r="F22" s="22">
        <f>D22*$E$5</f>
        <v>2512</v>
      </c>
      <c r="G22" s="22">
        <f>IF(B22&gt;=$F$12,IF(($I$12-$E$9-B22+2)&lt;=1,D22+F22,IF($E$5=0,D22/($I$12-$E$9-B22+2),D22*$E$5/(1-(1+$E$5)^(-($I$12-$E$9-B22+2))))),0)</f>
        <v>0</v>
      </c>
      <c r="H22" s="22">
        <f>D22+E22+F22-G22</f>
        <v>47817</v>
      </c>
      <c r="I22" s="22">
        <f>M21</f>
        <v>35329</v>
      </c>
      <c r="J22" s="22">
        <f>IF(B22&lt;=$E$7,$D$13*12*(1+$E$6)^(B22-1),0)</f>
        <v>1211</v>
      </c>
      <c r="K22" s="22">
        <f>I22*$E$5</f>
        <v>2120</v>
      </c>
      <c r="L22" s="22">
        <f>IF(OR(B22=$F$13,B22=$E$8,B22=50),I22+J22+K22,0)</f>
        <v>0</v>
      </c>
      <c r="M22" s="22">
        <f>I22+J22+K22-L22</f>
        <v>38660</v>
      </c>
      <c r="N22" s="22">
        <f>R21</f>
        <v>44978</v>
      </c>
      <c r="O22" s="22">
        <f>IF(B22&lt;=$E$7,$D$14*12*(1+$E$6)^(B22-1),0)</f>
        <v>4486</v>
      </c>
      <c r="P22" s="22">
        <f>N22*$E$5</f>
        <v>2699</v>
      </c>
      <c r="Q22" s="22">
        <f>IF(OR(B22=$F$14,AND(B22&gt;$F$14,B22=$E$8),B22=50),N22+O22+P22,0)</f>
        <v>0</v>
      </c>
      <c r="R22" s="22">
        <f>N22+O22+P22-Q22</f>
        <v>52163</v>
      </c>
      <c r="S22" s="23">
        <f>L22+Q22</f>
        <v>0</v>
      </c>
      <c r="T22" s="22">
        <f>G22</f>
        <v>0</v>
      </c>
    </row>
    <row r="23">
      <c r="B23" s="25">
        <v>5</v>
      </c>
      <c r="C23" s="25">
        <f>'Proyección'!B25</f>
        <v>2030</v>
      </c>
      <c r="D23" s="22">
        <f>H22</f>
        <v>47817</v>
      </c>
      <c r="E23" s="22">
        <f>IF(B23&lt;=$E$7,$D$12*12*(1+$E$6)^(B23-1),0)</f>
        <v>3566</v>
      </c>
      <c r="F23" s="22">
        <f>D23*$E$5</f>
        <v>2869</v>
      </c>
      <c r="G23" s="22">
        <f>IF(B23&gt;=$F$12,IF(($I$12-$E$9-B23+2)&lt;=1,D23+F23,IF($E$5=0,D23/($I$12-$E$9-B23+2),D23*$E$5/(1-(1+$E$5)^(-($I$12-$E$9-B23+2))))),0)</f>
        <v>0</v>
      </c>
      <c r="H23" s="22">
        <f>D23+E23+F23-G23</f>
        <v>54252</v>
      </c>
      <c r="I23" s="22">
        <f>M22</f>
        <v>38660</v>
      </c>
      <c r="J23" s="22">
        <f>IF(B23&lt;=$E$7,$D$13*12*(1+$E$6)^(B23-1),0)</f>
        <v>1259</v>
      </c>
      <c r="K23" s="22">
        <f>I23*$E$5</f>
        <v>2320</v>
      </c>
      <c r="L23" s="22">
        <f>IF(OR(B23=$F$13,B23=$E$8,B23=50),I23+J23+K23,0)</f>
        <v>0</v>
      </c>
      <c r="M23" s="22">
        <f>I23+J23+K23-L23</f>
        <v>42239</v>
      </c>
      <c r="N23" s="22">
        <f>R22</f>
        <v>52163</v>
      </c>
      <c r="O23" s="22">
        <f>IF(B23&lt;=$E$7,$D$14*12*(1+$E$6)^(B23-1),0)</f>
        <v>4661</v>
      </c>
      <c r="P23" s="22">
        <f>N23*$E$5</f>
        <v>3130</v>
      </c>
      <c r="Q23" s="22">
        <f>IF(OR(B23=$F$14,AND(B23&gt;$F$14,B23=$E$8),B23=50),N23+O23+P23,0)</f>
        <v>0</v>
      </c>
      <c r="R23" s="22">
        <f>N23+O23+P23-Q23</f>
        <v>59955</v>
      </c>
      <c r="S23" s="23">
        <f>L23+Q23</f>
        <v>0</v>
      </c>
      <c r="T23" s="22">
        <f>G23</f>
        <v>0</v>
      </c>
    </row>
    <row r="24">
      <c r="B24" s="25">
        <v>6</v>
      </c>
      <c r="C24" s="25">
        <f>'Proyección'!B26</f>
        <v>2031</v>
      </c>
      <c r="D24" s="22">
        <f>H23</f>
        <v>54252</v>
      </c>
      <c r="E24" s="22">
        <f>IF(B24&lt;=$E$7,$D$12*12*(1+$E$6)^(B24-1),0)</f>
        <v>3705</v>
      </c>
      <c r="F24" s="22">
        <f>D24*$E$5</f>
        <v>3255</v>
      </c>
      <c r="G24" s="22">
        <f>IF(B24&gt;=$F$12,IF(($I$12-$E$9-B24+2)&lt;=1,D24+F24,IF($E$5=0,D24/($I$12-$E$9-B24+2),D24*$E$5/(1-(1+$E$5)^(-($I$12-$E$9-B24+2))))),0)</f>
        <v>0</v>
      </c>
      <c r="H24" s="22">
        <f>D24+E24+F24-G24</f>
        <v>61212</v>
      </c>
      <c r="I24" s="22">
        <f>M23</f>
        <v>42239</v>
      </c>
      <c r="J24" s="22">
        <f>IF(B24&lt;=$E$7,$D$13*12*(1+$E$6)^(B24-1),0)</f>
        <v>1308</v>
      </c>
      <c r="K24" s="22">
        <f>I24*$E$5</f>
        <v>2534</v>
      </c>
      <c r="L24" s="22">
        <f>IF(OR(B24=$F$13,B24=$E$8,B24=50),I24+J24+K24,0)</f>
        <v>0</v>
      </c>
      <c r="M24" s="22">
        <f>I24+J24+K24-L24</f>
        <v>46081</v>
      </c>
      <c r="N24" s="22">
        <f>R23</f>
        <v>59955</v>
      </c>
      <c r="O24" s="22">
        <f>IF(B24&lt;=$E$7,$D$14*12*(1+$E$6)^(B24-1),0)</f>
        <v>4843</v>
      </c>
      <c r="P24" s="22">
        <f>N24*$E$5</f>
        <v>3597</v>
      </c>
      <c r="Q24" s="22">
        <f>IF(OR(B24=$F$14,AND(B24&gt;$F$14,B24=$E$8),B24=50),N24+O24+P24,0)</f>
        <v>0</v>
      </c>
      <c r="R24" s="22">
        <f>N24+O24+P24-Q24</f>
        <v>68395</v>
      </c>
      <c r="S24" s="23">
        <f>L24+Q24</f>
        <v>0</v>
      </c>
      <c r="T24" s="22">
        <f>G24</f>
        <v>0</v>
      </c>
    </row>
    <row r="25">
      <c r="B25" s="25">
        <v>7</v>
      </c>
      <c r="C25" s="25">
        <f>'Proyección'!B27</f>
        <v>2032</v>
      </c>
      <c r="D25" s="22">
        <f>H24</f>
        <v>61212</v>
      </c>
      <c r="E25" s="22">
        <f>IF(B25&lt;=$E$7,$D$12*12*(1+$E$6)^(B25-1),0)</f>
        <v>3850</v>
      </c>
      <c r="F25" s="22">
        <f>D25*$E$5</f>
        <v>3673</v>
      </c>
      <c r="G25" s="22">
        <f>IF(B25&gt;=$F$12,IF(($I$12-$E$9-B25+2)&lt;=1,D25+F25,IF($E$5=0,D25/($I$12-$E$9-B25+2),D25*$E$5/(1-(1+$E$5)^(-($I$12-$E$9-B25+2))))),0)</f>
        <v>0</v>
      </c>
      <c r="H25" s="22">
        <f>D25+E25+F25-G25</f>
        <v>68734</v>
      </c>
      <c r="I25" s="22">
        <f>M24</f>
        <v>46081</v>
      </c>
      <c r="J25" s="22">
        <f>IF(B25&lt;=$E$7,$D$13*12*(1+$E$6)^(B25-1),0)</f>
        <v>1359</v>
      </c>
      <c r="K25" s="22">
        <f>I25*$E$5</f>
        <v>2765</v>
      </c>
      <c r="L25" s="22">
        <f>IF(OR(B25=$F$13,B25=$E$8,B25=50),I25+J25+K25,0)</f>
        <v>0</v>
      </c>
      <c r="M25" s="22">
        <f>I25+J25+K25-L25</f>
        <v>50204</v>
      </c>
      <c r="N25" s="22">
        <f>R24</f>
        <v>68395</v>
      </c>
      <c r="O25" s="22">
        <f>IF(B25&lt;=$E$7,$D$14*12*(1+$E$6)^(B25-1),0)</f>
        <v>5032</v>
      </c>
      <c r="P25" s="22">
        <f>N25*$E$5</f>
        <v>4104</v>
      </c>
      <c r="Q25" s="22">
        <f>IF(OR(B25=$F$14,AND(B25&gt;$F$14,B25=$E$8),B25=50),N25+O25+P25,0)</f>
        <v>0</v>
      </c>
      <c r="R25" s="22">
        <f>N25+O25+P25-Q25</f>
        <v>77531</v>
      </c>
      <c r="S25" s="23">
        <f>L25+Q25</f>
        <v>0</v>
      </c>
      <c r="T25" s="22">
        <f>G25</f>
        <v>0</v>
      </c>
    </row>
    <row r="26">
      <c r="B26" s="25">
        <v>8</v>
      </c>
      <c r="C26" s="25">
        <f>'Proyección'!B28</f>
        <v>2033</v>
      </c>
      <c r="D26" s="22">
        <f>H25</f>
        <v>68734</v>
      </c>
      <c r="E26" s="22">
        <f>IF(B26&lt;=$E$7,$D$12*12*(1+$E$6)^(B26-1),0)</f>
        <v>4000</v>
      </c>
      <c r="F26" s="22">
        <f>D26*$E$5</f>
        <v>4124</v>
      </c>
      <c r="G26" s="22">
        <f>IF(B26&gt;=$F$12,IF(($I$12-$E$9-B26+2)&lt;=1,D26+F26,IF($E$5=0,D26/($I$12-$E$9-B26+2),D26*$E$5/(1-(1+$E$5)^(-($I$12-$E$9-B26+2))))),0)</f>
        <v>0</v>
      </c>
      <c r="H26" s="22">
        <f>D26+E26+F26-G26</f>
        <v>76858</v>
      </c>
      <c r="I26" s="22">
        <f>M25</f>
        <v>50204</v>
      </c>
      <c r="J26" s="22">
        <f>IF(B26&lt;=$E$7,$D$13*12*(1+$E$6)^(B26-1),0)</f>
        <v>1412</v>
      </c>
      <c r="K26" s="22">
        <f>I26*$E$5</f>
        <v>3012</v>
      </c>
      <c r="L26" s="22">
        <f>IF(OR(B26=$F$13,B26=$E$8,B26=50),I26+J26+K26,0)</f>
        <v>0</v>
      </c>
      <c r="M26" s="22">
        <f>I26+J26+K26-L26</f>
        <v>54628</v>
      </c>
      <c r="N26" s="22">
        <f>R25</f>
        <v>77531</v>
      </c>
      <c r="O26" s="22">
        <f>IF(B26&lt;=$E$7,$D$14*12*(1+$E$6)^(B26-1),0)</f>
        <v>5228</v>
      </c>
      <c r="P26" s="22">
        <f>N26*$E$5</f>
        <v>4652</v>
      </c>
      <c r="Q26" s="22">
        <f>IF(OR(B26=$F$14,AND(B26&gt;$F$14,B26=$E$8),B26=50),N26+O26+P26,0)</f>
        <v>0</v>
      </c>
      <c r="R26" s="22">
        <f>N26+O26+P26-Q26</f>
        <v>87411</v>
      </c>
      <c r="S26" s="23">
        <f>L26+Q26</f>
        <v>0</v>
      </c>
      <c r="T26" s="22">
        <f>G26</f>
        <v>0</v>
      </c>
    </row>
    <row r="27">
      <c r="B27" s="25">
        <v>9</v>
      </c>
      <c r="C27" s="25">
        <f>'Proyección'!B29</f>
        <v>2034</v>
      </c>
      <c r="D27" s="22">
        <f>H26</f>
        <v>76858</v>
      </c>
      <c r="E27" s="22">
        <f>IF(B27&lt;=$E$7,$D$12*12*(1+$E$6)^(B27-1),0)</f>
        <v>4156</v>
      </c>
      <c r="F27" s="22">
        <f>D27*$E$5</f>
        <v>4611</v>
      </c>
      <c r="G27" s="22">
        <f>IF(B27&gt;=$F$12,IF(($I$12-$E$9-B27+2)&lt;=1,D27+F27,IF($E$5=0,D27/($I$12-$E$9-B27+2),D27*$E$5/(1-(1+$E$5)^(-($I$12-$E$9-B27+2))))),0)</f>
        <v>0</v>
      </c>
      <c r="H27" s="22">
        <f>D27+E27+F27-G27</f>
        <v>85625</v>
      </c>
      <c r="I27" s="22">
        <f>M26</f>
        <v>54628</v>
      </c>
      <c r="J27" s="22">
        <f>IF(B27&lt;=$E$7,$D$13*12*(1+$E$6)^(B27-1),0)</f>
        <v>1467</v>
      </c>
      <c r="K27" s="22">
        <f>I27*$E$5</f>
        <v>3278</v>
      </c>
      <c r="L27" s="22">
        <f>IF(OR(B27=$F$13,B27=$E$8,B27=50),I27+J27+K27,0)</f>
        <v>0</v>
      </c>
      <c r="M27" s="22">
        <f>I27+J27+K27-L27</f>
        <v>59372</v>
      </c>
      <c r="N27" s="22">
        <f>R26</f>
        <v>87411</v>
      </c>
      <c r="O27" s="22">
        <f>IF(B27&lt;=$E$7,$D$14*12*(1+$E$6)^(B27-1),0)</f>
        <v>5432</v>
      </c>
      <c r="P27" s="22">
        <f>N27*$E$5</f>
        <v>5245</v>
      </c>
      <c r="Q27" s="22">
        <f>IF(OR(B27=$F$14,AND(B27&gt;$F$14,B27=$E$8),B27=50),N27+O27+P27,0)</f>
        <v>0</v>
      </c>
      <c r="R27" s="22">
        <f>N27+O27+P27-Q27</f>
        <v>98088</v>
      </c>
      <c r="S27" s="23">
        <f>L27+Q27</f>
        <v>0</v>
      </c>
      <c r="T27" s="22">
        <f>G27</f>
        <v>0</v>
      </c>
    </row>
    <row r="28">
      <c r="B28" s="25">
        <v>10</v>
      </c>
      <c r="C28" s="25">
        <f>'Proyección'!B30</f>
        <v>2035</v>
      </c>
      <c r="D28" s="22">
        <f>H27</f>
        <v>85625</v>
      </c>
      <c r="E28" s="22">
        <f>IF(B28&lt;=$E$7,$D$12*12*(1+$E$6)^(B28-1),0)</f>
        <v>4318</v>
      </c>
      <c r="F28" s="22">
        <f>D28*$E$5</f>
        <v>5138</v>
      </c>
      <c r="G28" s="22">
        <f>IF(B28&gt;=$F$12,IF(($I$12-$E$9-B28+2)&lt;=1,D28+F28,IF($E$5=0,D28/($I$12-$E$9-B28+2),D28*$E$5/(1-(1+$E$5)^(-($I$12-$E$9-B28+2))))),0)</f>
        <v>0</v>
      </c>
      <c r="H28" s="22">
        <f>D28+E28+F28-G28</f>
        <v>95080</v>
      </c>
      <c r="I28" s="22">
        <f>M27</f>
        <v>59372</v>
      </c>
      <c r="J28" s="22">
        <f>IF(B28&lt;=$E$7,$D$13*12*(1+$E$6)^(B28-1),0)</f>
        <v>1524</v>
      </c>
      <c r="K28" s="22">
        <f>I28*$E$5</f>
        <v>3562</v>
      </c>
      <c r="L28" s="22">
        <f>IF(OR(B28=$F$13,B28=$E$8,B28=50),I28+J28+K28,0)</f>
        <v>0</v>
      </c>
      <c r="M28" s="22">
        <f>I28+J28+K28-L28</f>
        <v>64459</v>
      </c>
      <c r="N28" s="22">
        <f>R27</f>
        <v>98088</v>
      </c>
      <c r="O28" s="22">
        <f>IF(B28&lt;=$E$7,$D$14*12*(1+$E$6)^(B28-1),0)</f>
        <v>5644</v>
      </c>
      <c r="P28" s="22">
        <f>N28*$E$5</f>
        <v>5885</v>
      </c>
      <c r="Q28" s="22">
        <f>IF(OR(B28=$F$14,AND(B28&gt;$F$14,B28=$E$8),B28=50),N28+O28+P28,0)</f>
        <v>0</v>
      </c>
      <c r="R28" s="22">
        <f>N28+O28+P28-Q28</f>
        <v>109618</v>
      </c>
      <c r="S28" s="23">
        <f>L28+Q28</f>
        <v>0</v>
      </c>
      <c r="T28" s="22">
        <f>G28</f>
        <v>0</v>
      </c>
    </row>
    <row r="29">
      <c r="B29" s="25">
        <v>11</v>
      </c>
      <c r="C29" s="25">
        <f>'Proyección'!B31</f>
        <v>2036</v>
      </c>
      <c r="D29" s="22">
        <f>H28</f>
        <v>95080</v>
      </c>
      <c r="E29" s="22">
        <f>IF(B29&lt;=$E$7,$D$12*12*(1+$E$6)^(B29-1),0)</f>
        <v>4486</v>
      </c>
      <c r="F29" s="22">
        <f>D29*$E$5</f>
        <v>5705</v>
      </c>
      <c r="G29" s="22">
        <f>IF(B29&gt;=$F$12,IF(($I$12-$E$9-B29+2)&lt;=1,D29+F29,IF($E$5=0,D29/($I$12-$E$9-B29+2),D29*$E$5/(1-(1+$E$5)^(-($I$12-$E$9-B29+2))))),0)</f>
        <v>0</v>
      </c>
      <c r="H29" s="22">
        <f>D29+E29+F29-G29</f>
        <v>105271</v>
      </c>
      <c r="I29" s="22">
        <f>M28</f>
        <v>64459</v>
      </c>
      <c r="J29" s="22">
        <f>IF(B29&lt;=$E$7,$D$13*12*(1+$E$6)^(B29-1),0)</f>
        <v>1583</v>
      </c>
      <c r="K29" s="22">
        <f>I29*$E$5</f>
        <v>3868</v>
      </c>
      <c r="L29" s="22">
        <f>IF(OR(B29=$F$13,B29=$E$8,B29=50),I29+J29+K29,0)</f>
        <v>0</v>
      </c>
      <c r="M29" s="22">
        <f>I29+J29+K29-L29</f>
        <v>69910</v>
      </c>
      <c r="N29" s="22">
        <f>R28</f>
        <v>109618</v>
      </c>
      <c r="O29" s="22">
        <f>IF(B29&lt;=$E$7,$D$14*12*(1+$E$6)^(B29-1),0)</f>
        <v>5864</v>
      </c>
      <c r="P29" s="22">
        <f>N29*$E$5</f>
        <v>6577</v>
      </c>
      <c r="Q29" s="22">
        <f>IF(OR(B29=$F$14,AND(B29&gt;$F$14,B29=$E$8),B29=50),N29+O29+P29,0)</f>
        <v>0</v>
      </c>
      <c r="R29" s="22">
        <f>N29+O29+P29-Q29</f>
        <v>122059</v>
      </c>
      <c r="S29" s="23">
        <f>L29+Q29</f>
        <v>0</v>
      </c>
      <c r="T29" s="22">
        <f>G29</f>
        <v>0</v>
      </c>
    </row>
    <row r="30">
      <c r="B30" s="25">
        <v>12</v>
      </c>
      <c r="C30" s="25">
        <f>'Proyección'!B32</f>
        <v>2037</v>
      </c>
      <c r="D30" s="22">
        <f>H29</f>
        <v>105271</v>
      </c>
      <c r="E30" s="22">
        <f>IF(B30&lt;=$E$7,$D$12*12*(1+$E$6)^(B30-1),0)</f>
        <v>4661</v>
      </c>
      <c r="F30" s="22">
        <f>D30*$E$5</f>
        <v>6316</v>
      </c>
      <c r="G30" s="22">
        <f>IF(B30&gt;=$F$12,IF(($I$12-$E$9-B30+2)&lt;=1,D30+F30,IF($E$5=0,D30/($I$12-$E$9-B30+2),D30*$E$5/(1-(1+$E$5)^(-($I$12-$E$9-B30+2))))),0)</f>
        <v>0</v>
      </c>
      <c r="H30" s="22">
        <f>D30+E30+F30-G30</f>
        <v>116249</v>
      </c>
      <c r="I30" s="22">
        <f>M29</f>
        <v>69910</v>
      </c>
      <c r="J30" s="22">
        <f>IF(B30&lt;=$E$7,$D$13*12*(1+$E$6)^(B30-1),0)</f>
        <v>1645</v>
      </c>
      <c r="K30" s="22">
        <f>I30*$E$5</f>
        <v>4195</v>
      </c>
      <c r="L30" s="22">
        <f>IF(OR(B30=$F$13,B30=$E$8,B30=50),I30+J30+K30,0)</f>
        <v>0</v>
      </c>
      <c r="M30" s="22">
        <f>I30+J30+K30-L30</f>
        <v>75749</v>
      </c>
      <c r="N30" s="22">
        <f>R29</f>
        <v>122059</v>
      </c>
      <c r="O30" s="22">
        <f>IF(B30&lt;=$E$7,$D$14*12*(1+$E$6)^(B30-1),0)</f>
        <v>6093</v>
      </c>
      <c r="P30" s="22">
        <f>N30*$E$5</f>
        <v>7324</v>
      </c>
      <c r="Q30" s="22">
        <f>IF(OR(B30=$F$14,AND(B30&gt;$F$14,B30=$E$8),B30=50),N30+O30+P30,0)</f>
        <v>135476</v>
      </c>
      <c r="R30" s="22">
        <f>N30+O30+P30-Q30</f>
        <v>0</v>
      </c>
      <c r="S30" s="23">
        <f>L30+Q30</f>
        <v>135476</v>
      </c>
      <c r="T30" s="22">
        <f>G30</f>
        <v>0</v>
      </c>
    </row>
    <row r="31">
      <c r="B31" s="25">
        <v>13</v>
      </c>
      <c r="C31" s="25">
        <f>'Proyección'!B33</f>
        <v>2038</v>
      </c>
      <c r="D31" s="22">
        <f>H30</f>
        <v>116249</v>
      </c>
      <c r="E31" s="22">
        <f>IF(B31&lt;=$E$7,$D$12*12*(1+$E$6)^(B31-1),0)</f>
        <v>4843</v>
      </c>
      <c r="F31" s="22">
        <f>D31*$E$5</f>
        <v>6975</v>
      </c>
      <c r="G31" s="22">
        <f>IF(B31&gt;=$F$12,IF(($I$12-$E$9-B31+2)&lt;=1,D31+F31,IF($E$5=0,D31/($I$12-$E$9-B31+2),D31*$E$5/(1-(1+$E$5)^(-($I$12-$E$9-B31+2))))),0)</f>
        <v>0</v>
      </c>
      <c r="H31" s="22">
        <f>D31+E31+F31-G31</f>
        <v>128067</v>
      </c>
      <c r="I31" s="22">
        <f>M30</f>
        <v>75749</v>
      </c>
      <c r="J31" s="22">
        <f>IF(B31&lt;=$E$7,$D$13*12*(1+$E$6)^(B31-1),0)</f>
        <v>1709</v>
      </c>
      <c r="K31" s="22">
        <f>I31*$E$5</f>
        <v>4545</v>
      </c>
      <c r="L31" s="22">
        <f>IF(OR(B31=$F$13,B31=$E$8,B31=50),I31+J31+K31,0)</f>
        <v>0</v>
      </c>
      <c r="M31" s="22">
        <f>I31+J31+K31-L31</f>
        <v>82003</v>
      </c>
      <c r="N31" s="22">
        <f>R30</f>
        <v>0</v>
      </c>
      <c r="O31" s="22">
        <f>IF(B31&lt;=$E$7,$D$14*12*(1+$E$6)^(B31-1),0)</f>
        <v>6331</v>
      </c>
      <c r="P31" s="22">
        <f>N31*$E$5</f>
        <v>0</v>
      </c>
      <c r="Q31" s="22">
        <f>IF(OR(B31=$F$14,AND(B31&gt;$F$14,B31=$E$8),B31=50),N31+O31+P31,0)</f>
        <v>0</v>
      </c>
      <c r="R31" s="22">
        <f>N31+O31+P31-Q31</f>
        <v>6331</v>
      </c>
      <c r="S31" s="23">
        <f>L31+Q31</f>
        <v>0</v>
      </c>
      <c r="T31" s="22">
        <f>G31</f>
        <v>0</v>
      </c>
    </row>
    <row r="32">
      <c r="B32" s="25">
        <v>14</v>
      </c>
      <c r="C32" s="25">
        <f>'Proyección'!B34</f>
        <v>2039</v>
      </c>
      <c r="D32" s="22">
        <f>H31</f>
        <v>128067</v>
      </c>
      <c r="E32" s="22">
        <f>IF(B32&lt;=$E$7,$D$12*12*(1+$E$6)^(B32-1),0)</f>
        <v>5032</v>
      </c>
      <c r="F32" s="22">
        <f>D32*$E$5</f>
        <v>7684</v>
      </c>
      <c r="G32" s="22">
        <f>IF(B32&gt;=$F$12,IF(($I$12-$E$9-B32+2)&lt;=1,D32+F32,IF($E$5=0,D32/($I$12-$E$9-B32+2),D32*$E$5/(1-(1+$E$5)^(-($I$12-$E$9-B32+2))))),0)</f>
        <v>0</v>
      </c>
      <c r="H32" s="22">
        <f>D32+E32+F32-G32</f>
        <v>140782</v>
      </c>
      <c r="I32" s="22">
        <f>M31</f>
        <v>82003</v>
      </c>
      <c r="J32" s="22">
        <f>IF(B32&lt;=$E$7,$D$13*12*(1+$E$6)^(B32-1),0)</f>
        <v>1776</v>
      </c>
      <c r="K32" s="22">
        <f>I32*$E$5</f>
        <v>4920</v>
      </c>
      <c r="L32" s="22">
        <f>IF(OR(B32=$F$13,B32=$E$8,B32=50),I32+J32+K32,0)</f>
        <v>0</v>
      </c>
      <c r="M32" s="22">
        <f>I32+J32+K32-L32</f>
        <v>88700</v>
      </c>
      <c r="N32" s="22">
        <f>R31</f>
        <v>6331</v>
      </c>
      <c r="O32" s="22">
        <f>IF(B32&lt;=$E$7,$D$14*12*(1+$E$6)^(B32-1),0)</f>
        <v>6578</v>
      </c>
      <c r="P32" s="22">
        <f>N32*$E$5</f>
        <v>380</v>
      </c>
      <c r="Q32" s="22">
        <f>IF(OR(B32=$F$14,AND(B32&gt;$F$14,B32=$E$8),B32=50),N32+O32+P32,0)</f>
        <v>0</v>
      </c>
      <c r="R32" s="22">
        <f>N32+O32+P32-Q32</f>
        <v>13288</v>
      </c>
      <c r="S32" s="23">
        <f>L32+Q32</f>
        <v>0</v>
      </c>
      <c r="T32" s="22">
        <f>G32</f>
        <v>0</v>
      </c>
    </row>
    <row r="33">
      <c r="B33" s="25">
        <v>15</v>
      </c>
      <c r="C33" s="25">
        <f>'Proyección'!B35</f>
        <v>2040</v>
      </c>
      <c r="D33" s="22">
        <f>H32</f>
        <v>140782</v>
      </c>
      <c r="E33" s="22">
        <f>IF(B33&lt;=$E$7,$D$12*12*(1+$E$6)^(B33-1),0)</f>
        <v>0</v>
      </c>
      <c r="F33" s="22">
        <f>D33*$E$5</f>
        <v>8447</v>
      </c>
      <c r="G33" s="22">
        <f>IF(B33&gt;=$F$12,IF(($I$12-$E$9-B33+2)&lt;=1,D33+F33,IF($E$5=0,D33/($I$12-$E$9-B33+2),D33*$E$5/(1-(1+$E$5)^(-($I$12-$E$9-B33+2))))),0)</f>
        <v>0</v>
      </c>
      <c r="H33" s="22">
        <f>D33+E33+F33-G33</f>
        <v>149229</v>
      </c>
      <c r="I33" s="22">
        <f>M32</f>
        <v>88700</v>
      </c>
      <c r="J33" s="22">
        <f>IF(B33&lt;=$E$7,$D$13*12*(1+$E$6)^(B33-1),0)</f>
        <v>0</v>
      </c>
      <c r="K33" s="22">
        <f>I33*$E$5</f>
        <v>5322</v>
      </c>
      <c r="L33" s="22">
        <f>IF(OR(B33=$F$13,B33=$E$8,B33=50),I33+J33+K33,0)</f>
        <v>94022</v>
      </c>
      <c r="M33" s="22">
        <f>I33+J33+K33-L33</f>
        <v>0</v>
      </c>
      <c r="N33" s="22">
        <f>R32</f>
        <v>13288</v>
      </c>
      <c r="O33" s="22">
        <f>IF(B33&lt;=$E$7,$D$14*12*(1+$E$6)^(B33-1),0)</f>
        <v>0</v>
      </c>
      <c r="P33" s="22">
        <f>N33*$E$5</f>
        <v>797</v>
      </c>
      <c r="Q33" s="22">
        <f>IF(OR(B33=$F$14,AND(B33&gt;$F$14,B33=$E$8),B33=50),N33+O33+P33,0)</f>
        <v>14085</v>
      </c>
      <c r="R33" s="22">
        <f>N33+O33+P33-Q33</f>
        <v>0</v>
      </c>
      <c r="S33" s="23">
        <f>L33+Q33</f>
        <v>108107</v>
      </c>
      <c r="T33" s="22">
        <f>G33</f>
        <v>0</v>
      </c>
    </row>
    <row r="34">
      <c r="B34" s="25">
        <v>16</v>
      </c>
      <c r="C34" s="25">
        <f>'Proyección'!B36</f>
        <v>2041</v>
      </c>
      <c r="D34" s="22">
        <f>H33</f>
        <v>149229</v>
      </c>
      <c r="E34" s="22">
        <f>IF(B34&lt;=$E$7,$D$12*12*(1+$E$6)^(B34-1),0)</f>
        <v>0</v>
      </c>
      <c r="F34" s="22">
        <f>D34*$E$5</f>
        <v>8954</v>
      </c>
      <c r="G34" s="22">
        <f>IF(B34&gt;=$F$12,IF(($I$12-$E$9-B34+2)&lt;=1,D34+F34,IF($E$5=0,D34/($I$12-$E$9-B34+2),D34*$E$5/(1-(1+$E$5)^(-($I$12-$E$9-B34+2))))),0)</f>
        <v>0</v>
      </c>
      <c r="H34" s="22">
        <f>D34+E34+F34-G34</f>
        <v>158183</v>
      </c>
      <c r="I34" s="22">
        <f>M33</f>
        <v>0</v>
      </c>
      <c r="J34" s="22">
        <f>IF(B34&lt;=$E$7,$D$13*12*(1+$E$6)^(B34-1),0)</f>
        <v>0</v>
      </c>
      <c r="K34" s="22">
        <f>I34*$E$5</f>
        <v>0</v>
      </c>
      <c r="L34" s="22">
        <f>IF(OR(B34=$F$13,B34=$E$8,B34=50),I34+J34+K34,0)</f>
        <v>0</v>
      </c>
      <c r="M34" s="22">
        <f>I34+J34+K34-L34</f>
        <v>0</v>
      </c>
      <c r="N34" s="22">
        <f>R33</f>
        <v>0</v>
      </c>
      <c r="O34" s="22">
        <f>IF(B34&lt;=$E$7,$D$14*12*(1+$E$6)^(B34-1),0)</f>
        <v>0</v>
      </c>
      <c r="P34" s="22">
        <f>N34*$E$5</f>
        <v>0</v>
      </c>
      <c r="Q34" s="22">
        <f>IF(OR(B34=$F$14,AND(B34&gt;$F$14,B34=$E$8),B34=50),N34+O34+P34,0)</f>
        <v>0</v>
      </c>
      <c r="R34" s="22">
        <f>N34+O34+P34-Q34</f>
        <v>0</v>
      </c>
      <c r="S34" s="23">
        <f>L34+Q34</f>
        <v>0</v>
      </c>
      <c r="T34" s="22">
        <f>G34</f>
        <v>0</v>
      </c>
    </row>
    <row r="35">
      <c r="B35" s="25">
        <v>17</v>
      </c>
      <c r="C35" s="25">
        <f>'Proyección'!B37</f>
        <v>2042</v>
      </c>
      <c r="D35" s="22">
        <f>H34</f>
        <v>158183</v>
      </c>
      <c r="E35" s="22">
        <f>IF(B35&lt;=$E$7,$D$12*12*(1+$E$6)^(B35-1),0)</f>
        <v>0</v>
      </c>
      <c r="F35" s="22">
        <f>D35*$E$5</f>
        <v>9491</v>
      </c>
      <c r="G35" s="22">
        <f>IF(B35&gt;=$F$12,IF(($I$12-$E$9-B35+2)&lt;=1,D35+F35,IF($E$5=0,D35/($I$12-$E$9-B35+2),D35*$E$5/(1-(1+$E$5)^(-($I$12-$E$9-B35+2))))),0)</f>
        <v>0</v>
      </c>
      <c r="H35" s="22">
        <f>D35+E35+F35-G35</f>
        <v>167674</v>
      </c>
      <c r="I35" s="22">
        <f>M34</f>
        <v>0</v>
      </c>
      <c r="J35" s="22">
        <f>IF(B35&lt;=$E$7,$D$13*12*(1+$E$6)^(B35-1),0)</f>
        <v>0</v>
      </c>
      <c r="K35" s="22">
        <f>I35*$E$5</f>
        <v>0</v>
      </c>
      <c r="L35" s="22">
        <f>IF(OR(B35=$F$13,B35=$E$8,B35=50),I35+J35+K35,0)</f>
        <v>0</v>
      </c>
      <c r="M35" s="22">
        <f>I35+J35+K35-L35</f>
        <v>0</v>
      </c>
      <c r="N35" s="22">
        <f>R34</f>
        <v>0</v>
      </c>
      <c r="O35" s="22">
        <f>IF(B35&lt;=$E$7,$D$14*12*(1+$E$6)^(B35-1),0)</f>
        <v>0</v>
      </c>
      <c r="P35" s="22">
        <f>N35*$E$5</f>
        <v>0</v>
      </c>
      <c r="Q35" s="22">
        <f>IF(OR(B35=$F$14,AND(B35&gt;$F$14,B35=$E$8),B35=50),N35+O35+P35,0)</f>
        <v>0</v>
      </c>
      <c r="R35" s="22">
        <f>N35+O35+P35-Q35</f>
        <v>0</v>
      </c>
      <c r="S35" s="23">
        <f>L35+Q35</f>
        <v>0</v>
      </c>
      <c r="T35" s="22">
        <f>G35</f>
        <v>0</v>
      </c>
    </row>
    <row r="36">
      <c r="B36" s="25">
        <v>18</v>
      </c>
      <c r="C36" s="25">
        <f>'Proyección'!B38</f>
        <v>2043</v>
      </c>
      <c r="D36" s="22">
        <f>H35</f>
        <v>167674</v>
      </c>
      <c r="E36" s="22">
        <f>IF(B36&lt;=$E$7,$D$12*12*(1+$E$6)^(B36-1),0)</f>
        <v>0</v>
      </c>
      <c r="F36" s="22">
        <f>D36*$E$5</f>
        <v>10060</v>
      </c>
      <c r="G36" s="22">
        <f>IF(B36&gt;=$F$12,IF(($I$12-$E$9-B36+2)&lt;=1,D36+F36,IF($E$5=0,D36/($I$12-$E$9-B36+2),D36*$E$5/(1-(1+$E$5)^(-($I$12-$E$9-B36+2))))),0)</f>
        <v>0</v>
      </c>
      <c r="H36" s="22">
        <f>D36+E36+F36-G36</f>
        <v>177735</v>
      </c>
      <c r="I36" s="22">
        <f>M35</f>
        <v>0</v>
      </c>
      <c r="J36" s="22">
        <f>IF(B36&lt;=$E$7,$D$13*12*(1+$E$6)^(B36-1),0)</f>
        <v>0</v>
      </c>
      <c r="K36" s="22">
        <f>I36*$E$5</f>
        <v>0</v>
      </c>
      <c r="L36" s="22">
        <f>IF(OR(B36=$F$13,B36=$E$8,B36=50),I36+J36+K36,0)</f>
        <v>0</v>
      </c>
      <c r="M36" s="22">
        <f>I36+J36+K36-L36</f>
        <v>0</v>
      </c>
      <c r="N36" s="22">
        <f>R35</f>
        <v>0</v>
      </c>
      <c r="O36" s="22">
        <f>IF(B36&lt;=$E$7,$D$14*12*(1+$E$6)^(B36-1),0)</f>
        <v>0</v>
      </c>
      <c r="P36" s="22">
        <f>N36*$E$5</f>
        <v>0</v>
      </c>
      <c r="Q36" s="22">
        <f>IF(OR(B36=$F$14,AND(B36&gt;$F$14,B36=$E$8),B36=50),N36+O36+P36,0)</f>
        <v>0</v>
      </c>
      <c r="R36" s="22">
        <f>N36+O36+P36-Q36</f>
        <v>0</v>
      </c>
      <c r="S36" s="23">
        <f>L36+Q36</f>
        <v>0</v>
      </c>
      <c r="T36" s="22">
        <f>G36</f>
        <v>0</v>
      </c>
    </row>
    <row r="37">
      <c r="B37" s="25">
        <v>19</v>
      </c>
      <c r="C37" s="25">
        <f>'Proyección'!B39</f>
        <v>2044</v>
      </c>
      <c r="D37" s="22">
        <f>H36</f>
        <v>177735</v>
      </c>
      <c r="E37" s="22">
        <f>IF(B37&lt;=$E$7,$D$12*12*(1+$E$6)^(B37-1),0)</f>
        <v>0</v>
      </c>
      <c r="F37" s="22">
        <f>D37*$E$5</f>
        <v>10664</v>
      </c>
      <c r="G37" s="22">
        <f>IF(B37&gt;=$F$12,IF(($I$12-$E$9-B37+2)&lt;=1,D37+F37,IF($E$5=0,D37/($I$12-$E$9-B37+2),D37*$E$5/(1-(1+$E$5)^(-($I$12-$E$9-B37+2))))),0)</f>
        <v>0</v>
      </c>
      <c r="H37" s="22">
        <f>D37+E37+F37-G37</f>
        <v>188399</v>
      </c>
      <c r="I37" s="22">
        <f>M36</f>
        <v>0</v>
      </c>
      <c r="J37" s="22">
        <f>IF(B37&lt;=$E$7,$D$13*12*(1+$E$6)^(B37-1),0)</f>
        <v>0</v>
      </c>
      <c r="K37" s="22">
        <f>I37*$E$5</f>
        <v>0</v>
      </c>
      <c r="L37" s="22">
        <f>IF(OR(B37=$F$13,B37=$E$8,B37=50),I37+J37+K37,0)</f>
        <v>0</v>
      </c>
      <c r="M37" s="22">
        <f>I37+J37+K37-L37</f>
        <v>0</v>
      </c>
      <c r="N37" s="22">
        <f>R36</f>
        <v>0</v>
      </c>
      <c r="O37" s="22">
        <f>IF(B37&lt;=$E$7,$D$14*12*(1+$E$6)^(B37-1),0)</f>
        <v>0</v>
      </c>
      <c r="P37" s="22">
        <f>N37*$E$5</f>
        <v>0</v>
      </c>
      <c r="Q37" s="22">
        <f>IF(OR(B37=$F$14,AND(B37&gt;$F$14,B37=$E$8),B37=50),N37+O37+P37,0)</f>
        <v>0</v>
      </c>
      <c r="R37" s="22">
        <f>N37+O37+P37-Q37</f>
        <v>0</v>
      </c>
      <c r="S37" s="23">
        <f>L37+Q37</f>
        <v>0</v>
      </c>
      <c r="T37" s="22">
        <f>G37</f>
        <v>0</v>
      </c>
    </row>
    <row r="38">
      <c r="B38" s="25">
        <v>20</v>
      </c>
      <c r="C38" s="25">
        <f>'Proyección'!B40</f>
        <v>2045</v>
      </c>
      <c r="D38" s="22">
        <f>H37</f>
        <v>188399</v>
      </c>
      <c r="E38" s="22">
        <f>IF(B38&lt;=$E$7,$D$12*12*(1+$E$6)^(B38-1),0)</f>
        <v>0</v>
      </c>
      <c r="F38" s="22">
        <f>D38*$E$5</f>
        <v>11304</v>
      </c>
      <c r="G38" s="22">
        <f>IF(B38&gt;=$F$12,IF(($I$12-$E$9-B38+2)&lt;=1,D38+F38,IF($E$5=0,D38/($I$12-$E$9-B38+2),D38*$E$5/(1-(1+$E$5)^(-($I$12-$E$9-B38+2))))),0)</f>
        <v>12885</v>
      </c>
      <c r="H38" s="22">
        <f>D38+E38+F38-G38</f>
        <v>186817</v>
      </c>
      <c r="I38" s="22">
        <f>M37</f>
        <v>0</v>
      </c>
      <c r="J38" s="22">
        <f>IF(B38&lt;=$E$7,$D$13*12*(1+$E$6)^(B38-1),0)</f>
        <v>0</v>
      </c>
      <c r="K38" s="22">
        <f>I38*$E$5</f>
        <v>0</v>
      </c>
      <c r="L38" s="22">
        <f>IF(OR(B38=$F$13,B38=$E$8,B38=50),I38+J38+K38,0)</f>
        <v>0</v>
      </c>
      <c r="M38" s="22">
        <f>I38+J38+K38-L38</f>
        <v>0</v>
      </c>
      <c r="N38" s="22">
        <f>R37</f>
        <v>0</v>
      </c>
      <c r="O38" s="22">
        <f>IF(B38&lt;=$E$7,$D$14*12*(1+$E$6)^(B38-1),0)</f>
        <v>0</v>
      </c>
      <c r="P38" s="22">
        <f>N38*$E$5</f>
        <v>0</v>
      </c>
      <c r="Q38" s="22">
        <f>IF(OR(B38=$F$14,AND(B38&gt;$F$14,B38=$E$8),B38=50),N38+O38+P38,0)</f>
        <v>0</v>
      </c>
      <c r="R38" s="22">
        <f>N38+O38+P38-Q38</f>
        <v>0</v>
      </c>
      <c r="S38" s="23">
        <f>L38+Q38</f>
        <v>0</v>
      </c>
      <c r="T38" s="22">
        <f>G38</f>
        <v>12885</v>
      </c>
    </row>
    <row r="39">
      <c r="B39" s="25">
        <v>21</v>
      </c>
      <c r="C39" s="25">
        <f>'Proyección'!B41</f>
        <v>2046</v>
      </c>
      <c r="D39" s="22">
        <f>H38</f>
        <v>186817</v>
      </c>
      <c r="E39" s="22">
        <f>IF(B39&lt;=$E$7,$D$12*12*(1+$E$6)^(B39-1),0)</f>
        <v>0</v>
      </c>
      <c r="F39" s="22">
        <f>D39*$E$5</f>
        <v>11209</v>
      </c>
      <c r="G39" s="22">
        <f>IF(B39&gt;=$F$12,IF(($I$12-$E$9-B39+2)&lt;=1,D39+F39,IF($E$5=0,D39/($I$12-$E$9-B39+2),D39*$E$5/(1-(1+$E$5)^(-($I$12-$E$9-B39+2))))),0)</f>
        <v>12885</v>
      </c>
      <c r="H39" s="22">
        <f>D39+E39+F39-G39</f>
        <v>185141</v>
      </c>
      <c r="I39" s="22">
        <f>M38</f>
        <v>0</v>
      </c>
      <c r="J39" s="22">
        <f>IF(B39&lt;=$E$7,$D$13*12*(1+$E$6)^(B39-1),0)</f>
        <v>0</v>
      </c>
      <c r="K39" s="22">
        <f>I39*$E$5</f>
        <v>0</v>
      </c>
      <c r="L39" s="22">
        <f>IF(OR(B39=$F$13,B39=$E$8,B39=50),I39+J39+K39,0)</f>
        <v>0</v>
      </c>
      <c r="M39" s="22">
        <f>I39+J39+K39-L39</f>
        <v>0</v>
      </c>
      <c r="N39" s="22">
        <f>R38</f>
        <v>0</v>
      </c>
      <c r="O39" s="22">
        <f>IF(B39&lt;=$E$7,$D$14*12*(1+$E$6)^(B39-1),0)</f>
        <v>0</v>
      </c>
      <c r="P39" s="22">
        <f>N39*$E$5</f>
        <v>0</v>
      </c>
      <c r="Q39" s="22">
        <f>IF(OR(B39=$F$14,AND(B39&gt;$F$14,B39=$E$8),B39=50),N39+O39+P39,0)</f>
        <v>0</v>
      </c>
      <c r="R39" s="22">
        <f>N39+O39+P39-Q39</f>
        <v>0</v>
      </c>
      <c r="S39" s="23">
        <f>L39+Q39</f>
        <v>0</v>
      </c>
      <c r="T39" s="22">
        <f>G39</f>
        <v>12885</v>
      </c>
    </row>
    <row r="40">
      <c r="B40" s="25">
        <v>22</v>
      </c>
      <c r="C40" s="25">
        <f>'Proyección'!B42</f>
        <v>2047</v>
      </c>
      <c r="D40" s="22">
        <f>H39</f>
        <v>185141</v>
      </c>
      <c r="E40" s="22">
        <f>IF(B40&lt;=$E$7,$D$12*12*(1+$E$6)^(B40-1),0)</f>
        <v>0</v>
      </c>
      <c r="F40" s="22">
        <f>D40*$E$5</f>
        <v>11108</v>
      </c>
      <c r="G40" s="22">
        <f>IF(B40&gt;=$F$12,IF(($I$12-$E$9-B40+2)&lt;=1,D40+F40,IF($E$5=0,D40/($I$12-$E$9-B40+2),D40*$E$5/(1-(1+$E$5)^(-($I$12-$E$9-B40+2))))),0)</f>
        <v>12885</v>
      </c>
      <c r="H40" s="22">
        <f>D40+E40+F40-G40</f>
        <v>183363</v>
      </c>
      <c r="I40" s="22">
        <f>M39</f>
        <v>0</v>
      </c>
      <c r="J40" s="22">
        <f>IF(B40&lt;=$E$7,$D$13*12*(1+$E$6)^(B40-1),0)</f>
        <v>0</v>
      </c>
      <c r="K40" s="22">
        <f>I40*$E$5</f>
        <v>0</v>
      </c>
      <c r="L40" s="22">
        <f>IF(OR(B40=$F$13,B40=$E$8,B40=50),I40+J40+K40,0)</f>
        <v>0</v>
      </c>
      <c r="M40" s="22">
        <f>I40+J40+K40-L40</f>
        <v>0</v>
      </c>
      <c r="N40" s="22">
        <f>R39</f>
        <v>0</v>
      </c>
      <c r="O40" s="22">
        <f>IF(B40&lt;=$E$7,$D$14*12*(1+$E$6)^(B40-1),0)</f>
        <v>0</v>
      </c>
      <c r="P40" s="22">
        <f>N40*$E$5</f>
        <v>0</v>
      </c>
      <c r="Q40" s="22">
        <f>IF(OR(B40=$F$14,AND(B40&gt;$F$14,B40=$E$8),B40=50),N40+O40+P40,0)</f>
        <v>0</v>
      </c>
      <c r="R40" s="22">
        <f>N40+O40+P40-Q40</f>
        <v>0</v>
      </c>
      <c r="S40" s="23">
        <f>L40+Q40</f>
        <v>0</v>
      </c>
      <c r="T40" s="22">
        <f>G40</f>
        <v>12885</v>
      </c>
    </row>
    <row r="41">
      <c r="B41" s="25">
        <v>23</v>
      </c>
      <c r="C41" s="25">
        <f>'Proyección'!B43</f>
        <v>2048</v>
      </c>
      <c r="D41" s="22">
        <f>H40</f>
        <v>183363</v>
      </c>
      <c r="E41" s="22">
        <f>IF(B41&lt;=$E$7,$D$12*12*(1+$E$6)^(B41-1),0)</f>
        <v>0</v>
      </c>
      <c r="F41" s="22">
        <f>D41*$E$5</f>
        <v>11002</v>
      </c>
      <c r="G41" s="22">
        <f>IF(B41&gt;=$F$12,IF(($I$12-$E$9-B41+2)&lt;=1,D41+F41,IF($E$5=0,D41/($I$12-$E$9-B41+2),D41*$E$5/(1-(1+$E$5)^(-($I$12-$E$9-B41+2))))),0)</f>
        <v>12885</v>
      </c>
      <c r="H41" s="22">
        <f>D41+E41+F41-G41</f>
        <v>181480</v>
      </c>
      <c r="I41" s="22">
        <f>M40</f>
        <v>0</v>
      </c>
      <c r="J41" s="22">
        <f>IF(B41&lt;=$E$7,$D$13*12*(1+$E$6)^(B41-1),0)</f>
        <v>0</v>
      </c>
      <c r="K41" s="22">
        <f>I41*$E$5</f>
        <v>0</v>
      </c>
      <c r="L41" s="22">
        <f>IF(OR(B41=$F$13,B41=$E$8,B41=50),I41+J41+K41,0)</f>
        <v>0</v>
      </c>
      <c r="M41" s="22">
        <f>I41+J41+K41-L41</f>
        <v>0</v>
      </c>
      <c r="N41" s="22">
        <f>R40</f>
        <v>0</v>
      </c>
      <c r="O41" s="22">
        <f>IF(B41&lt;=$E$7,$D$14*12*(1+$E$6)^(B41-1),0)</f>
        <v>0</v>
      </c>
      <c r="P41" s="22">
        <f>N41*$E$5</f>
        <v>0</v>
      </c>
      <c r="Q41" s="22">
        <f>IF(OR(B41=$F$14,AND(B41&gt;$F$14,B41=$E$8),B41=50),N41+O41+P41,0)</f>
        <v>0</v>
      </c>
      <c r="R41" s="22">
        <f>N41+O41+P41-Q41</f>
        <v>0</v>
      </c>
      <c r="S41" s="23">
        <f>L41+Q41</f>
        <v>0</v>
      </c>
      <c r="T41" s="22">
        <f>G41</f>
        <v>12885</v>
      </c>
    </row>
    <row r="42">
      <c r="B42" s="25">
        <v>24</v>
      </c>
      <c r="C42" s="25">
        <f>'Proyección'!B44</f>
        <v>2049</v>
      </c>
      <c r="D42" s="22">
        <f>H41</f>
        <v>181480</v>
      </c>
      <c r="E42" s="22">
        <f>IF(B42&lt;=$E$7,$D$12*12*(1+$E$6)^(B42-1),0)</f>
        <v>0</v>
      </c>
      <c r="F42" s="22">
        <f>D42*$E$5</f>
        <v>10889</v>
      </c>
      <c r="G42" s="22">
        <f>IF(B42&gt;=$F$12,IF(($I$12-$E$9-B42+2)&lt;=1,D42+F42,IF($E$5=0,D42/($I$12-$E$9-B42+2),D42*$E$5/(1-(1+$E$5)^(-($I$12-$E$9-B42+2))))),0)</f>
        <v>12885</v>
      </c>
      <c r="H42" s="22">
        <f>D42+E42+F42-G42</f>
        <v>179483</v>
      </c>
      <c r="I42" s="22">
        <f>M41</f>
        <v>0</v>
      </c>
      <c r="J42" s="22">
        <f>IF(B42&lt;=$E$7,$D$13*12*(1+$E$6)^(B42-1),0)</f>
        <v>0</v>
      </c>
      <c r="K42" s="22">
        <f>I42*$E$5</f>
        <v>0</v>
      </c>
      <c r="L42" s="22">
        <f>IF(OR(B42=$F$13,B42=$E$8,B42=50),I42+J42+K42,0)</f>
        <v>0</v>
      </c>
      <c r="M42" s="22">
        <f>I42+J42+K42-L42</f>
        <v>0</v>
      </c>
      <c r="N42" s="22">
        <f>R41</f>
        <v>0</v>
      </c>
      <c r="O42" s="22">
        <f>IF(B42&lt;=$E$7,$D$14*12*(1+$E$6)^(B42-1),0)</f>
        <v>0</v>
      </c>
      <c r="P42" s="22">
        <f>N42*$E$5</f>
        <v>0</v>
      </c>
      <c r="Q42" s="22">
        <f>IF(OR(B42=$F$14,AND(B42&gt;$F$14,B42=$E$8),B42=50),N42+O42+P42,0)</f>
        <v>0</v>
      </c>
      <c r="R42" s="22">
        <f>N42+O42+P42-Q42</f>
        <v>0</v>
      </c>
      <c r="S42" s="23">
        <f>L42+Q42</f>
        <v>0</v>
      </c>
      <c r="T42" s="22">
        <f>G42</f>
        <v>12885</v>
      </c>
    </row>
    <row r="43">
      <c r="B43" s="25">
        <v>25</v>
      </c>
      <c r="C43" s="25">
        <f>'Proyección'!B45</f>
        <v>2050</v>
      </c>
      <c r="D43" s="22">
        <f>H42</f>
        <v>179483</v>
      </c>
      <c r="E43" s="22">
        <f>IF(B43&lt;=$E$7,$D$12*12*(1+$E$6)^(B43-1),0)</f>
        <v>0</v>
      </c>
      <c r="F43" s="22">
        <f>D43*$E$5</f>
        <v>10769</v>
      </c>
      <c r="G43" s="22">
        <f>IF(B43&gt;=$F$12,IF(($I$12-$E$9-B43+2)&lt;=1,D43+F43,IF($E$5=0,D43/($I$12-$E$9-B43+2),D43*$E$5/(1-(1+$E$5)^(-($I$12-$E$9-B43+2))))),0)</f>
        <v>12885</v>
      </c>
      <c r="H43" s="22">
        <f>D43+E43+F43-G43</f>
        <v>177367</v>
      </c>
      <c r="I43" s="22">
        <f>M42</f>
        <v>0</v>
      </c>
      <c r="J43" s="22">
        <f>IF(B43&lt;=$E$7,$D$13*12*(1+$E$6)^(B43-1),0)</f>
        <v>0</v>
      </c>
      <c r="K43" s="22">
        <f>I43*$E$5</f>
        <v>0</v>
      </c>
      <c r="L43" s="22">
        <f>IF(OR(B43=$F$13,B43=$E$8,B43=50),I43+J43+K43,0)</f>
        <v>0</v>
      </c>
      <c r="M43" s="22">
        <f>I43+J43+K43-L43</f>
        <v>0</v>
      </c>
      <c r="N43" s="22">
        <f>R42</f>
        <v>0</v>
      </c>
      <c r="O43" s="22">
        <f>IF(B43&lt;=$E$7,$D$14*12*(1+$E$6)^(B43-1),0)</f>
        <v>0</v>
      </c>
      <c r="P43" s="22">
        <f>N43*$E$5</f>
        <v>0</v>
      </c>
      <c r="Q43" s="22">
        <f>IF(OR(B43=$F$14,AND(B43&gt;$F$14,B43=$E$8),B43=50),N43+O43+P43,0)</f>
        <v>0</v>
      </c>
      <c r="R43" s="22">
        <f>N43+O43+P43-Q43</f>
        <v>0</v>
      </c>
      <c r="S43" s="23">
        <f>L43+Q43</f>
        <v>0</v>
      </c>
      <c r="T43" s="22">
        <f>G43</f>
        <v>12885</v>
      </c>
    </row>
    <row r="44">
      <c r="B44" s="25">
        <v>26</v>
      </c>
      <c r="C44" s="25">
        <f>'Proyección'!B46</f>
        <v>2051</v>
      </c>
      <c r="D44" s="22">
        <f>H43</f>
        <v>177367</v>
      </c>
      <c r="E44" s="22">
        <f>IF(B44&lt;=$E$7,$D$12*12*(1+$E$6)^(B44-1),0)</f>
        <v>0</v>
      </c>
      <c r="F44" s="22">
        <f>D44*$E$5</f>
        <v>10642</v>
      </c>
      <c r="G44" s="22">
        <f>IF(B44&gt;=$F$12,IF(($I$12-$E$9-B44+2)&lt;=1,D44+F44,IF($E$5=0,D44/($I$12-$E$9-B44+2),D44*$E$5/(1-(1+$E$5)^(-($I$12-$E$9-B44+2))))),0)</f>
        <v>12885</v>
      </c>
      <c r="H44" s="22">
        <f>D44+E44+F44-G44</f>
        <v>175123</v>
      </c>
      <c r="I44" s="22">
        <f>M43</f>
        <v>0</v>
      </c>
      <c r="J44" s="22">
        <f>IF(B44&lt;=$E$7,$D$13*12*(1+$E$6)^(B44-1),0)</f>
        <v>0</v>
      </c>
      <c r="K44" s="22">
        <f>I44*$E$5</f>
        <v>0</v>
      </c>
      <c r="L44" s="22">
        <f>IF(OR(B44=$F$13,B44=$E$8,B44=50),I44+J44+K44,0)</f>
        <v>0</v>
      </c>
      <c r="M44" s="22">
        <f>I44+J44+K44-L44</f>
        <v>0</v>
      </c>
      <c r="N44" s="22">
        <f>R43</f>
        <v>0</v>
      </c>
      <c r="O44" s="22">
        <f>IF(B44&lt;=$E$7,$D$14*12*(1+$E$6)^(B44-1),0)</f>
        <v>0</v>
      </c>
      <c r="P44" s="22">
        <f>N44*$E$5</f>
        <v>0</v>
      </c>
      <c r="Q44" s="22">
        <f>IF(OR(B44=$F$14,AND(B44&gt;$F$14,B44=$E$8),B44=50),N44+O44+P44,0)</f>
        <v>0</v>
      </c>
      <c r="R44" s="22">
        <f>N44+O44+P44-Q44</f>
        <v>0</v>
      </c>
      <c r="S44" s="23">
        <f>L44+Q44</f>
        <v>0</v>
      </c>
      <c r="T44" s="22">
        <f>G44</f>
        <v>12885</v>
      </c>
    </row>
    <row r="45">
      <c r="B45" s="25">
        <v>27</v>
      </c>
      <c r="C45" s="25">
        <f>'Proyección'!B47</f>
        <v>2052</v>
      </c>
      <c r="D45" s="22">
        <f>H44</f>
        <v>175123</v>
      </c>
      <c r="E45" s="22">
        <f>IF(B45&lt;=$E$7,$D$12*12*(1+$E$6)^(B45-1),0)</f>
        <v>0</v>
      </c>
      <c r="F45" s="22">
        <f>D45*$E$5</f>
        <v>10507</v>
      </c>
      <c r="G45" s="22">
        <f>IF(B45&gt;=$F$12,IF(($I$12-$E$9-B45+2)&lt;=1,D45+F45,IF($E$5=0,D45/($I$12-$E$9-B45+2),D45*$E$5/(1-(1+$E$5)^(-($I$12-$E$9-B45+2))))),0)</f>
        <v>12885</v>
      </c>
      <c r="H45" s="22">
        <f>D45+E45+F45-G45</f>
        <v>172745</v>
      </c>
      <c r="I45" s="22">
        <f>M44</f>
        <v>0</v>
      </c>
      <c r="J45" s="22">
        <f>IF(B45&lt;=$E$7,$D$13*12*(1+$E$6)^(B45-1),0)</f>
        <v>0</v>
      </c>
      <c r="K45" s="22">
        <f>I45*$E$5</f>
        <v>0</v>
      </c>
      <c r="L45" s="22">
        <f>IF(OR(B45=$F$13,B45=$E$8,B45=50),I45+J45+K45,0)</f>
        <v>0</v>
      </c>
      <c r="M45" s="22">
        <f>I45+J45+K45-L45</f>
        <v>0</v>
      </c>
      <c r="N45" s="22">
        <f>R44</f>
        <v>0</v>
      </c>
      <c r="O45" s="22">
        <f>IF(B45&lt;=$E$7,$D$14*12*(1+$E$6)^(B45-1),0)</f>
        <v>0</v>
      </c>
      <c r="P45" s="22">
        <f>N45*$E$5</f>
        <v>0</v>
      </c>
      <c r="Q45" s="22">
        <f>IF(OR(B45=$F$14,AND(B45&gt;$F$14,B45=$E$8),B45=50),N45+O45+P45,0)</f>
        <v>0</v>
      </c>
      <c r="R45" s="22">
        <f>N45+O45+P45-Q45</f>
        <v>0</v>
      </c>
      <c r="S45" s="23">
        <f>L45+Q45</f>
        <v>0</v>
      </c>
      <c r="T45" s="22">
        <f>G45</f>
        <v>12885</v>
      </c>
    </row>
    <row r="46">
      <c r="B46" s="25">
        <v>28</v>
      </c>
      <c r="C46" s="25">
        <f>'Proyección'!B48</f>
        <v>2053</v>
      </c>
      <c r="D46" s="22">
        <f>H45</f>
        <v>172745</v>
      </c>
      <c r="E46" s="22">
        <f>IF(B46&lt;=$E$7,$D$12*12*(1+$E$6)^(B46-1),0)</f>
        <v>0</v>
      </c>
      <c r="F46" s="22">
        <f>D46*$E$5</f>
        <v>10365</v>
      </c>
      <c r="G46" s="22">
        <f>IF(B46&gt;=$F$12,IF(($I$12-$E$9-B46+2)&lt;=1,D46+F46,IF($E$5=0,D46/($I$12-$E$9-B46+2),D46*$E$5/(1-(1+$E$5)^(-($I$12-$E$9-B46+2))))),0)</f>
        <v>12885</v>
      </c>
      <c r="H46" s="22">
        <f>D46+E46+F46-G46</f>
        <v>170224</v>
      </c>
      <c r="I46" s="22">
        <f>M45</f>
        <v>0</v>
      </c>
      <c r="J46" s="22">
        <f>IF(B46&lt;=$E$7,$D$13*12*(1+$E$6)^(B46-1),0)</f>
        <v>0</v>
      </c>
      <c r="K46" s="22">
        <f>I46*$E$5</f>
        <v>0</v>
      </c>
      <c r="L46" s="22">
        <f>IF(OR(B46=$F$13,B46=$E$8,B46=50),I46+J46+K46,0)</f>
        <v>0</v>
      </c>
      <c r="M46" s="22">
        <f>I46+J46+K46-L46</f>
        <v>0</v>
      </c>
      <c r="N46" s="22">
        <f>R45</f>
        <v>0</v>
      </c>
      <c r="O46" s="22">
        <f>IF(B46&lt;=$E$7,$D$14*12*(1+$E$6)^(B46-1),0)</f>
        <v>0</v>
      </c>
      <c r="P46" s="22">
        <f>N46*$E$5</f>
        <v>0</v>
      </c>
      <c r="Q46" s="22">
        <f>IF(OR(B46=$F$14,AND(B46&gt;$F$14,B46=$E$8),B46=50),N46+O46+P46,0)</f>
        <v>0</v>
      </c>
      <c r="R46" s="22">
        <f>N46+O46+P46-Q46</f>
        <v>0</v>
      </c>
      <c r="S46" s="23">
        <f>L46+Q46</f>
        <v>0</v>
      </c>
      <c r="T46" s="22">
        <f>G46</f>
        <v>12885</v>
      </c>
    </row>
    <row r="47">
      <c r="B47" s="25">
        <v>29</v>
      </c>
      <c r="C47" s="25">
        <f>'Proyección'!B49</f>
        <v>2054</v>
      </c>
      <c r="D47" s="22">
        <f>H46</f>
        <v>170224</v>
      </c>
      <c r="E47" s="22">
        <f>IF(B47&lt;=$E$7,$D$12*12*(1+$E$6)^(B47-1),0)</f>
        <v>0</v>
      </c>
      <c r="F47" s="22">
        <f>D47*$E$5</f>
        <v>10213</v>
      </c>
      <c r="G47" s="22">
        <f>IF(B47&gt;=$F$12,IF(($I$12-$E$9-B47+2)&lt;=1,D47+F47,IF($E$5=0,D47/($I$12-$E$9-B47+2),D47*$E$5/(1-(1+$E$5)^(-($I$12-$E$9-B47+2))))),0)</f>
        <v>12885</v>
      </c>
      <c r="H47" s="22">
        <f>D47+E47+F47-G47</f>
        <v>167552</v>
      </c>
      <c r="I47" s="22">
        <f>M46</f>
        <v>0</v>
      </c>
      <c r="J47" s="22">
        <f>IF(B47&lt;=$E$7,$D$13*12*(1+$E$6)^(B47-1),0)</f>
        <v>0</v>
      </c>
      <c r="K47" s="22">
        <f>I47*$E$5</f>
        <v>0</v>
      </c>
      <c r="L47" s="22">
        <f>IF(OR(B47=$F$13,B47=$E$8,B47=50),I47+J47+K47,0)</f>
        <v>0</v>
      </c>
      <c r="M47" s="22">
        <f>I47+J47+K47-L47</f>
        <v>0</v>
      </c>
      <c r="N47" s="22">
        <f>R46</f>
        <v>0</v>
      </c>
      <c r="O47" s="22">
        <f>IF(B47&lt;=$E$7,$D$14*12*(1+$E$6)^(B47-1),0)</f>
        <v>0</v>
      </c>
      <c r="P47" s="22">
        <f>N47*$E$5</f>
        <v>0</v>
      </c>
      <c r="Q47" s="22">
        <f>IF(OR(B47=$F$14,AND(B47&gt;$F$14,B47=$E$8),B47=50),N47+O47+P47,0)</f>
        <v>0</v>
      </c>
      <c r="R47" s="22">
        <f>N47+O47+P47-Q47</f>
        <v>0</v>
      </c>
      <c r="S47" s="23">
        <f>L47+Q47</f>
        <v>0</v>
      </c>
      <c r="T47" s="22">
        <f>G47</f>
        <v>12885</v>
      </c>
    </row>
    <row r="48">
      <c r="B48" s="25">
        <v>30</v>
      </c>
      <c r="C48" s="25">
        <f>'Proyección'!B50</f>
        <v>2055</v>
      </c>
      <c r="D48" s="22">
        <f>H47</f>
        <v>167552</v>
      </c>
      <c r="E48" s="22">
        <f>IF(B48&lt;=$E$7,$D$12*12*(1+$E$6)^(B48-1),0)</f>
        <v>0</v>
      </c>
      <c r="F48" s="22">
        <f>D48*$E$5</f>
        <v>10053</v>
      </c>
      <c r="G48" s="22">
        <f>IF(B48&gt;=$F$12,IF(($I$12-$E$9-B48+2)&lt;=1,D48+F48,IF($E$5=0,D48/($I$12-$E$9-B48+2),D48*$E$5/(1-(1+$E$5)^(-($I$12-$E$9-B48+2))))),0)</f>
        <v>12885</v>
      </c>
      <c r="H48" s="22">
        <f>D48+E48+F48-G48</f>
        <v>164720</v>
      </c>
      <c r="I48" s="22">
        <f>M47</f>
        <v>0</v>
      </c>
      <c r="J48" s="22">
        <f>IF(B48&lt;=$E$7,$D$13*12*(1+$E$6)^(B48-1),0)</f>
        <v>0</v>
      </c>
      <c r="K48" s="22">
        <f>I48*$E$5</f>
        <v>0</v>
      </c>
      <c r="L48" s="22">
        <f>IF(OR(B48=$F$13,B48=$E$8,B48=50),I48+J48+K48,0)</f>
        <v>0</v>
      </c>
      <c r="M48" s="22">
        <f>I48+J48+K48-L48</f>
        <v>0</v>
      </c>
      <c r="N48" s="22">
        <f>R47</f>
        <v>0</v>
      </c>
      <c r="O48" s="22">
        <f>IF(B48&lt;=$E$7,$D$14*12*(1+$E$6)^(B48-1),0)</f>
        <v>0</v>
      </c>
      <c r="P48" s="22">
        <f>N48*$E$5</f>
        <v>0</v>
      </c>
      <c r="Q48" s="22">
        <f>IF(OR(B48=$F$14,AND(B48&gt;$F$14,B48=$E$8),B48=50),N48+O48+P48,0)</f>
        <v>0</v>
      </c>
      <c r="R48" s="22">
        <f>N48+O48+P48-Q48</f>
        <v>0</v>
      </c>
      <c r="S48" s="23">
        <f>L48+Q48</f>
        <v>0</v>
      </c>
      <c r="T48" s="22">
        <f>G48</f>
        <v>12885</v>
      </c>
    </row>
    <row r="49">
      <c r="B49" s="25">
        <v>31</v>
      </c>
      <c r="C49" s="25">
        <f>'Proyección'!B51</f>
        <v>2056</v>
      </c>
      <c r="D49" s="22">
        <f>H48</f>
        <v>164720</v>
      </c>
      <c r="E49" s="22">
        <f>IF(B49&lt;=$E$7,$D$12*12*(1+$E$6)^(B49-1),0)</f>
        <v>0</v>
      </c>
      <c r="F49" s="22">
        <f>D49*$E$5</f>
        <v>9883</v>
      </c>
      <c r="G49" s="22">
        <f>IF(B49&gt;=$F$12,IF(($I$12-$E$9-B49+2)&lt;=1,D49+F49,IF($E$5=0,D49/($I$12-$E$9-B49+2),D49*$E$5/(1-(1+$E$5)^(-($I$12-$E$9-B49+2))))),0)</f>
        <v>12885</v>
      </c>
      <c r="H49" s="22">
        <f>D49+E49+F49-G49</f>
        <v>161718</v>
      </c>
      <c r="I49" s="22">
        <f>M48</f>
        <v>0</v>
      </c>
      <c r="J49" s="22">
        <f>IF(B49&lt;=$E$7,$D$13*12*(1+$E$6)^(B49-1),0)</f>
        <v>0</v>
      </c>
      <c r="K49" s="22">
        <f>I49*$E$5</f>
        <v>0</v>
      </c>
      <c r="L49" s="22">
        <f>IF(OR(B49=$F$13,B49=$E$8,B49=50),I49+J49+K49,0)</f>
        <v>0</v>
      </c>
      <c r="M49" s="22">
        <f>I49+J49+K49-L49</f>
        <v>0</v>
      </c>
      <c r="N49" s="22">
        <f>R48</f>
        <v>0</v>
      </c>
      <c r="O49" s="22">
        <f>IF(B49&lt;=$E$7,$D$14*12*(1+$E$6)^(B49-1),0)</f>
        <v>0</v>
      </c>
      <c r="P49" s="22">
        <f>N49*$E$5</f>
        <v>0</v>
      </c>
      <c r="Q49" s="22">
        <f>IF(OR(B49=$F$14,AND(B49&gt;$F$14,B49=$E$8),B49=50),N49+O49+P49,0)</f>
        <v>0</v>
      </c>
      <c r="R49" s="22">
        <f>N49+O49+P49-Q49</f>
        <v>0</v>
      </c>
      <c r="S49" s="23">
        <f>L49+Q49</f>
        <v>0</v>
      </c>
      <c r="T49" s="22">
        <f>G49</f>
        <v>12885</v>
      </c>
    </row>
    <row r="50">
      <c r="B50" s="25">
        <v>32</v>
      </c>
      <c r="C50" s="25">
        <f>'Proyección'!B52</f>
        <v>2057</v>
      </c>
      <c r="D50" s="22">
        <f>H49</f>
        <v>161718</v>
      </c>
      <c r="E50" s="22">
        <f>IF(B50&lt;=$E$7,$D$12*12*(1+$E$6)^(B50-1),0)</f>
        <v>0</v>
      </c>
      <c r="F50" s="22">
        <f>D50*$E$5</f>
        <v>9703</v>
      </c>
      <c r="G50" s="22">
        <f>IF(B50&gt;=$F$12,IF(($I$12-$E$9-B50+2)&lt;=1,D50+F50,IF($E$5=0,D50/($I$12-$E$9-B50+2),D50*$E$5/(1-(1+$E$5)^(-($I$12-$E$9-B50+2))))),0)</f>
        <v>12885</v>
      </c>
      <c r="H50" s="22">
        <f>D50+E50+F50-G50</f>
        <v>158535</v>
      </c>
      <c r="I50" s="22">
        <f>M49</f>
        <v>0</v>
      </c>
      <c r="J50" s="22">
        <f>IF(B50&lt;=$E$7,$D$13*12*(1+$E$6)^(B50-1),0)</f>
        <v>0</v>
      </c>
      <c r="K50" s="22">
        <f>I50*$E$5</f>
        <v>0</v>
      </c>
      <c r="L50" s="22">
        <f>IF(OR(B50=$F$13,B50=$E$8,B50=50),I50+J50+K50,0)</f>
        <v>0</v>
      </c>
      <c r="M50" s="22">
        <f>I50+J50+K50-L50</f>
        <v>0</v>
      </c>
      <c r="N50" s="22">
        <f>R49</f>
        <v>0</v>
      </c>
      <c r="O50" s="22">
        <f>IF(B50&lt;=$E$7,$D$14*12*(1+$E$6)^(B50-1),0)</f>
        <v>0</v>
      </c>
      <c r="P50" s="22">
        <f>N50*$E$5</f>
        <v>0</v>
      </c>
      <c r="Q50" s="22">
        <f>IF(OR(B50=$F$14,AND(B50&gt;$F$14,B50=$E$8),B50=50),N50+O50+P50,0)</f>
        <v>0</v>
      </c>
      <c r="R50" s="22">
        <f>N50+O50+P50-Q50</f>
        <v>0</v>
      </c>
      <c r="S50" s="23">
        <f>L50+Q50</f>
        <v>0</v>
      </c>
      <c r="T50" s="22">
        <f>G50</f>
        <v>12885</v>
      </c>
    </row>
    <row r="51">
      <c r="B51" s="25">
        <v>33</v>
      </c>
      <c r="C51" s="25">
        <f>'Proyección'!B53</f>
        <v>2058</v>
      </c>
      <c r="D51" s="22">
        <f>H50</f>
        <v>158535</v>
      </c>
      <c r="E51" s="22">
        <f>IF(B51&lt;=$E$7,$D$12*12*(1+$E$6)^(B51-1),0)</f>
        <v>0</v>
      </c>
      <c r="F51" s="22">
        <f>D51*$E$5</f>
        <v>9512</v>
      </c>
      <c r="G51" s="22">
        <f>IF(B51&gt;=$F$12,IF(($I$12-$E$9-B51+2)&lt;=1,D51+F51,IF($E$5=0,D51/($I$12-$E$9-B51+2),D51*$E$5/(1-(1+$E$5)^(-($I$12-$E$9-B51+2))))),0)</f>
        <v>12885</v>
      </c>
      <c r="H51" s="22">
        <f>D51+E51+F51-G51</f>
        <v>155162</v>
      </c>
      <c r="I51" s="22">
        <f>M50</f>
        <v>0</v>
      </c>
      <c r="J51" s="22">
        <f>IF(B51&lt;=$E$7,$D$13*12*(1+$E$6)^(B51-1),0)</f>
        <v>0</v>
      </c>
      <c r="K51" s="22">
        <f>I51*$E$5</f>
        <v>0</v>
      </c>
      <c r="L51" s="22">
        <f>IF(OR(B51=$F$13,B51=$E$8,B51=50),I51+J51+K51,0)</f>
        <v>0</v>
      </c>
      <c r="M51" s="22">
        <f>I51+J51+K51-L51</f>
        <v>0</v>
      </c>
      <c r="N51" s="22">
        <f>R50</f>
        <v>0</v>
      </c>
      <c r="O51" s="22">
        <f>IF(B51&lt;=$E$7,$D$14*12*(1+$E$6)^(B51-1),0)</f>
        <v>0</v>
      </c>
      <c r="P51" s="22">
        <f>N51*$E$5</f>
        <v>0</v>
      </c>
      <c r="Q51" s="22">
        <f>IF(OR(B51=$F$14,AND(B51&gt;$F$14,B51=$E$8),B51=50),N51+O51+P51,0)</f>
        <v>0</v>
      </c>
      <c r="R51" s="22">
        <f>N51+O51+P51-Q51</f>
        <v>0</v>
      </c>
      <c r="S51" s="23">
        <f>L51+Q51</f>
        <v>0</v>
      </c>
      <c r="T51" s="22">
        <f>G51</f>
        <v>12885</v>
      </c>
    </row>
    <row r="52">
      <c r="B52" s="25">
        <v>34</v>
      </c>
      <c r="C52" s="25">
        <f>'Proyección'!B54</f>
        <v>2059</v>
      </c>
      <c r="D52" s="22">
        <f>H51</f>
        <v>155162</v>
      </c>
      <c r="E52" s="22">
        <f>IF(B52&lt;=$E$7,$D$12*12*(1+$E$6)^(B52-1),0)</f>
        <v>0</v>
      </c>
      <c r="F52" s="22">
        <f>D52*$E$5</f>
        <v>9310</v>
      </c>
      <c r="G52" s="22">
        <f>IF(B52&gt;=$F$12,IF(($I$12-$E$9-B52+2)&lt;=1,D52+F52,IF($E$5=0,D52/($I$12-$E$9-B52+2),D52*$E$5/(1-(1+$E$5)^(-($I$12-$E$9-B52+2))))),0)</f>
        <v>12885</v>
      </c>
      <c r="H52" s="22">
        <f>D52+E52+F52-G52</f>
        <v>151586</v>
      </c>
      <c r="I52" s="22">
        <f>M51</f>
        <v>0</v>
      </c>
      <c r="J52" s="22">
        <f>IF(B52&lt;=$E$7,$D$13*12*(1+$E$6)^(B52-1),0)</f>
        <v>0</v>
      </c>
      <c r="K52" s="22">
        <f>I52*$E$5</f>
        <v>0</v>
      </c>
      <c r="L52" s="22">
        <f>IF(OR(B52=$F$13,B52=$E$8,B52=50),I52+J52+K52,0)</f>
        <v>0</v>
      </c>
      <c r="M52" s="22">
        <f>I52+J52+K52-L52</f>
        <v>0</v>
      </c>
      <c r="N52" s="22">
        <f>R51</f>
        <v>0</v>
      </c>
      <c r="O52" s="22">
        <f>IF(B52&lt;=$E$7,$D$14*12*(1+$E$6)^(B52-1),0)</f>
        <v>0</v>
      </c>
      <c r="P52" s="22">
        <f>N52*$E$5</f>
        <v>0</v>
      </c>
      <c r="Q52" s="22">
        <f>IF(OR(B52=$F$14,AND(B52&gt;$F$14,B52=$E$8),B52=50),N52+O52+P52,0)</f>
        <v>0</v>
      </c>
      <c r="R52" s="22">
        <f>N52+O52+P52-Q52</f>
        <v>0</v>
      </c>
      <c r="S52" s="23">
        <f>L52+Q52</f>
        <v>0</v>
      </c>
      <c r="T52" s="22">
        <f>G52</f>
        <v>12885</v>
      </c>
    </row>
    <row r="53">
      <c r="B53" s="25">
        <v>35</v>
      </c>
      <c r="C53" s="25">
        <f>'Proyección'!B55</f>
        <v>2060</v>
      </c>
      <c r="D53" s="22">
        <f>H52</f>
        <v>151586</v>
      </c>
      <c r="E53" s="22">
        <f>IF(B53&lt;=$E$7,$D$12*12*(1+$E$6)^(B53-1),0)</f>
        <v>0</v>
      </c>
      <c r="F53" s="22">
        <f>D53*$E$5</f>
        <v>9095</v>
      </c>
      <c r="G53" s="22">
        <f>IF(B53&gt;=$F$12,IF(($I$12-$E$9-B53+2)&lt;=1,D53+F53,IF($E$5=0,D53/($I$12-$E$9-B53+2),D53*$E$5/(1-(1+$E$5)^(-($I$12-$E$9-B53+2))))),0)</f>
        <v>12885</v>
      </c>
      <c r="H53" s="22">
        <f>D53+E53+F53-G53</f>
        <v>147796</v>
      </c>
      <c r="I53" s="22">
        <f>M52</f>
        <v>0</v>
      </c>
      <c r="J53" s="22">
        <f>IF(B53&lt;=$E$7,$D$13*12*(1+$E$6)^(B53-1),0)</f>
        <v>0</v>
      </c>
      <c r="K53" s="22">
        <f>I53*$E$5</f>
        <v>0</v>
      </c>
      <c r="L53" s="22">
        <f>IF(OR(B53=$F$13,B53=$E$8,B53=50),I53+J53+K53,0)</f>
        <v>0</v>
      </c>
      <c r="M53" s="22">
        <f>I53+J53+K53-L53</f>
        <v>0</v>
      </c>
      <c r="N53" s="22">
        <f>R52</f>
        <v>0</v>
      </c>
      <c r="O53" s="22">
        <f>IF(B53&lt;=$E$7,$D$14*12*(1+$E$6)^(B53-1),0)</f>
        <v>0</v>
      </c>
      <c r="P53" s="22">
        <f>N53*$E$5</f>
        <v>0</v>
      </c>
      <c r="Q53" s="22">
        <f>IF(OR(B53=$F$14,AND(B53&gt;$F$14,B53=$E$8),B53=50),N53+O53+P53,0)</f>
        <v>0</v>
      </c>
      <c r="R53" s="22">
        <f>N53+O53+P53-Q53</f>
        <v>0</v>
      </c>
      <c r="S53" s="23">
        <f>L53+Q53</f>
        <v>0</v>
      </c>
      <c r="T53" s="22">
        <f>G53</f>
        <v>12885</v>
      </c>
    </row>
    <row r="54">
      <c r="B54" s="25">
        <v>36</v>
      </c>
      <c r="C54" s="25">
        <f>'Proyección'!B56</f>
        <v>2061</v>
      </c>
      <c r="D54" s="22">
        <f>H53</f>
        <v>147796</v>
      </c>
      <c r="E54" s="22">
        <f>IF(B54&lt;=$E$7,$D$12*12*(1+$E$6)^(B54-1),0)</f>
        <v>0</v>
      </c>
      <c r="F54" s="22">
        <f>D54*$E$5</f>
        <v>8868</v>
      </c>
      <c r="G54" s="22">
        <f>IF(B54&gt;=$F$12,IF(($I$12-$E$9-B54+2)&lt;=1,D54+F54,IF($E$5=0,D54/($I$12-$E$9-B54+2),D54*$E$5/(1-(1+$E$5)^(-($I$12-$E$9-B54+2))))),0)</f>
        <v>12885</v>
      </c>
      <c r="H54" s="22">
        <f>D54+E54+F54-G54</f>
        <v>143778</v>
      </c>
      <c r="I54" s="22">
        <f>M53</f>
        <v>0</v>
      </c>
      <c r="J54" s="22">
        <f>IF(B54&lt;=$E$7,$D$13*12*(1+$E$6)^(B54-1),0)</f>
        <v>0</v>
      </c>
      <c r="K54" s="22">
        <f>I54*$E$5</f>
        <v>0</v>
      </c>
      <c r="L54" s="22">
        <f>IF(OR(B54=$F$13,B54=$E$8,B54=50),I54+J54+K54,0)</f>
        <v>0</v>
      </c>
      <c r="M54" s="22">
        <f>I54+J54+K54-L54</f>
        <v>0</v>
      </c>
      <c r="N54" s="22">
        <f>R53</f>
        <v>0</v>
      </c>
      <c r="O54" s="22">
        <f>IF(B54&lt;=$E$7,$D$14*12*(1+$E$6)^(B54-1),0)</f>
        <v>0</v>
      </c>
      <c r="P54" s="22">
        <f>N54*$E$5</f>
        <v>0</v>
      </c>
      <c r="Q54" s="22">
        <f>IF(OR(B54=$F$14,AND(B54&gt;$F$14,B54=$E$8),B54=50),N54+O54+P54,0)</f>
        <v>0</v>
      </c>
      <c r="R54" s="22">
        <f>N54+O54+P54-Q54</f>
        <v>0</v>
      </c>
      <c r="S54" s="23">
        <f>L54+Q54</f>
        <v>0</v>
      </c>
      <c r="T54" s="22">
        <f>G54</f>
        <v>12885</v>
      </c>
    </row>
    <row r="55">
      <c r="B55" s="25">
        <v>37</v>
      </c>
      <c r="C55" s="25">
        <f>'Proyección'!B57</f>
        <v>2062</v>
      </c>
      <c r="D55" s="22">
        <f>H54</f>
        <v>143778</v>
      </c>
      <c r="E55" s="22">
        <f>IF(B55&lt;=$E$7,$D$12*12*(1+$E$6)^(B55-1),0)</f>
        <v>0</v>
      </c>
      <c r="F55" s="22">
        <f>D55*$E$5</f>
        <v>8627</v>
      </c>
      <c r="G55" s="22">
        <f>IF(B55&gt;=$F$12,IF(($I$12-$E$9-B55+2)&lt;=1,D55+F55,IF($E$5=0,D55/($I$12-$E$9-B55+2),D55*$E$5/(1-(1+$E$5)^(-($I$12-$E$9-B55+2))))),0)</f>
        <v>12885</v>
      </c>
      <c r="H55" s="22">
        <f>D55+E55+F55-G55</f>
        <v>139519</v>
      </c>
      <c r="I55" s="22">
        <f>M54</f>
        <v>0</v>
      </c>
      <c r="J55" s="22">
        <f>IF(B55&lt;=$E$7,$D$13*12*(1+$E$6)^(B55-1),0)</f>
        <v>0</v>
      </c>
      <c r="K55" s="22">
        <f>I55*$E$5</f>
        <v>0</v>
      </c>
      <c r="L55" s="22">
        <f>IF(OR(B55=$F$13,B55=$E$8,B55=50),I55+J55+K55,0)</f>
        <v>0</v>
      </c>
      <c r="M55" s="22">
        <f>I55+J55+K55-L55</f>
        <v>0</v>
      </c>
      <c r="N55" s="22">
        <f>R54</f>
        <v>0</v>
      </c>
      <c r="O55" s="22">
        <f>IF(B55&lt;=$E$7,$D$14*12*(1+$E$6)^(B55-1),0)</f>
        <v>0</v>
      </c>
      <c r="P55" s="22">
        <f>N55*$E$5</f>
        <v>0</v>
      </c>
      <c r="Q55" s="22">
        <f>IF(OR(B55=$F$14,AND(B55&gt;$F$14,B55=$E$8),B55=50),N55+O55+P55,0)</f>
        <v>0</v>
      </c>
      <c r="R55" s="22">
        <f>N55+O55+P55-Q55</f>
        <v>0</v>
      </c>
      <c r="S55" s="23">
        <f>L55+Q55</f>
        <v>0</v>
      </c>
      <c r="T55" s="22">
        <f>G55</f>
        <v>12885</v>
      </c>
    </row>
    <row r="56">
      <c r="B56" s="25">
        <v>38</v>
      </c>
      <c r="C56" s="25">
        <f>'Proyección'!B58</f>
        <v>2063</v>
      </c>
      <c r="D56" s="22">
        <f>H55</f>
        <v>139519</v>
      </c>
      <c r="E56" s="22">
        <f>IF(B56&lt;=$E$7,$D$12*12*(1+$E$6)^(B56-1),0)</f>
        <v>0</v>
      </c>
      <c r="F56" s="22">
        <f>D56*$E$5</f>
        <v>8371</v>
      </c>
      <c r="G56" s="22">
        <f>IF(B56&gt;=$F$12,IF(($I$12-$E$9-B56+2)&lt;=1,D56+F56,IF($E$5=0,D56/($I$12-$E$9-B56+2),D56*$E$5/(1-(1+$E$5)^(-($I$12-$E$9-B56+2))))),0)</f>
        <v>12885</v>
      </c>
      <c r="H56" s="22">
        <f>D56+E56+F56-G56</f>
        <v>135005</v>
      </c>
      <c r="I56" s="22">
        <f>M55</f>
        <v>0</v>
      </c>
      <c r="J56" s="22">
        <f>IF(B56&lt;=$E$7,$D$13*12*(1+$E$6)^(B56-1),0)</f>
        <v>0</v>
      </c>
      <c r="K56" s="22">
        <f>I56*$E$5</f>
        <v>0</v>
      </c>
      <c r="L56" s="22">
        <f>IF(OR(B56=$F$13,B56=$E$8,B56=50),I56+J56+K56,0)</f>
        <v>0</v>
      </c>
      <c r="M56" s="22">
        <f>I56+J56+K56-L56</f>
        <v>0</v>
      </c>
      <c r="N56" s="22">
        <f>R55</f>
        <v>0</v>
      </c>
      <c r="O56" s="22">
        <f>IF(B56&lt;=$E$7,$D$14*12*(1+$E$6)^(B56-1),0)</f>
        <v>0</v>
      </c>
      <c r="P56" s="22">
        <f>N56*$E$5</f>
        <v>0</v>
      </c>
      <c r="Q56" s="22">
        <f>IF(OR(B56=$F$14,AND(B56&gt;$F$14,B56=$E$8),B56=50),N56+O56+P56,0)</f>
        <v>0</v>
      </c>
      <c r="R56" s="22">
        <f>N56+O56+P56-Q56</f>
        <v>0</v>
      </c>
      <c r="S56" s="23">
        <f>L56+Q56</f>
        <v>0</v>
      </c>
      <c r="T56" s="22">
        <f>G56</f>
        <v>12885</v>
      </c>
    </row>
    <row r="57">
      <c r="B57" s="25">
        <v>39</v>
      </c>
      <c r="C57" s="25">
        <f>'Proyección'!B59</f>
        <v>2064</v>
      </c>
      <c r="D57" s="22">
        <f>H56</f>
        <v>135005</v>
      </c>
      <c r="E57" s="22">
        <f>IF(B57&lt;=$E$7,$D$12*12*(1+$E$6)^(B57-1),0)</f>
        <v>0</v>
      </c>
      <c r="F57" s="22">
        <f>D57*$E$5</f>
        <v>8100</v>
      </c>
      <c r="G57" s="22">
        <f>IF(B57&gt;=$F$12,IF(($I$12-$E$9-B57+2)&lt;=1,D57+F57,IF($E$5=0,D57/($I$12-$E$9-B57+2),D57*$E$5/(1-(1+$E$5)^(-($I$12-$E$9-B57+2))))),0)</f>
        <v>12885</v>
      </c>
      <c r="H57" s="22">
        <f>D57+E57+F57-G57</f>
        <v>130219</v>
      </c>
      <c r="I57" s="22">
        <f>M56</f>
        <v>0</v>
      </c>
      <c r="J57" s="22">
        <f>IF(B57&lt;=$E$7,$D$13*12*(1+$E$6)^(B57-1),0)</f>
        <v>0</v>
      </c>
      <c r="K57" s="22">
        <f>I57*$E$5</f>
        <v>0</v>
      </c>
      <c r="L57" s="22">
        <f>IF(OR(B57=$F$13,B57=$E$8,B57=50),I57+J57+K57,0)</f>
        <v>0</v>
      </c>
      <c r="M57" s="22">
        <f>I57+J57+K57-L57</f>
        <v>0</v>
      </c>
      <c r="N57" s="22">
        <f>R56</f>
        <v>0</v>
      </c>
      <c r="O57" s="22">
        <f>IF(B57&lt;=$E$7,$D$14*12*(1+$E$6)^(B57-1),0)</f>
        <v>0</v>
      </c>
      <c r="P57" s="22">
        <f>N57*$E$5</f>
        <v>0</v>
      </c>
      <c r="Q57" s="22">
        <f>IF(OR(B57=$F$14,AND(B57&gt;$F$14,B57=$E$8),B57=50),N57+O57+P57,0)</f>
        <v>0</v>
      </c>
      <c r="R57" s="22">
        <f>N57+O57+P57-Q57</f>
        <v>0</v>
      </c>
      <c r="S57" s="23">
        <f>L57+Q57</f>
        <v>0</v>
      </c>
      <c r="T57" s="22">
        <f>G57</f>
        <v>12885</v>
      </c>
    </row>
    <row r="58">
      <c r="B58" s="25">
        <v>40</v>
      </c>
      <c r="C58" s="25">
        <f>'Proyección'!B60</f>
        <v>2065</v>
      </c>
      <c r="D58" s="22">
        <f>H57</f>
        <v>130219</v>
      </c>
      <c r="E58" s="22">
        <f>IF(B58&lt;=$E$7,$D$12*12*(1+$E$6)^(B58-1),0)</f>
        <v>0</v>
      </c>
      <c r="F58" s="22">
        <f>D58*$E$5</f>
        <v>7813</v>
      </c>
      <c r="G58" s="22">
        <f>IF(B58&gt;=$F$12,IF(($I$12-$E$9-B58+2)&lt;=1,D58+F58,IF($E$5=0,D58/($I$12-$E$9-B58+2),D58*$E$5/(1-(1+$E$5)^(-($I$12-$E$9-B58+2))))),0)</f>
        <v>12885</v>
      </c>
      <c r="H58" s="22">
        <f>D58+E58+F58-G58</f>
        <v>125147</v>
      </c>
      <c r="I58" s="22">
        <f>M57</f>
        <v>0</v>
      </c>
      <c r="J58" s="22">
        <f>IF(B58&lt;=$E$7,$D$13*12*(1+$E$6)^(B58-1),0)</f>
        <v>0</v>
      </c>
      <c r="K58" s="22">
        <f>I58*$E$5</f>
        <v>0</v>
      </c>
      <c r="L58" s="22">
        <f>IF(OR(B58=$F$13,B58=$E$8,B58=50),I58+J58+K58,0)</f>
        <v>0</v>
      </c>
      <c r="M58" s="22">
        <f>I58+J58+K58-L58</f>
        <v>0</v>
      </c>
      <c r="N58" s="22">
        <f>R57</f>
        <v>0</v>
      </c>
      <c r="O58" s="22">
        <f>IF(B58&lt;=$E$7,$D$14*12*(1+$E$6)^(B58-1),0)</f>
        <v>0</v>
      </c>
      <c r="P58" s="22">
        <f>N58*$E$5</f>
        <v>0</v>
      </c>
      <c r="Q58" s="22">
        <f>IF(OR(B58=$F$14,AND(B58&gt;$F$14,B58=$E$8),B58=50),N58+O58+P58,0)</f>
        <v>0</v>
      </c>
      <c r="R58" s="22">
        <f>N58+O58+P58-Q58</f>
        <v>0</v>
      </c>
      <c r="S58" s="23">
        <f>L58+Q58</f>
        <v>0</v>
      </c>
      <c r="T58" s="22">
        <f>G58</f>
        <v>12885</v>
      </c>
    </row>
    <row r="59">
      <c r="B59" s="25">
        <v>41</v>
      </c>
      <c r="C59" s="25">
        <f>'Proyección'!B61</f>
        <v>2066</v>
      </c>
      <c r="D59" s="22">
        <f>H58</f>
        <v>125147</v>
      </c>
      <c r="E59" s="22">
        <f>IF(B59&lt;=$E$7,$D$12*12*(1+$E$6)^(B59-1),0)</f>
        <v>0</v>
      </c>
      <c r="F59" s="22">
        <f>D59*$E$5</f>
        <v>7509</v>
      </c>
      <c r="G59" s="22">
        <f>IF(B59&gt;=$F$12,IF(($I$12-$E$9-B59+2)&lt;=1,D59+F59,IF($E$5=0,D59/($I$12-$E$9-B59+2),D59*$E$5/(1-(1+$E$5)^(-($I$12-$E$9-B59+2))))),0)</f>
        <v>12885</v>
      </c>
      <c r="H59" s="22">
        <f>D59+E59+F59-G59</f>
        <v>119770</v>
      </c>
      <c r="I59" s="22">
        <f>M58</f>
        <v>0</v>
      </c>
      <c r="J59" s="22">
        <f>IF(B59&lt;=$E$7,$D$13*12*(1+$E$6)^(B59-1),0)</f>
        <v>0</v>
      </c>
      <c r="K59" s="22">
        <f>I59*$E$5</f>
        <v>0</v>
      </c>
      <c r="L59" s="22">
        <f>IF(OR(B59=$F$13,B59=$E$8,B59=50),I59+J59+K59,0)</f>
        <v>0</v>
      </c>
      <c r="M59" s="22">
        <f>I59+J59+K59-L59</f>
        <v>0</v>
      </c>
      <c r="N59" s="22">
        <f>R58</f>
        <v>0</v>
      </c>
      <c r="O59" s="22">
        <f>IF(B59&lt;=$E$7,$D$14*12*(1+$E$6)^(B59-1),0)</f>
        <v>0</v>
      </c>
      <c r="P59" s="22">
        <f>N59*$E$5</f>
        <v>0</v>
      </c>
      <c r="Q59" s="22">
        <f>IF(OR(B59=$F$14,AND(B59&gt;$F$14,B59=$E$8),B59=50),N59+O59+P59,0)</f>
        <v>0</v>
      </c>
      <c r="R59" s="22">
        <f>N59+O59+P59-Q59</f>
        <v>0</v>
      </c>
      <c r="S59" s="23">
        <f>L59+Q59</f>
        <v>0</v>
      </c>
      <c r="T59" s="22">
        <f>G59</f>
        <v>12885</v>
      </c>
    </row>
    <row r="60">
      <c r="B60" s="25">
        <v>42</v>
      </c>
      <c r="C60" s="25">
        <f>'Proyección'!B62</f>
        <v>2067</v>
      </c>
      <c r="D60" s="22">
        <f>H59</f>
        <v>119770</v>
      </c>
      <c r="E60" s="22">
        <f>IF(B60&lt;=$E$7,$D$12*12*(1+$E$6)^(B60-1),0)</f>
        <v>0</v>
      </c>
      <c r="F60" s="22">
        <f>D60*$E$5</f>
        <v>7186</v>
      </c>
      <c r="G60" s="22">
        <f>IF(B60&gt;=$F$12,IF(($I$12-$E$9-B60+2)&lt;=1,D60+F60,IF($E$5=0,D60/($I$12-$E$9-B60+2),D60*$E$5/(1-(1+$E$5)^(-($I$12-$E$9-B60+2))))),0)</f>
        <v>12885</v>
      </c>
      <c r="H60" s="22">
        <f>D60+E60+F60-G60</f>
        <v>114071</v>
      </c>
      <c r="I60" s="22">
        <f>M59</f>
        <v>0</v>
      </c>
      <c r="J60" s="22">
        <f>IF(B60&lt;=$E$7,$D$13*12*(1+$E$6)^(B60-1),0)</f>
        <v>0</v>
      </c>
      <c r="K60" s="22">
        <f>I60*$E$5</f>
        <v>0</v>
      </c>
      <c r="L60" s="22">
        <f>IF(OR(B60=$F$13,B60=$E$8,B60=50),I60+J60+K60,0)</f>
        <v>0</v>
      </c>
      <c r="M60" s="22">
        <f>I60+J60+K60-L60</f>
        <v>0</v>
      </c>
      <c r="N60" s="22">
        <f>R59</f>
        <v>0</v>
      </c>
      <c r="O60" s="22">
        <f>IF(B60&lt;=$E$7,$D$14*12*(1+$E$6)^(B60-1),0)</f>
        <v>0</v>
      </c>
      <c r="P60" s="22">
        <f>N60*$E$5</f>
        <v>0</v>
      </c>
      <c r="Q60" s="22">
        <f>IF(OR(B60=$F$14,AND(B60&gt;$F$14,B60=$E$8),B60=50),N60+O60+P60,0)</f>
        <v>0</v>
      </c>
      <c r="R60" s="22">
        <f>N60+O60+P60-Q60</f>
        <v>0</v>
      </c>
      <c r="S60" s="23">
        <f>L60+Q60</f>
        <v>0</v>
      </c>
      <c r="T60" s="22">
        <f>G60</f>
        <v>12885</v>
      </c>
    </row>
    <row r="61">
      <c r="B61" s="25">
        <v>43</v>
      </c>
      <c r="C61" s="25">
        <f>'Proyección'!B63</f>
        <v>2068</v>
      </c>
      <c r="D61" s="22">
        <f>H60</f>
        <v>114071</v>
      </c>
      <c r="E61" s="22">
        <f>IF(B61&lt;=$E$7,$D$12*12*(1+$E$6)^(B61-1),0)</f>
        <v>0</v>
      </c>
      <c r="F61" s="22">
        <f>D61*$E$5</f>
        <v>6844</v>
      </c>
      <c r="G61" s="22">
        <f>IF(B61&gt;=$F$12,IF(($I$12-$E$9-B61+2)&lt;=1,D61+F61,IF($E$5=0,D61/($I$12-$E$9-B61+2),D61*$E$5/(1-(1+$E$5)^(-($I$12-$E$9-B61+2))))),0)</f>
        <v>12885</v>
      </c>
      <c r="H61" s="22">
        <f>D61+E61+F61-G61</f>
        <v>108030</v>
      </c>
      <c r="I61" s="22">
        <f>M60</f>
        <v>0</v>
      </c>
      <c r="J61" s="22">
        <f>IF(B61&lt;=$E$7,$D$13*12*(1+$E$6)^(B61-1),0)</f>
        <v>0</v>
      </c>
      <c r="K61" s="22">
        <f>I61*$E$5</f>
        <v>0</v>
      </c>
      <c r="L61" s="22">
        <f>IF(OR(B61=$F$13,B61=$E$8,B61=50),I61+J61+K61,0)</f>
        <v>0</v>
      </c>
      <c r="M61" s="22">
        <f>I61+J61+K61-L61</f>
        <v>0</v>
      </c>
      <c r="N61" s="22">
        <f>R60</f>
        <v>0</v>
      </c>
      <c r="O61" s="22">
        <f>IF(B61&lt;=$E$7,$D$14*12*(1+$E$6)^(B61-1),0)</f>
        <v>0</v>
      </c>
      <c r="P61" s="22">
        <f>N61*$E$5</f>
        <v>0</v>
      </c>
      <c r="Q61" s="22">
        <f>IF(OR(B61=$F$14,AND(B61&gt;$F$14,B61=$E$8),B61=50),N61+O61+P61,0)</f>
        <v>0</v>
      </c>
      <c r="R61" s="22">
        <f>N61+O61+P61-Q61</f>
        <v>0</v>
      </c>
      <c r="S61" s="23">
        <f>L61+Q61</f>
        <v>0</v>
      </c>
      <c r="T61" s="22">
        <f>G61</f>
        <v>12885</v>
      </c>
    </row>
    <row r="62">
      <c r="B62" s="25">
        <v>44</v>
      </c>
      <c r="C62" s="25">
        <f>'Proyección'!B64</f>
        <v>2069</v>
      </c>
      <c r="D62" s="22">
        <f>H61</f>
        <v>108030</v>
      </c>
      <c r="E62" s="22">
        <f>IF(B62&lt;=$E$7,$D$12*12*(1+$E$6)^(B62-1),0)</f>
        <v>0</v>
      </c>
      <c r="F62" s="22">
        <f>D62*$E$5</f>
        <v>6482</v>
      </c>
      <c r="G62" s="22">
        <f>IF(B62&gt;=$F$12,IF(($I$12-$E$9-B62+2)&lt;=1,D62+F62,IF($E$5=0,D62/($I$12-$E$9-B62+2),D62*$E$5/(1-(1+$E$5)^(-($I$12-$E$9-B62+2))))),0)</f>
        <v>12885</v>
      </c>
      <c r="H62" s="22">
        <f>D62+E62+F62-G62</f>
        <v>101626</v>
      </c>
      <c r="I62" s="22">
        <f>M61</f>
        <v>0</v>
      </c>
      <c r="J62" s="22">
        <f>IF(B62&lt;=$E$7,$D$13*12*(1+$E$6)^(B62-1),0)</f>
        <v>0</v>
      </c>
      <c r="K62" s="22">
        <f>I62*$E$5</f>
        <v>0</v>
      </c>
      <c r="L62" s="22">
        <f>IF(OR(B62=$F$13,B62=$E$8,B62=50),I62+J62+K62,0)</f>
        <v>0</v>
      </c>
      <c r="M62" s="22">
        <f>I62+J62+K62-L62</f>
        <v>0</v>
      </c>
      <c r="N62" s="22">
        <f>R61</f>
        <v>0</v>
      </c>
      <c r="O62" s="22">
        <f>IF(B62&lt;=$E$7,$D$14*12*(1+$E$6)^(B62-1),0)</f>
        <v>0</v>
      </c>
      <c r="P62" s="22">
        <f>N62*$E$5</f>
        <v>0</v>
      </c>
      <c r="Q62" s="22">
        <f>IF(OR(B62=$F$14,AND(B62&gt;$F$14,B62=$E$8),B62=50),N62+O62+P62,0)</f>
        <v>0</v>
      </c>
      <c r="R62" s="22">
        <f>N62+O62+P62-Q62</f>
        <v>0</v>
      </c>
      <c r="S62" s="23">
        <f>L62+Q62</f>
        <v>0</v>
      </c>
      <c r="T62" s="22">
        <f>G62</f>
        <v>12885</v>
      </c>
    </row>
    <row r="63">
      <c r="B63" s="25">
        <v>45</v>
      </c>
      <c r="C63" s="25">
        <f>'Proyección'!B65</f>
        <v>2070</v>
      </c>
      <c r="D63" s="22">
        <f>H62</f>
        <v>101626</v>
      </c>
      <c r="E63" s="22">
        <f>IF(B63&lt;=$E$7,$D$12*12*(1+$E$6)^(B63-1),0)</f>
        <v>0</v>
      </c>
      <c r="F63" s="22">
        <f>D63*$E$5</f>
        <v>6098</v>
      </c>
      <c r="G63" s="22">
        <f>IF(B63&gt;=$F$12,IF(($I$12-$E$9-B63+2)&lt;=1,D63+F63,IF($E$5=0,D63/($I$12-$E$9-B63+2),D63*$E$5/(1-(1+$E$5)^(-($I$12-$E$9-B63+2))))),0)</f>
        <v>12885</v>
      </c>
      <c r="H63" s="22">
        <f>D63+E63+F63-G63</f>
        <v>94838</v>
      </c>
      <c r="I63" s="22">
        <f>M62</f>
        <v>0</v>
      </c>
      <c r="J63" s="22">
        <f>IF(B63&lt;=$E$7,$D$13*12*(1+$E$6)^(B63-1),0)</f>
        <v>0</v>
      </c>
      <c r="K63" s="22">
        <f>I63*$E$5</f>
        <v>0</v>
      </c>
      <c r="L63" s="22">
        <f>IF(OR(B63=$F$13,B63=$E$8,B63=50),I63+J63+K63,0)</f>
        <v>0</v>
      </c>
      <c r="M63" s="22">
        <f>I63+J63+K63-L63</f>
        <v>0</v>
      </c>
      <c r="N63" s="22">
        <f>R62</f>
        <v>0</v>
      </c>
      <c r="O63" s="22">
        <f>IF(B63&lt;=$E$7,$D$14*12*(1+$E$6)^(B63-1),0)</f>
        <v>0</v>
      </c>
      <c r="P63" s="22">
        <f>N63*$E$5</f>
        <v>0</v>
      </c>
      <c r="Q63" s="22">
        <f>IF(OR(B63=$F$14,AND(B63&gt;$F$14,B63=$E$8),B63=50),N63+O63+P63,0)</f>
        <v>0</v>
      </c>
      <c r="R63" s="22">
        <f>N63+O63+P63-Q63</f>
        <v>0</v>
      </c>
      <c r="S63" s="23">
        <f>L63+Q63</f>
        <v>0</v>
      </c>
      <c r="T63" s="22">
        <f>G63</f>
        <v>12885</v>
      </c>
    </row>
    <row r="64">
      <c r="B64" s="25">
        <v>46</v>
      </c>
      <c r="C64" s="25">
        <f>'Proyección'!B66</f>
        <v>2071</v>
      </c>
      <c r="D64" s="22">
        <f>H63</f>
        <v>94838</v>
      </c>
      <c r="E64" s="22">
        <f>IF(B64&lt;=$E$7,$D$12*12*(1+$E$6)^(B64-1),0)</f>
        <v>0</v>
      </c>
      <c r="F64" s="22">
        <f>D64*$E$5</f>
        <v>5690</v>
      </c>
      <c r="G64" s="22">
        <f>IF(B64&gt;=$F$12,IF(($I$12-$E$9-B64+2)&lt;=1,D64+F64,IF($E$5=0,D64/($I$12-$E$9-B64+2),D64*$E$5/(1-(1+$E$5)^(-($I$12-$E$9-B64+2))))),0)</f>
        <v>12885</v>
      </c>
      <c r="H64" s="22">
        <f>D64+E64+F64-G64</f>
        <v>87643</v>
      </c>
      <c r="I64" s="22">
        <f>M63</f>
        <v>0</v>
      </c>
      <c r="J64" s="22">
        <f>IF(B64&lt;=$E$7,$D$13*12*(1+$E$6)^(B64-1),0)</f>
        <v>0</v>
      </c>
      <c r="K64" s="22">
        <f>I64*$E$5</f>
        <v>0</v>
      </c>
      <c r="L64" s="22">
        <f>IF(OR(B64=$F$13,B64=$E$8,B64=50),I64+J64+K64,0)</f>
        <v>0</v>
      </c>
      <c r="M64" s="22">
        <f>I64+J64+K64-L64</f>
        <v>0</v>
      </c>
      <c r="N64" s="22">
        <f>R63</f>
        <v>0</v>
      </c>
      <c r="O64" s="22">
        <f>IF(B64&lt;=$E$7,$D$14*12*(1+$E$6)^(B64-1),0)</f>
        <v>0</v>
      </c>
      <c r="P64" s="22">
        <f>N64*$E$5</f>
        <v>0</v>
      </c>
      <c r="Q64" s="22">
        <f>IF(OR(B64=$F$14,AND(B64&gt;$F$14,B64=$E$8),B64=50),N64+O64+P64,0)</f>
        <v>0</v>
      </c>
      <c r="R64" s="22">
        <f>N64+O64+P64-Q64</f>
        <v>0</v>
      </c>
      <c r="S64" s="23">
        <f>L64+Q64</f>
        <v>0</v>
      </c>
      <c r="T64" s="22">
        <f>G64</f>
        <v>12885</v>
      </c>
    </row>
    <row r="65">
      <c r="B65" s="25">
        <v>47</v>
      </c>
      <c r="C65" s="25">
        <f>'Proyección'!B67</f>
        <v>2072</v>
      </c>
      <c r="D65" s="22">
        <f>H64</f>
        <v>87643</v>
      </c>
      <c r="E65" s="22">
        <f>IF(B65&lt;=$E$7,$D$12*12*(1+$E$6)^(B65-1),0)</f>
        <v>0</v>
      </c>
      <c r="F65" s="22">
        <f>D65*$E$5</f>
        <v>5259</v>
      </c>
      <c r="G65" s="22">
        <f>IF(B65&gt;=$F$12,IF(($I$12-$E$9-B65+2)&lt;=1,D65+F65,IF($E$5=0,D65/($I$12-$E$9-B65+2),D65*$E$5/(1-(1+$E$5)^(-($I$12-$E$9-B65+2))))),0)</f>
        <v>12885</v>
      </c>
      <c r="H65" s="22">
        <f>D65+E65+F65-G65</f>
        <v>80016</v>
      </c>
      <c r="I65" s="22">
        <f>M64</f>
        <v>0</v>
      </c>
      <c r="J65" s="22">
        <f>IF(B65&lt;=$E$7,$D$13*12*(1+$E$6)^(B65-1),0)</f>
        <v>0</v>
      </c>
      <c r="K65" s="22">
        <f>I65*$E$5</f>
        <v>0</v>
      </c>
      <c r="L65" s="22">
        <f>IF(OR(B65=$F$13,B65=$E$8,B65=50),I65+J65+K65,0)</f>
        <v>0</v>
      </c>
      <c r="M65" s="22">
        <f>I65+J65+K65-L65</f>
        <v>0</v>
      </c>
      <c r="N65" s="22">
        <f>R64</f>
        <v>0</v>
      </c>
      <c r="O65" s="22">
        <f>IF(B65&lt;=$E$7,$D$14*12*(1+$E$6)^(B65-1),0)</f>
        <v>0</v>
      </c>
      <c r="P65" s="22">
        <f>N65*$E$5</f>
        <v>0</v>
      </c>
      <c r="Q65" s="22">
        <f>IF(OR(B65=$F$14,AND(B65&gt;$F$14,B65=$E$8),B65=50),N65+O65+P65,0)</f>
        <v>0</v>
      </c>
      <c r="R65" s="22">
        <f>N65+O65+P65-Q65</f>
        <v>0</v>
      </c>
      <c r="S65" s="23">
        <f>L65+Q65</f>
        <v>0</v>
      </c>
      <c r="T65" s="22">
        <f>G65</f>
        <v>12885</v>
      </c>
    </row>
    <row r="66">
      <c r="B66" s="25">
        <v>48</v>
      </c>
      <c r="C66" s="25">
        <f>'Proyección'!B68</f>
        <v>2073</v>
      </c>
      <c r="D66" s="22">
        <f>H65</f>
        <v>80016</v>
      </c>
      <c r="E66" s="22">
        <f>IF(B66&lt;=$E$7,$D$12*12*(1+$E$6)^(B66-1),0)</f>
        <v>0</v>
      </c>
      <c r="F66" s="22">
        <f>D66*$E$5</f>
        <v>4801</v>
      </c>
      <c r="G66" s="22">
        <f>IF(B66&gt;=$F$12,IF(($I$12-$E$9-B66+2)&lt;=1,D66+F66,IF($E$5=0,D66/($I$12-$E$9-B66+2),D66*$E$5/(1-(1+$E$5)^(-($I$12-$E$9-B66+2))))),0)</f>
        <v>12885</v>
      </c>
      <c r="H66" s="22">
        <f>D66+E66+F66-G66</f>
        <v>71932</v>
      </c>
      <c r="I66" s="22">
        <f>M65</f>
        <v>0</v>
      </c>
      <c r="J66" s="22">
        <f>IF(B66&lt;=$E$7,$D$13*12*(1+$E$6)^(B66-1),0)</f>
        <v>0</v>
      </c>
      <c r="K66" s="22">
        <f>I66*$E$5</f>
        <v>0</v>
      </c>
      <c r="L66" s="22">
        <f>IF(OR(B66=$F$13,B66=$E$8,B66=50),I66+J66+K66,0)</f>
        <v>0</v>
      </c>
      <c r="M66" s="22">
        <f>I66+J66+K66-L66</f>
        <v>0</v>
      </c>
      <c r="N66" s="22">
        <f>R65</f>
        <v>0</v>
      </c>
      <c r="O66" s="22">
        <f>IF(B66&lt;=$E$7,$D$14*12*(1+$E$6)^(B66-1),0)</f>
        <v>0</v>
      </c>
      <c r="P66" s="22">
        <f>N66*$E$5</f>
        <v>0</v>
      </c>
      <c r="Q66" s="22">
        <f>IF(OR(B66=$F$14,AND(B66&gt;$F$14,B66=$E$8),B66=50),N66+O66+P66,0)</f>
        <v>0</v>
      </c>
      <c r="R66" s="22">
        <f>N66+O66+P66-Q66</f>
        <v>0</v>
      </c>
      <c r="S66" s="23">
        <f>L66+Q66</f>
        <v>0</v>
      </c>
      <c r="T66" s="22">
        <f>G66</f>
        <v>12885</v>
      </c>
    </row>
    <row r="67">
      <c r="B67" s="25">
        <v>49</v>
      </c>
      <c r="C67" s="25">
        <f>'Proyección'!B69</f>
        <v>2074</v>
      </c>
      <c r="D67" s="22">
        <f>H66</f>
        <v>71932</v>
      </c>
      <c r="E67" s="22">
        <f>IF(B67&lt;=$E$7,$D$12*12*(1+$E$6)^(B67-1),0)</f>
        <v>0</v>
      </c>
      <c r="F67" s="22">
        <f>D67*$E$5</f>
        <v>4316</v>
      </c>
      <c r="G67" s="22">
        <f>IF(B67&gt;=$F$12,IF(($I$12-$E$9-B67+2)&lt;=1,D67+F67,IF($E$5=0,D67/($I$12-$E$9-B67+2),D67*$E$5/(1-(1+$E$5)^(-($I$12-$E$9-B67+2))))),0)</f>
        <v>12885</v>
      </c>
      <c r="H67" s="22">
        <f>D67+E67+F67-G67</f>
        <v>63362</v>
      </c>
      <c r="I67" s="22">
        <f>M66</f>
        <v>0</v>
      </c>
      <c r="J67" s="22">
        <f>IF(B67&lt;=$E$7,$D$13*12*(1+$E$6)^(B67-1),0)</f>
        <v>0</v>
      </c>
      <c r="K67" s="22">
        <f>I67*$E$5</f>
        <v>0</v>
      </c>
      <c r="L67" s="22">
        <f>IF(OR(B67=$F$13,B67=$E$8,B67=50),I67+J67+K67,0)</f>
        <v>0</v>
      </c>
      <c r="M67" s="22">
        <f>I67+J67+K67-L67</f>
        <v>0</v>
      </c>
      <c r="N67" s="22">
        <f>R66</f>
        <v>0</v>
      </c>
      <c r="O67" s="22">
        <f>IF(B67&lt;=$E$7,$D$14*12*(1+$E$6)^(B67-1),0)</f>
        <v>0</v>
      </c>
      <c r="P67" s="22">
        <f>N67*$E$5</f>
        <v>0</v>
      </c>
      <c r="Q67" s="22">
        <f>IF(OR(B67=$F$14,AND(B67&gt;$F$14,B67=$E$8),B67=50),N67+O67+P67,0)</f>
        <v>0</v>
      </c>
      <c r="R67" s="22">
        <f>N67+O67+P67-Q67</f>
        <v>0</v>
      </c>
      <c r="S67" s="23">
        <f>L67+Q67</f>
        <v>0</v>
      </c>
      <c r="T67" s="22">
        <f>G67</f>
        <v>12885</v>
      </c>
    </row>
    <row r="68">
      <c r="B68" s="25">
        <v>50</v>
      </c>
      <c r="C68" s="25">
        <f>'Proyección'!B70</f>
        <v>2075</v>
      </c>
      <c r="D68" s="22">
        <f>H67</f>
        <v>63362</v>
      </c>
      <c r="E68" s="22">
        <f>IF(B68&lt;=$E$7,$D$12*12*(1+$E$6)^(B68-1),0)</f>
        <v>0</v>
      </c>
      <c r="F68" s="22">
        <f>D68*$E$5</f>
        <v>3802</v>
      </c>
      <c r="G68" s="22">
        <f>IF(B68&gt;=$F$12,IF(($I$12-$E$9-B68+2)&lt;=1,D68+F68,IF($E$5=0,D68/($I$12-$E$9-B68+2),D68*$E$5/(1-(1+$E$5)^(-($I$12-$E$9-B68+2))))),0)</f>
        <v>12885</v>
      </c>
      <c r="H68" s="22">
        <f>D68+E68+F68-G68</f>
        <v>54278</v>
      </c>
      <c r="I68" s="22">
        <f>M67</f>
        <v>0</v>
      </c>
      <c r="J68" s="22">
        <f>IF(B68&lt;=$E$7,$D$13*12*(1+$E$6)^(B68-1),0)</f>
        <v>0</v>
      </c>
      <c r="K68" s="22">
        <f>I68*$E$5</f>
        <v>0</v>
      </c>
      <c r="L68" s="22">
        <f>IF(OR(B68=$F$13,B68=$E$8,B68=50),I68+J68+K68,0)</f>
        <v>0</v>
      </c>
      <c r="M68" s="22">
        <f>I68+J68+K68-L68</f>
        <v>0</v>
      </c>
      <c r="N68" s="22">
        <f>R67</f>
        <v>0</v>
      </c>
      <c r="O68" s="22">
        <f>IF(B68&lt;=$E$7,$D$14*12*(1+$E$6)^(B68-1),0)</f>
        <v>0</v>
      </c>
      <c r="P68" s="22">
        <f>N68*$E$5</f>
        <v>0</v>
      </c>
      <c r="Q68" s="22">
        <f>IF(OR(B68=$F$14,AND(B68&gt;$F$14,B68=$E$8),B68=50),N68+O68+P68,0)</f>
        <v>0</v>
      </c>
      <c r="R68" s="22">
        <f>N68+O68+P68-Q68</f>
        <v>0</v>
      </c>
      <c r="S68" s="23">
        <f>L68+Q68</f>
        <v>0</v>
      </c>
      <c r="T68" s="22">
        <f>G68</f>
        <v>12885</v>
      </c>
    </row>
  </sheetData>
  <mergeCells count="12">
    <mergeCell ref="B2:M2"/>
    <mergeCell ref="B4:E4"/>
    <mergeCell ref="B5:D5"/>
    <mergeCell ref="B6:D6"/>
    <mergeCell ref="B7:D7"/>
    <mergeCell ref="B8:D8"/>
    <mergeCell ref="B9:D9"/>
    <mergeCell ref="B17:C17"/>
    <mergeCell ref="S17:T17"/>
    <mergeCell ref="D17:H17"/>
    <mergeCell ref="I17:M17"/>
    <mergeCell ref="N17:R17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