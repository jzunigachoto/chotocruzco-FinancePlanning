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" sheetId="1" state="visible" r:id="rId1"/>
    <sheet xmlns:r="http://schemas.openxmlformats.org/officeDocument/2006/relationships" name="Proyección" sheetId="2" state="visible" r:id="rId2"/>
    <sheet xmlns:r="http://schemas.openxmlformats.org/officeDocument/2006/relationships" name="Ingresos" sheetId="5" state="visible" r:id="rId20"/>
    <sheet xmlns:r="http://schemas.openxmlformats.org/officeDocument/2006/relationships" name="Gastos" sheetId="6" state="visible" r:id="rId21"/>
    <sheet xmlns:r="http://schemas.openxmlformats.org/officeDocument/2006/relationships" name="Inversiones" sheetId="7" state="visible" r:id="rId22"/>
    <sheet xmlns:r="http://schemas.openxmlformats.org/officeDocument/2006/relationships" name="Desinversiones" sheetId="8" state="visible" r:id="rId23"/>
    <sheet xmlns:r="http://schemas.openxmlformats.org/officeDocument/2006/relationships" name="Fondos de pensión" sheetId="4" state="visible" r:id="rId6"/>
    <sheet xmlns:r="http://schemas.openxmlformats.org/officeDocument/2006/relationships" name="Dato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70" formatCode="0.0"/>
    <numFmt numFmtId="164" formatCode="0.0%"/>
  </numFmts>
  <fonts count="12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.5"/>
    </font>
    <font>
      <b val="1"/>
      <sz val="16"/>
      <color rgb="FF2B3014"/>
      <name val="Calibri"/>
      <family val="2"/>
    </font>
    <font>
      <i val="1"/>
      <sz val="9.5"/>
      <color rgb="FF5A5E44"/>
      <name val="Calibri"/>
      <family val="2"/>
    </font>
    <font>
      <b val="1"/>
      <sz val="10.5"/>
      <color rgb="FFFFFFFF"/>
      <name val="Calibri"/>
      <family val="2"/>
    </font>
    <font>
      <b val="1"/>
      <sz val="10"/>
      <color rgb="FF918042"/>
      <name val="Calibri"/>
      <family val="2"/>
    </font>
    <font>
      <sz val="10"/>
      <color rgb="FF1E2010"/>
      <name val="Calibri"/>
      <family val="2"/>
    </font>
    <font>
      <b val="1"/>
      <sz val="9.5"/>
      <color rgb="FF2B3014"/>
      <name val="Calibri"/>
      <family val="2"/>
    </font>
    <font>
      <b val="1"/>
      <sz val="10"/>
      <color rgb="FF141709"/>
      <name val="Calibri"/>
      <family val="2"/>
    </font>
    <font>
      <i val="1"/>
      <sz val="9"/>
      <color rgb="FF6B6E55"/>
      <name val="Calibri"/>
      <family val="2"/>
    </font>
  </fonts>
  <fills count="7">
    <fill>
      <patternFill/>
    </fill>
    <fill>
      <patternFill patternType="gray125"/>
    </fill>
    <fill>
      <patternFill patternType="solid">
        <fgColor rgb="FF2B3014"/>
        <bgColor indexed="64"/>
      </patternFill>
    </fill>
    <fill>
      <patternFill patternType="solid">
        <fgColor rgb="FF918042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EEF1E6"/>
        <bgColor indexed="64"/>
      </patternFill>
    </fill>
    <fill>
      <patternFill patternType="solid">
        <fgColor rgb="FFF4F5EE"/>
        <bgColor indexed="64"/>
      </patternFill>
    </fill>
  </fills>
  <borders count="7">
    <border>
      <left/>
      <right/>
      <top/>
      <bottom/>
      <diagonal/>
    </border>
    <border>
      <bottom style="medium"/>
    </border>
    <border>
      <bottom style="thin"/>
    </border>
    <border>
      <left/>
      <right/>
      <top/>
      <bottom style="thin">
        <color rgb="FFD9DDCB"/>
      </bottom>
      <diagonal/>
    </border>
    <border>
      <left/>
      <right/>
      <top/>
      <bottom style="medium">
        <color rgb="FF2B3014"/>
      </bottom>
      <diagonal/>
    </border>
    <border>
      <left/>
      <right/>
      <top/>
      <bottom style="thin">
        <color rgb="FF918042"/>
      </bottom>
      <diagonal/>
    </border>
    <border>
      <left style="thin">
        <color rgb="FFD9DDCB"/>
      </left>
      <right/>
      <top/>
      <bottom style="thin">
        <color rgb="FFD9DDCB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vertical="bottom" wrapText="1"/>
    </xf>
    <xf numFmtId="0" fontId="3" fillId="0" borderId="2" pivotButton="0" quotePrefix="0" xfId="0"/>
    <xf numFmtId="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4" fillId="0" borderId="0" applyNumberFormat="1" applyFont="1" applyFill="1" applyBorder="1"/>
    <xf numFmtId="0" fontId="5" fillId="0" borderId="0" applyNumberFormat="1" applyFont="1" applyFill="1" applyBorder="1"/>
    <xf numFmtId="0" fontId="6" fillId="2" borderId="0" applyNumberFormat="1" applyFont="1" applyFill="1" applyBorder="1" applyAlignment="1">
      <alignment vertical="center" indent="1"/>
    </xf>
    <xf numFmtId="0" fontId="6" fillId="3" borderId="0" applyNumberFormat="1" applyFont="1" applyFill="1" applyBorder="1" applyAlignment="1">
      <alignment horizontal="center" vertical="center" wrapText="1"/>
    </xf>
    <xf numFmtId="0" fontId="7" fillId="0" borderId="5" applyNumberFormat="1" applyFont="1" applyFill="1" applyBorder="1" applyAlignment="1">
      <alignment vertical="bottom"/>
    </xf>
    <xf numFmtId="0" fontId="8" fillId="0" borderId="3" applyNumberFormat="1" applyFont="1" applyFill="1" applyBorder="1" applyAlignment="1">
      <alignment vertical="center"/>
    </xf>
    <xf numFmtId="3" fontId="8" fillId="4" borderId="3" applyNumberFormat="1" applyFont="1" applyFill="1" applyBorder="1" applyAlignment="1">
      <alignment vertical="center"/>
    </xf>
    <xf numFmtId="164" fontId="8" fillId="4" borderId="3" applyNumberFormat="1" applyFont="1" applyFill="1" applyBorder="1" applyAlignment="1">
      <alignment vertical="center"/>
    </xf>
    <xf numFmtId="1" fontId="8" fillId="4" borderId="3" applyNumberFormat="1" applyFont="1" applyFill="1" applyBorder="1" applyAlignment="1">
      <alignment vertical="center"/>
    </xf>
    <xf numFmtId="0" fontId="8" fillId="4" borderId="3" applyNumberFormat="1" applyFont="1" applyFill="1" applyBorder="1" applyAlignment="1">
      <alignment vertical="center" wrapText="1"/>
    </xf>
    <xf numFmtId="0" fontId="9" fillId="5" borderId="4" applyNumberFormat="1" applyFont="1" applyFill="1" applyBorder="1" applyAlignment="1">
      <alignment horizontal="center" vertical="center" wrapText="1"/>
    </xf>
    <xf numFmtId="3" fontId="8" fillId="0" borderId="3" applyNumberFormat="1" applyFont="1" applyFill="1" applyBorder="1" applyAlignment="1">
      <alignment vertical="center"/>
    </xf>
    <xf numFmtId="3" fontId="10" fillId="6" borderId="6" applyNumberFormat="1" applyFont="1" applyFill="1" applyBorder="1" applyAlignment="1">
      <alignment vertical="center"/>
    </xf>
    <xf numFmtId="164" fontId="8" fillId="0" borderId="3" applyNumberFormat="1" applyFont="1" applyFill="1" applyBorder="1" applyAlignment="1">
      <alignment vertical="center"/>
    </xf>
    <xf numFmtId="1" fontId="8" fillId="0" borderId="3" applyNumberFormat="1" applyFont="1" applyFill="1" applyBorder="1" applyAlignment="1">
      <alignment horizontal="center" vertical="center"/>
    </xf>
    <xf numFmtId="0" fontId="8" fillId="0" borderId="3" applyNumberFormat="1" applyFont="1" applyFill="1" applyBorder="1" applyAlignment="1">
      <alignment vertical="center"/>
    </xf>
    <xf numFmtId="1" fontId="9" fillId="5" borderId="4" applyNumberFormat="1" applyFont="1" applyFill="1" applyBorder="1" applyAlignment="1">
      <alignment horizontal="center"/>
    </xf>
    <xf numFmtId="164" fontId="10" fillId="6" borderId="6" applyNumberFormat="1" applyFont="1" applyFill="1" applyBorder="1"/>
    <xf numFmtId="0" fontId="11" fillId="0" borderId="0" applyNumberFormat="1" applyFont="1" applyFill="1" applyBorder="1" applyAlignment="1">
      <alignment vertical="top" wrapText="1"/>
    </xf>
    <xf numFmtId="0" fontId="8" fillId="0" borderId="3" applyNumberFormat="1" applyFont="1" applyFill="1" applyBorder="1" applyAlignment="1">
      <alignment vertical="center" wrapText="1"/>
    </xf>
    <xf numFmtId="170" fontId="8" fillId="0" borderId="3" applyNumberFormat="1" applyFont="1" applyFill="1" applyBorder="1" applyAlignment="1">
      <alignment vertical="center"/>
    </xf>
    <xf numFmtId="1" fontId="8" fillId="0" borderId="3" applyNumberFormat="1" applyFont="1" applyFill="1" applyBorder="1" applyAlignment="1">
      <alignment vertical="center"/>
    </xf>
    <xf numFmtId="0" fontId="8" fillId="4" borderId="3" applyNumberFormat="1" applyFont="1" applyFill="1" applyBorder="1" applyAlignment="1">
      <alignment horizontal="center" vertical="center" wrapText="1"/>
    </xf>
    <xf numFmtId="1" fontId="8" fillId="4" borderId="3" applyNumberFormat="1" applyFont="1" applyFill="1" applyBorder="1" applyAlignment="1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Type="http://schemas.openxmlformats.org/officeDocument/2006/relationships/worksheet" Target="/xl/worksheets/sheet4.xml" Id="rId6"/><Relationship Type="http://schemas.openxmlformats.org/officeDocument/2006/relationships/worksheet" Target="/xl/worksheets/sheet5.xml" Id="rId20"/><Relationship Type="http://schemas.openxmlformats.org/officeDocument/2006/relationships/worksheet" Target="/xl/worksheets/sheet6.xml" Id="rId21"/><Relationship Type="http://schemas.openxmlformats.org/officeDocument/2006/relationships/worksheet" Target="/xl/worksheets/sheet7.xml" Id="rId22"/><Relationship Type="http://schemas.openxmlformats.org/officeDocument/2006/relationships/worksheet" Target="/xl/worksheets/sheet8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Cartera asignada</a:t>
            </a:r>
          </a:p>
        </rich>
      </tx>
    </title>
    <plotArea>
      <pieChart>
        <varyColors val="1"/>
        <ser>
          <idx val="0"/>
          <order val="0"/>
          <tx>
            <strRef>
              <f>'Datos'!B1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B301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18042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3BC8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strRef>
              <f>'Datos'!$A$2:$A$4</f>
            </strRef>
          </cat>
          <val>
            <numRef>
              <f>'Datos'!$B$2:$B$4</f>
            </numRef>
          </val>
        </ser>
        <dLbls>
          <showLegendKey val="0"/>
          <showVal val="1"/>
          <showCatName val="1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Proyección del portafolio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'Proyección'!Q8</f>
            </strRef>
          </tx>
          <spPr>
            <a:ln xmlns:a="http://schemas.openxmlformats.org/drawingml/2006/main" w="22000">
              <a:solidFill>
                <a:srgbClr val="2B301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'Proyección'!$C$10:$C$138</f>
            </numRef>
          </cat>
          <val>
            <numRef>
              <f>'Proyección'!$Q$10:$Q$138</f>
            </numRef>
          </val>
          <smooth val="0"/>
        </ser>
        <ser>
          <idx val="1"/>
          <order val="1"/>
          <tx>
            <strRef>
              <f>'Proyección'!R8</f>
            </strRef>
          </tx>
          <spPr>
            <a:ln xmlns:a="http://schemas.openxmlformats.org/drawingml/2006/main" w="22000">
              <a:solidFill>
                <a:srgbClr val="9180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'Proyección'!$C$10:$C$138</f>
            </numRef>
          </cat>
          <val>
            <numRef>
              <f>'Proyección'!$R$10:$R$138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Dólares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Cartera de equilibrio</a:t>
            </a:r>
          </a:p>
        </rich>
      </tx>
    </title>
    <plotArea>
      <pieChart>
        <varyColors val="1"/>
        <ser>
          <idx val="0"/>
          <order val="0"/>
          <tx>
            <strRef>
              <f>'Datos'!C1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B301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18042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3BC8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strRef>
              <f>'Datos'!$A$2:$A$4</f>
            </strRef>
          </cat>
          <val>
            <numRef>
              <f>'Datos'!$C$2:$C$4</f>
            </numRef>
          </val>
        </ser>
        <dLbls>
          <showLegendKey val="0"/>
          <showVal val="1"/>
          <showCatName val="1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lang="es-CR" sz="1200" b="1"/>
              <a:t>Rendimiento de equilibrio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'Datos'!$E$1</c:f>
            </c:strRef>
          </c:tx>
          <c:spPr>
            <a:ln xmlns:a="http://schemas.openxmlformats.org/drawingml/2006/main" w="25400">
              <a:solidFill xmlns:a="http://schemas.openxmlformats.org/drawingml/2006/main">
                <a:srgbClr val="2B3014"/>
              </a:solidFill>
              <a:prstDash val="solid"/>
            </a:ln>
          </c:spPr>
          <c:marker>
            <c:symbol val="none"/>
          </c:marker>
          <c:xVal>
            <c:numRef>
              <c:f>'Datos'!$E$2:$E$82</c:f>
            </c:numRef>
          </c:xVal>
          <c:yVal>
            <c:numRef>
              <c:f>'Datos'!$F$2:$F$82</c:f>
            </c:numRef>
          </c:yVal>
          <c:smooth val="0"/>
        </c:ser>
        <c:ser>
          <c:idx val="1"/>
          <c:order val="1"/>
          <c:tx>
            <c:strRef>
              <c:f>'Datos'!$H$2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'Datos'!$I$2</c:f>
            </c:numRef>
          </c:xVal>
          <c:yVal>
            <c:numRef>
              <c:f>'Datos'!$J$2</c:f>
            </c:numRef>
          </c:yVal>
          <c:smooth val="0"/>
        </c:ser>
        <c:ser>
          <c:idx val="2"/>
          <c:order val="2"/>
          <c:tx>
            <c:strRef>
              <c:f>'Datos'!$H$3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'Datos'!$I$3</c:f>
            </c:numRef>
          </c:xVal>
          <c:yVal>
            <c:numRef>
              <c:f>'Datos'!$J$3</c:f>
            </c:numRef>
          </c:yVal>
          <c:smooth val="0"/>
        </c:ser>
        <c:ser>
          <c:idx val="3"/>
          <c:order val="3"/>
          <c:tx>
            <c:strRef>
              <c:f>'Datos'!$H$4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'Datos'!$I$4</c:f>
            </c:numRef>
          </c:xVal>
          <c:yVal>
            <c:numRef>
              <c:f>'Datos'!$J$4</c:f>
            </c:numRef>
          </c:yVal>
          <c:smooth val="0"/>
        </c:ser>
        <c:ser>
          <c:idx val="4"/>
          <c:order val="4"/>
          <c:tx>
            <c:strRef>
              <c:f>'Datos'!$H$5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'Datos'!$I$5</c:f>
            </c:numRef>
          </c:xVal>
          <c:yVal>
            <c:numRef>
              <c:f>'Datos'!$J$5</c:f>
            </c:numRef>
          </c:yVal>
          <c:smooth val="0"/>
        </c:ser>
        <c:ser>
          <c:idx val="5"/>
          <c:order val="5"/>
          <c:tx>
            <c:strRef>
              <c:f>'Datos'!$H$6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5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'Datos'!$I$6</c:f>
            </c:numRef>
          </c:xVal>
          <c:yVal>
            <c:numRef>
              <c:f>'Datos'!$J$6</c:f>
            </c:numRef>
          </c:yVal>
          <c:smooth val="0"/>
        </c:ser>
        <c:ser>
          <c:idx val="6"/>
          <c:order val="6"/>
          <c:tx>
            <c:strRef>
              <c:f>'Datos'!$H$7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12"/>
            <c:spPr>
              <a:noFill xmlns:a="http://schemas.openxmlformats.org/drawingml/2006/main"/>
              <a:ln w="15875">
                <a:solidFill xmlns:a="http://schemas.openxmlformats.org/drawingml/2006/main">
                  <a:srgbClr val="2B3014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2B3014"/>
                    </a:solidFill>
                  </a:defRPr>
                </a:pPr>
                <a:endParaRPr lang="es-C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'Datos'!$I$7</c:f>
            </c:numRef>
          </c:xVal>
          <c:yVal>
            <c:numRef>
              <c:f>'Datos'!$J$7</c:f>
            </c:numRef>
          </c:yVal>
          <c:smooth val="0"/>
        </c:ser>
        <c:ser>
          <c:idx val="7"/>
          <c:order val="7"/>
          <c:tx>
            <c:strRef>
              <c:f>'Datos'!$H$9</c:f>
            </c:strRef>
          </c:tx>
          <c:spPr>
            <a:ln xmlns:a="http://schemas.openxmlformats.org/drawingml/2006/main" w="15875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'Datos'!$I$9:$I$11</c:f>
            </c:numRef>
          </c:xVal>
          <c:yVal>
            <c:numRef>
              <c:f>'Datos'!$J$9:$J$11</c:f>
            </c:numRef>
          </c:yVal>
          <c:smooth val="0"/>
        </c:ser>
        <c:ser>
          <c:idx val="8"/>
          <c:order val="8"/>
          <c:tx>
            <c:strRef>
              <c:f>'Datos'!$H$8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8"/>
            <c:spPr>
              <a:solidFill xmlns:a="http://schemas.openxmlformats.org/drawingml/2006/main">
                <a:srgbClr val="918042"/>
              </a:solidFill>
              <a:ln w="15875">
                <a:solidFill xmlns:a="http://schemas.openxmlformats.org/drawingml/2006/main">
                  <a:srgbClr val="FFFFFF"/>
                </a:solidFill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918042"/>
                    </a:solidFill>
                  </a:defRPr>
                </a:pPr>
                <a:endParaRPr lang="es-C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'Datos'!$I$8</c:f>
            </c:numRef>
          </c:xVal>
          <c:yVal>
            <c:numRef>
              <c:f>'Datos'!$J$8</c:f>
            </c:numRef>
          </c:yVal>
          <c:smooth val="0"/>
        </c:ser>
        <c:axId val="501"/>
        <c:axId val="502"/>
      </c:scatterChart>
      <c:valAx>
        <c:axId val="501"/>
        <c:scaling>
          <c:orientation val="minMax"/>
          <c:max val="0.2"/>
          <c:min val="0"/>
        </c:scaling>
        <c:delete val="0"/>
        <c:axPos val="b"/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Riesgo del portafolio (volatilidad anual)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2"/>
        <c:crosses val="autoZero"/>
        <c:crossBetween val="midCat"/>
        <c:majorUnit val="0.05"/>
      </c:valAx>
      <c:valAx>
        <c:axId val="502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6350">
              <a:solidFill xmlns:a="http://schemas.openxmlformats.org/drawingml/2006/main">
                <a:srgbClr val="D9DCC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Rendimiento esperado anual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1"/>
        <c:crosses val="autoZero"/>
        <c:crossBetween val="midCat"/>
      </c:valAx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525">
      <a:solidFill xmlns:a="http://schemas.openxmlformats.org/drawingml/2006/main">
        <a:srgbClr val="D9DCCB"/>
      </a:solidFill>
      <a:prstDash val="solid"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lang="es-CR" sz="1200" b="1"/>
              <a:t>Posición: tolerancia y apetito (líneas de corte del perfil)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'Datos'!$A$9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'Datos'!$B$9</c:f>
            </c:numRef>
          </c:xVal>
          <c:yVal>
            <c:numRef>
              <c:f>'Datos'!$C$9</c:f>
            </c:numRef>
          </c:yVal>
          <c:smooth val="0"/>
        </c:ser>
        <c:ser>
          <c:idx val="1"/>
          <c:order val="1"/>
          <c:tx>
            <c:strRef>
              <c:f>'Datos'!$A$10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'Datos'!$B$10</c:f>
            </c:numRef>
          </c:xVal>
          <c:yVal>
            <c:numRef>
              <c:f>'Datos'!$C$10</c:f>
            </c:numRef>
          </c:yVal>
          <c:smooth val="0"/>
        </c:ser>
        <c:ser>
          <c:idx val="2"/>
          <c:order val="2"/>
          <c:tx>
            <c:strRef>
              <c:f>'Datos'!$A$11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'Datos'!$B$11</c:f>
            </c:numRef>
          </c:xVal>
          <c:yVal>
            <c:numRef>
              <c:f>'Datos'!$C$11</c:f>
            </c:numRef>
          </c:yVal>
          <c:smooth val="0"/>
        </c:ser>
        <c:ser>
          <c:idx val="3"/>
          <c:order val="3"/>
          <c:tx>
            <c:strRef>
              <c:f>'Datos'!$A$12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'Datos'!$B$12</c:f>
            </c:numRef>
          </c:xVal>
          <c:yVal>
            <c:numRef>
              <c:f>'Datos'!$C$12</c:f>
            </c:numRef>
          </c:yVal>
          <c:smooth val="0"/>
        </c:ser>
        <c:ser>
          <c:idx val="4"/>
          <c:order val="4"/>
          <c:tx>
            <c:strRef>
              <c:f>'Datos'!$A$13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 xmlns:a="http://schemas.openxmlformats.org/drawingml/2006/main"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>
                    <a:solidFill xmlns:a="http://schemas.openxmlformats.org/drawingml/2006/main">
                      <a:srgbClr val="6E7356"/>
                    </a:solidFill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'Datos'!$B$13</c:f>
            </c:numRef>
          </c:xVal>
          <c:yVal>
            <c:numRef>
              <c:f>'Datos'!$C$13</c:f>
            </c:numRef>
          </c:yVal>
          <c:smooth val="0"/>
        </c:ser>
        <c:ser>
          <c:idx val="5"/>
          <c:order val="5"/>
          <c:tx>
            <c:strRef>
              <c:f>'Datos'!$A$7</c:f>
            </c:strRef>
          </c:tx>
          <c:spPr>
            <a:ln xmlns:a="http://schemas.openxmlformats.org/drawingml/2006/main">
              <a:noFill xmlns:a="http://schemas.openxmlformats.org/drawingml/2006/main"/>
            </a:ln>
          </c:spPr>
          <c:marker>
            <c:symbol val="circle"/>
            <c:size val="10"/>
            <c:spPr>
              <a:solidFill xmlns:a="http://schemas.openxmlformats.org/drawingml/2006/main">
                <a:srgbClr val="2B3014"/>
              </a:solidFill>
              <a:ln w="15875">
                <a:solidFill xmlns:a="http://schemas.openxmlformats.org/drawingml/2006/main">
                  <a:srgbClr val="FFFFFF"/>
                </a:solidFill>
              </a:ln>
            </c:spPr>
          </c:marker>
          <c:xVal>
            <c:numRef>
              <c:f>'Datos'!$B$7</c:f>
            </c:numRef>
          </c:xVal>
          <c:yVal>
            <c:numRef>
              <c:f>'Datos'!$C$7</c:f>
            </c:numRef>
          </c:yVal>
          <c:smooth val="0"/>
        </c:ser>
        <c:ser>
          <c:idx val="6"/>
          <c:order val="6"/>
          <c:tx>
            <c:strRef>
              <c:f>'Datos'!$L$1</c:f>
            </c:strRef>
          </c:tx>
          <c:spPr>
            <a:ln xmlns:a="http://schemas.openxmlformats.org/drawingml/2006/main" w="12700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'Datos'!$L$2:$L$3</c:f>
            </c:numRef>
          </c:xVal>
          <c:yVal>
            <c:numRef>
              <c:f>'Datos'!$M$2:$M$3</c:f>
            </c:numRef>
          </c:yVal>
          <c:smooth val="0"/>
        </c:ser>
        <c:ser>
          <c:idx val="7"/>
          <c:order val="7"/>
          <c:tx>
            <c:strRef>
              <c:f>'Datos'!$N$1</c:f>
            </c:strRef>
          </c:tx>
          <c:spPr>
            <a:ln xmlns:a="http://schemas.openxmlformats.org/drawingml/2006/main" w="12700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'Datos'!$N$2:$N$3</c:f>
            </c:numRef>
          </c:xVal>
          <c:yVal>
            <c:numRef>
              <c:f>'Datos'!$O$2:$O$3</c:f>
            </c:numRef>
          </c:yVal>
          <c:smooth val="0"/>
        </c:ser>
        <c:ser>
          <c:idx val="8"/>
          <c:order val="8"/>
          <c:tx>
            <c:strRef>
              <c:f>'Datos'!$P$1</c:f>
            </c:strRef>
          </c:tx>
          <c:spPr>
            <a:ln xmlns:a="http://schemas.openxmlformats.org/drawingml/2006/main" w="12700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'Datos'!$P$2:$P$3</c:f>
            </c:numRef>
          </c:xVal>
          <c:yVal>
            <c:numRef>
              <c:f>'Datos'!$Q$2:$Q$3</c:f>
            </c:numRef>
          </c:yVal>
          <c:smooth val="0"/>
        </c:ser>
        <c:ser>
          <c:idx val="9"/>
          <c:order val="9"/>
          <c:tx>
            <c:strRef>
              <c:f>'Datos'!$R$1</c:f>
            </c:strRef>
          </c:tx>
          <c:spPr>
            <a:ln xmlns:a="http://schemas.openxmlformats.org/drawingml/2006/main" w="12700">
              <a:solidFill xmlns:a="http://schemas.openxmlformats.org/drawingml/2006/main">
                <a:srgbClr val="918042"/>
              </a:solidFill>
              <a:prstDash val="dash"/>
            </a:ln>
          </c:spPr>
          <c:marker>
            <c:symbol val="none"/>
          </c:marker>
          <c:xVal>
            <c:numRef>
              <c:f>'Datos'!$R$2:$R$3</c:f>
            </c:numRef>
          </c:xVal>
          <c:yVal>
            <c:numRef>
              <c:f>'Datos'!$S$2:$S$3</c:f>
            </c:numRef>
          </c:yVal>
          <c:smooth val="0"/>
        </c:ser>
        <c:axId val="501"/>
        <c:axId val="502"/>
      </c:scatterChart>
      <c:valAx>
        <c:axId val="501"/>
        <c:scaling>
          <c:orientation val="minMax"/>
          <c:max val="10"/>
          <c:min val="0"/>
        </c:scaling>
        <c:delete val="0"/>
        <c:axPos val="b"/>
        <c:majorGridlines>
          <c:spPr>
            <a:ln xmlns:a="http://schemas.openxmlformats.org/drawingml/2006/main" w="6350">
              <a:solidFill xmlns:a="http://schemas.openxmlformats.org/drawingml/2006/main">
                <a:srgbClr val="D9DCC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Tolerancia al riesgo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2"/>
        <c:crosses val="autoZero"/>
        <c:crossBetween val="midCat"/>
        <c:majorUnit val="5"/>
      </c:valAx>
      <c:valAx>
        <c:axId val="502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6350">
              <a:solidFill xmlns:a="http://schemas.openxmlformats.org/drawingml/2006/main">
                <a:srgbClr val="D9DCC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p xmlns:a="http://schemas.openxmlformats.org/drawingml/2006/main">
                <a:pPr>
                  <a:defRPr sz="900" b="1"/>
                </a:pPr>
                <a:r>
                  <a:rPr lang="es-CR" sz="900" b="1"/>
                  <a:t>Apetito de riesgo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 xmlns:a="http://schemas.openxmlformats.org/drawingml/2006/main" w="9525">
            <a:solidFill xmlns:a="http://schemas.openxmlformats.org/drawingml/2006/main">
              <a:srgbClr val="2B301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s-CR"/>
          </a:p>
        </c:txPr>
        <c:crossAx val="501"/>
        <c:crosses val="autoZero"/>
        <c:crossBetween val="midCat"/>
        <c:majorUnit val="5"/>
      </c:valAx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525">
      <a:solidFill xmlns:a="http://schemas.openxmlformats.org/drawingml/2006/main">
        <a:srgbClr val="D9DCCB"/>
      </a:solidFill>
      <a:prstDash val="solid"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38</row>
      <rowOff>0</rowOff>
    </from>
    <ext cx="4320000" cy="30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57</row>
      <rowOff>0</rowOff>
    </from>
    <ext cx="34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21</col>
      <colOff>0</colOff>
      <row>1</row>
      <rowOff>0</rowOff>
    </from>
    <ext cx="720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6" customWidth="1" min="3" max="3"/>
  </cols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width="10" customWidth="1" min="2" max="2"/>
    <col width="12" customWidth="1" min="3" max="3"/>
    <col width="8" customWidth="1" min="4" max="4"/>
    <col width="18" customWidth="1" min="5" max="5"/>
    <col width="2" customWidth="1" min="6" max="6"/>
    <col width="20" customWidth="1" min="7" max="7"/>
    <col width="20" customWidth="1" min="8" max="8"/>
    <col width="20" customWidth="1" min="9" max="9"/>
    <col width="2" customWidth="1" min="10" max="10"/>
    <col width="20" customWidth="1" min="11" max="11"/>
    <col width="18" customWidth="1" min="12" max="12"/>
    <col width="20" customWidth="1" min="13" max="13"/>
    <col width="14" customWidth="1" min="14" max="14"/>
    <col width="18" customWidth="1" min="15" max="15"/>
    <col width="18" customWidth="1" min="16" max="16"/>
    <col width="26" customWidth="1" min="17" max="17"/>
    <col width="26" customWidth="1" min="18" max="18"/>
    <col width="24" customWidth="1" min="19" max="19"/>
  </cols>
  <sheetData>
    <row r="1">
      <c r="C1" s="1" t="inlineStr">
        <is>
          <t>Tipo de Cambio</t>
        </is>
      </c>
      <c r="D1" s="2">
        <v>450</v>
      </c>
      <c r="K1" s="1" t="inlineStr">
        <is>
          <t>Pensión mensual (US$ de hoy)</t>
        </is>
      </c>
      <c r="M1" s="1" t="inlineStr">
        <is>
          <t>Año de la meta</t>
        </is>
      </c>
    </row>
    <row r="2">
      <c r="C2" s="1" t="inlineStr">
        <is>
          <t>Inflación Ingresos (referencial)</t>
        </is>
      </c>
      <c r="D2" s="4">
        <v>0.01</v>
      </c>
      <c r="K2" s="1" t="inlineStr">
        <is>
          <t>Otros ingresos mensuales (US$ de hoy)</t>
        </is>
      </c>
      <c r="M2" s="1" t="inlineStr">
        <is>
          <t>Monto de la meta (US$ de hoy)</t>
        </is>
      </c>
    </row>
    <row r="3">
      <c r="C3" s="1" t="inlineStr">
        <is>
          <t>Inflación</t>
        </is>
      </c>
      <c r="D3" s="4">
        <v>0.039</v>
      </c>
      <c r="K3" s="1" t="inlineStr">
        <is>
          <t>Gasto en el retiro (% del gasto)</t>
        </is>
      </c>
      <c r="M3" s="1" t="inlineStr">
        <is>
          <t>Año del aporte o de la venta</t>
        </is>
      </c>
    </row>
    <row r="4">
      <c r="C4" s="1" t="inlineStr">
        <is>
          <t>Inflación Pensión</t>
        </is>
      </c>
      <c r="D4" s="4">
        <v>0.01</v>
      </c>
      <c r="K4" s="1" t="inlineStr">
        <is>
          <t>Edad de inicio de la pensión</t>
        </is>
      </c>
      <c r="L4" s="9">
        <v>65</v>
      </c>
      <c r="M4" s="1" t="inlineStr">
        <is>
          <t>Aporte o venta (US$ de hoy)</t>
        </is>
      </c>
    </row>
    <row r="5">
      <c r="C5" s="1" t="inlineStr">
        <is>
          <t>Inflación Salud (referencial)</t>
        </is>
      </c>
      <c r="D5" s="4">
        <v>0.08</v>
      </c>
      <c r="K5" s="1" t="inlineStr">
        <is>
          <t>Período del primer pago de pensión</t>
        </is>
      </c>
      <c r="M5" s="1" t="inlineStr">
        <is>
          <t>Año de inicio del retiro para dependientes</t>
        </is>
      </c>
    </row>
    <row r="6">
      <c r="C6" s="1" t="inlineStr">
        <is>
          <t>Ajuste Alquileres (referencial)</t>
        </is>
      </c>
      <c r="D6" s="4">
        <v>0</v>
      </c>
      <c r="K6" s="1" t="inlineStr">
        <is>
          <t>Aporte anual (% del ingreso)</t>
        </is>
      </c>
      <c r="M6" s="1" t="inlineStr">
        <is>
          <t>Años del retiro</t>
        </is>
      </c>
    </row>
    <row r="7">
      <c r="M7" s="1" t="inlineStr">
        <is>
          <t>Retiro anual (US$ de hoy)</t>
        </is>
      </c>
    </row>
    <row r="8">
      <c r="E8" s="6" t="inlineStr">
        <is>
          <t>Ingresos en ₡</t>
        </is>
      </c>
      <c r="G8" s="6" t="inlineStr">
        <is>
          <t>Gastos</t>
        </is>
      </c>
      <c r="K8" s="6" t="inlineStr">
        <is>
          <t>Proyección Base</t>
        </is>
      </c>
      <c r="Q8" s="1" t="inlineStr">
        <is>
          <t>Valor nominal</t>
        </is>
      </c>
      <c r="R8" s="1" t="inlineStr">
        <is>
          <t>Términos reales</t>
        </is>
      </c>
      <c r="S8" s="6" t="inlineStr">
        <is>
          <t>Flujos adicionales y control de agotamiento</t>
        </is>
      </c>
    </row>
    <row r="9" ht="34" customHeight="1">
      <c r="B9" s="5" t="inlineStr">
        <is>
          <t>Año</t>
        </is>
      </c>
      <c r="C9" s="5" t="inlineStr">
        <is>
          <t>Edad</t>
        </is>
      </c>
      <c r="D9" s="5" t="inlineStr">
        <is>
          <t>Período</t>
        </is>
      </c>
      <c r="E9" s="5" t="inlineStr">
        <is>
          <t>Salario mensual ₡</t>
        </is>
      </c>
      <c r="G9" s="5" t="inlineStr">
        <is>
          <t>Gasto Familiar ₡</t>
        </is>
      </c>
      <c r="H9" s="5" t="inlineStr">
        <is>
          <t>Gasto Familiar en $</t>
        </is>
      </c>
      <c r="I9" s="5" t="inlineStr">
        <is>
          <t>Total Gasto Mensual</t>
        </is>
      </c>
      <c r="K9" s="5" t="inlineStr">
        <is>
          <t>Portafolio Inicial</t>
        </is>
      </c>
      <c r="L9" s="5" t="inlineStr">
        <is>
          <t>Aportes/Retiros</t>
        </is>
      </c>
      <c r="M9" s="5" t="inlineStr">
        <is>
          <t>Gasto % del Portafolio</t>
        </is>
      </c>
      <c r="N9" s="5" t="inlineStr">
        <is>
          <t>Retorno Total</t>
        </is>
      </c>
      <c r="O9" s="5" t="inlineStr">
        <is>
          <t>Retorno Total $</t>
        </is>
      </c>
      <c r="P9" s="5" t="inlineStr">
        <is>
          <t>Resultado Neto</t>
        </is>
      </c>
      <c r="Q9" s="5" t="inlineStr">
        <is>
          <t>Portafolio Nominal Final $ (sin incluir inflación)</t>
        </is>
      </c>
      <c r="R9" s="5" t="inlineStr">
        <is>
          <t>Portafolio en Términos Reales</t>
        </is>
      </c>
      <c r="S9" s="5" t="inlineStr">
        <is>
          <t>Gasto no cubierto por el portafolio</t>
        </is>
      </c>
    </row>
    <row r="10">
      <c r="B10" s="9">
        <v>0</v>
      </c>
      <c r="C10" s="9">
        <v>0</v>
      </c>
      <c r="D10" s="9">
        <v>0</v>
      </c>
      <c r="E10" s="10">
        <v>0</v>
      </c>
      <c r="G10" s="10">
        <v>0</v>
      </c>
      <c r="H10" s="10">
        <v>0</v>
      </c>
      <c r="I10" s="10">
        <v>0</v>
      </c>
      <c r="K10" s="10">
        <v>0</v>
      </c>
      <c r="L10" s="10">
        <v>0</v>
      </c>
      <c r="M10" s="4">
        <v>0</v>
      </c>
      <c r="N10" s="4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</row>
    <row r="12">
      <c r="B12" t="inlineStr">
        <is>
          <t>Plantilla: el panel del asesor completa esta hoja al exportar la proyección de cada cliente. Las columnas desde la S se agregan según los flujos que declare el cliente.</t>
        </is>
      </c>
    </row>
  </sheetData>
  <pageMargins left="0.5" right="0.5" top="0.75" bottom="0.75" header="0.3" footer="0.3"/>
  <drawing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Peso</t>
        </is>
      </c>
    </row>
    <row r="2">
      <c r="A2" t="inlineStr">
        <is>
          <t>Renta variable</t>
        </is>
      </c>
      <c r="B2" s="7" t="n">
        <v>0.6</v>
      </c>
    </row>
    <row r="3">
      <c r="A3" t="inlineStr">
        <is>
          <t>Renta fija</t>
        </is>
      </c>
      <c r="B3" s="7" t="n">
        <v>0.35</v>
      </c>
    </row>
    <row r="4">
      <c r="A4" t="inlineStr">
        <is>
          <t>Efectivo</t>
        </is>
      </c>
      <c r="B4" s="7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width="2" customWidth="1" min="1" max="1"/>
    <col width="110" customWidth="1" min="2" max="2"/>
  </cols>
  <sheetData>
    <row r="1">
      <c r="B1" s="3" t="inlineStr">
        <is>
          <t>Fondos de pensión complementaria</t>
        </is>
      </c>
    </row>
    <row r="2">
      <c r="B2" t="inlineStr">
        <is>
          <t>ROP, FCL y pensión voluntaria con las reglas de la Ley de Protección al Trabajador (n.º 7983): el ROP se recibe como pensión mensual al pensionarse; el FCL se traslada en cada quinquenio o al terminar la relación laboral; la pensión voluntaria, desde los 57 años. El panel del asesor completa esta hoja al exportar la proyección.</t>
        </is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Data/>
  <pageMargins left="0.5" right="0.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Data/>
  <pageMargins left="0.5" right="0.5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Data/>
  <pageMargins left="0.5" right="0.5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Data/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2026-09-22T20:30:59Z</dcterms:created>
  <dcterms:modified xmlns:dcterms="http://purl.org/dc/terms/" xmlns:xsi="http://www.w3.org/2001/XMLSchema-instance" xsi:type="dcterms:W3CDTF">2026-10-22T11:00:00Z</dcterms:modified>
</cp:coreProperties>
</file>